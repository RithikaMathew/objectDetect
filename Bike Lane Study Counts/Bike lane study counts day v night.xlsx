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Transportation\Bike &amp; Ped\Crash Studies\Bike Lane Study Counts\"/>
    </mc:Choice>
  </mc:AlternateContent>
  <bookViews>
    <workbookView xWindow="0" yWindow="0" windowWidth="19530" windowHeight="9885"/>
  </bookViews>
  <sheets>
    <sheet name="Totals" sheetId="26" r:id="rId1"/>
    <sheet name="Winter Park Road" sheetId="2" r:id="rId2"/>
    <sheet name="Lakemont" sheetId="3" r:id="rId3"/>
    <sheet name="Livingston" sheetId="4" r:id="rId4"/>
    <sheet name="Summerlin" sheetId="5" r:id="rId5"/>
    <sheet name="Kaley" sheetId="6" r:id="rId6"/>
    <sheet name="Glenridge" sheetId="7" r:id="rId7"/>
    <sheet name="University" sheetId="8" r:id="rId8"/>
    <sheet name="S Orange" sheetId="9" r:id="rId9"/>
    <sheet name="Curry Ford" sheetId="10" r:id="rId10"/>
    <sheet name="Alafaya" sheetId="11" r:id="rId11"/>
    <sheet name="Colonial" sheetId="12" r:id="rId12"/>
    <sheet name="Lee" sheetId="13" r:id="rId13"/>
    <sheet name="Par" sheetId="14" r:id="rId14"/>
    <sheet name="Clay" sheetId="15" r:id="rId15"/>
    <sheet name="N Orange" sheetId="16" r:id="rId16"/>
    <sheet name="Edgewater" sheetId="17" r:id="rId17"/>
    <sheet name="Pine Hills NBL" sheetId="19" r:id="rId18"/>
    <sheet name="Pine Hills BL" sheetId="20" r:id="rId19"/>
    <sheet name="Carroll NBL" sheetId="21" r:id="rId20"/>
    <sheet name="Columbia BL" sheetId="22" r:id="rId21"/>
  </sheets>
  <calcPr calcId="152511"/>
</workbook>
</file>

<file path=xl/calcChain.xml><?xml version="1.0" encoding="utf-8"?>
<calcChain xmlns="http://schemas.openxmlformats.org/spreadsheetml/2006/main">
  <c r="H3" i="26" l="1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H2" i="26"/>
  <c r="G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M2" i="26"/>
  <c r="L2" i="26"/>
  <c r="R26" i="26"/>
  <c r="R25" i="26"/>
  <c r="R29" i="26" s="1"/>
  <c r="I26" i="26"/>
  <c r="I25" i="26"/>
  <c r="I27" i="26" s="1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" i="26"/>
  <c r="E27" i="26" l="1"/>
  <c r="O27" i="26"/>
  <c r="N27" i="26"/>
  <c r="M27" i="26"/>
  <c r="L27" i="26"/>
  <c r="F27" i="26"/>
  <c r="D27" i="26"/>
  <c r="C27" i="26"/>
  <c r="O28" i="26"/>
  <c r="N28" i="26"/>
  <c r="M28" i="26"/>
  <c r="L28" i="26"/>
  <c r="R27" i="26" l="1"/>
  <c r="F26" i="26"/>
  <c r="F25" i="26"/>
  <c r="H26" i="26"/>
  <c r="X26" i="26" s="1"/>
  <c r="G26" i="26"/>
  <c r="G25" i="26"/>
  <c r="J204" i="21"/>
  <c r="J205" i="21"/>
  <c r="J202" i="21"/>
  <c r="N204" i="19"/>
  <c r="N205" i="19" s="1"/>
  <c r="N202" i="19"/>
  <c r="N204" i="16"/>
  <c r="N205" i="16"/>
  <c r="N202" i="16"/>
  <c r="L204" i="14"/>
  <c r="L205" i="14"/>
  <c r="L202" i="14"/>
  <c r="N204" i="12"/>
  <c r="N205" i="12"/>
  <c r="N202" i="12"/>
  <c r="N204" i="9"/>
  <c r="N205" i="9"/>
  <c r="N202" i="9"/>
  <c r="N204" i="8"/>
  <c r="N205" i="8"/>
  <c r="N202" i="8"/>
  <c r="N204" i="6"/>
  <c r="N205" i="6" s="1"/>
  <c r="N202" i="6"/>
  <c r="N204" i="4"/>
  <c r="N205" i="4" s="1"/>
  <c r="N202" i="4"/>
  <c r="K26" i="26" l="1"/>
  <c r="J26" i="26"/>
  <c r="W26" i="26"/>
  <c r="Y26" i="26" s="1"/>
  <c r="G27" i="26"/>
  <c r="G28" i="26"/>
  <c r="W25" i="26"/>
  <c r="H25" i="26"/>
  <c r="J25" i="26" s="1"/>
  <c r="P26" i="26"/>
  <c r="T26" i="26"/>
  <c r="U26" i="26"/>
  <c r="Q26" i="26"/>
  <c r="P25" i="26"/>
  <c r="P29" i="26" s="1"/>
  <c r="T25" i="26"/>
  <c r="P202" i="2"/>
  <c r="P201" i="2"/>
  <c r="P199" i="2"/>
  <c r="X25" i="26" l="1"/>
  <c r="X29" i="26" s="1"/>
  <c r="U25" i="26"/>
  <c r="V25" i="26" s="1"/>
  <c r="H27" i="26"/>
  <c r="K27" i="26" s="1"/>
  <c r="H28" i="26"/>
  <c r="K25" i="26"/>
  <c r="W29" i="26"/>
  <c r="W28" i="26"/>
  <c r="T29" i="26"/>
  <c r="T28" i="26"/>
  <c r="T27" i="26"/>
  <c r="P27" i="26"/>
  <c r="W27" i="26"/>
  <c r="P28" i="26"/>
  <c r="Q25" i="26"/>
  <c r="Q29" i="26" s="1"/>
  <c r="V26" i="26"/>
  <c r="S26" i="26"/>
  <c r="D26" i="26"/>
  <c r="C26" i="26"/>
  <c r="D25" i="26"/>
  <c r="C25" i="26"/>
  <c r="L204" i="22"/>
  <c r="L205" i="22" s="1"/>
  <c r="H204" i="21"/>
  <c r="H205" i="21" s="1"/>
  <c r="L204" i="20"/>
  <c r="L205" i="20" s="1"/>
  <c r="L204" i="19"/>
  <c r="L205" i="19" s="1"/>
  <c r="L204" i="17"/>
  <c r="L205" i="17" s="1"/>
  <c r="L204" i="16"/>
  <c r="L205" i="16" s="1"/>
  <c r="L204" i="15"/>
  <c r="L205" i="15" s="1"/>
  <c r="J204" i="14"/>
  <c r="J205" i="14" s="1"/>
  <c r="L205" i="13"/>
  <c r="L204" i="13"/>
  <c r="L204" i="12"/>
  <c r="L205" i="12" s="1"/>
  <c r="L204" i="10"/>
  <c r="L205" i="10" s="1"/>
  <c r="L204" i="9"/>
  <c r="L205" i="9" s="1"/>
  <c r="L204" i="11"/>
  <c r="L205" i="11" s="1"/>
  <c r="L204" i="8"/>
  <c r="L205" i="8"/>
  <c r="L204" i="7"/>
  <c r="L204" i="6"/>
  <c r="L205" i="6"/>
  <c r="L204" i="5"/>
  <c r="L205" i="5" s="1"/>
  <c r="E7" i="26"/>
  <c r="E8" i="26"/>
  <c r="E19" i="26"/>
  <c r="E15" i="26"/>
  <c r="E6" i="26"/>
  <c r="E20" i="26"/>
  <c r="E2" i="26"/>
  <c r="E11" i="26"/>
  <c r="E14" i="26"/>
  <c r="E3" i="26"/>
  <c r="E16" i="26"/>
  <c r="E9" i="26"/>
  <c r="E13" i="26"/>
  <c r="E17" i="26"/>
  <c r="E5" i="26"/>
  <c r="E18" i="26"/>
  <c r="E10" i="26"/>
  <c r="E12" i="26"/>
  <c r="E4" i="26"/>
  <c r="E21" i="26"/>
  <c r="L203" i="3"/>
  <c r="O202" i="2"/>
  <c r="O199" i="2"/>
  <c r="O201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7" i="2"/>
  <c r="X28" i="26" l="1"/>
  <c r="Y25" i="26"/>
  <c r="S25" i="26"/>
  <c r="Q28" i="26"/>
  <c r="U27" i="26"/>
  <c r="V27" i="26" s="1"/>
  <c r="Q27" i="26"/>
  <c r="X27" i="26"/>
  <c r="Y27" i="26"/>
  <c r="U29" i="26"/>
  <c r="U28" i="26"/>
  <c r="S27" i="26"/>
  <c r="J27" i="26"/>
  <c r="E25" i="26"/>
  <c r="E26" i="26"/>
  <c r="N202" i="11"/>
  <c r="P202" i="8" l="1"/>
  <c r="O202" i="8"/>
  <c r="D202" i="22" l="1"/>
  <c r="I202" i="22" l="1"/>
  <c r="H202" i="22"/>
  <c r="G202" i="22"/>
  <c r="F202" i="22"/>
  <c r="E202" i="22"/>
  <c r="C202" i="22"/>
  <c r="B202" i="22"/>
  <c r="M201" i="22"/>
  <c r="L201" i="22"/>
  <c r="K201" i="22"/>
  <c r="J201" i="22"/>
  <c r="M200" i="22"/>
  <c r="L200" i="22"/>
  <c r="K200" i="22"/>
  <c r="J200" i="22"/>
  <c r="M199" i="22"/>
  <c r="L199" i="22"/>
  <c r="K199" i="22"/>
  <c r="J199" i="22"/>
  <c r="M198" i="22"/>
  <c r="L198" i="22"/>
  <c r="K198" i="22"/>
  <c r="J198" i="22"/>
  <c r="M197" i="22"/>
  <c r="L197" i="22"/>
  <c r="K197" i="22"/>
  <c r="J197" i="22"/>
  <c r="M196" i="22"/>
  <c r="L196" i="22"/>
  <c r="K196" i="22"/>
  <c r="J196" i="22"/>
  <c r="M195" i="22"/>
  <c r="L195" i="22"/>
  <c r="K195" i="22"/>
  <c r="J195" i="22"/>
  <c r="M194" i="22"/>
  <c r="L194" i="22"/>
  <c r="K194" i="22"/>
  <c r="J194" i="22"/>
  <c r="M193" i="22"/>
  <c r="L193" i="22"/>
  <c r="K193" i="22"/>
  <c r="J193" i="22"/>
  <c r="M192" i="22"/>
  <c r="L192" i="22"/>
  <c r="K192" i="22"/>
  <c r="J192" i="22"/>
  <c r="M191" i="22"/>
  <c r="L191" i="22"/>
  <c r="K191" i="22"/>
  <c r="J191" i="22"/>
  <c r="M190" i="22"/>
  <c r="L190" i="22"/>
  <c r="K190" i="22"/>
  <c r="J190" i="22"/>
  <c r="M189" i="22"/>
  <c r="L189" i="22"/>
  <c r="K189" i="22"/>
  <c r="J189" i="22"/>
  <c r="M188" i="22"/>
  <c r="L188" i="22"/>
  <c r="K188" i="22"/>
  <c r="J188" i="22"/>
  <c r="M187" i="22"/>
  <c r="L187" i="22"/>
  <c r="K187" i="22"/>
  <c r="J187" i="22"/>
  <c r="M186" i="22"/>
  <c r="L186" i="22"/>
  <c r="K186" i="22"/>
  <c r="J186" i="22"/>
  <c r="M185" i="22"/>
  <c r="L185" i="22"/>
  <c r="K185" i="22"/>
  <c r="J185" i="22"/>
  <c r="M184" i="22"/>
  <c r="L184" i="22"/>
  <c r="K184" i="22"/>
  <c r="J184" i="22"/>
  <c r="M183" i="22"/>
  <c r="L183" i="22"/>
  <c r="K183" i="22"/>
  <c r="J183" i="22"/>
  <c r="M182" i="22"/>
  <c r="L182" i="22"/>
  <c r="K182" i="22"/>
  <c r="J182" i="22"/>
  <c r="M181" i="22"/>
  <c r="L181" i="22"/>
  <c r="K181" i="22"/>
  <c r="J181" i="22"/>
  <c r="M180" i="22"/>
  <c r="L180" i="22"/>
  <c r="K180" i="22"/>
  <c r="J180" i="22"/>
  <c r="M179" i="22"/>
  <c r="L179" i="22"/>
  <c r="K179" i="22"/>
  <c r="J179" i="22"/>
  <c r="M178" i="22"/>
  <c r="L178" i="22"/>
  <c r="K178" i="22"/>
  <c r="J178" i="22"/>
  <c r="M177" i="22"/>
  <c r="L177" i="22"/>
  <c r="K177" i="22"/>
  <c r="J177" i="22"/>
  <c r="M176" i="22"/>
  <c r="L176" i="22"/>
  <c r="K176" i="22"/>
  <c r="J176" i="22"/>
  <c r="M175" i="22"/>
  <c r="L175" i="22"/>
  <c r="K175" i="22"/>
  <c r="J175" i="22"/>
  <c r="M174" i="22"/>
  <c r="L174" i="22"/>
  <c r="K174" i="22"/>
  <c r="J174" i="22"/>
  <c r="M173" i="22"/>
  <c r="L173" i="22"/>
  <c r="K173" i="22"/>
  <c r="J173" i="22"/>
  <c r="M172" i="22"/>
  <c r="L172" i="22"/>
  <c r="K172" i="22"/>
  <c r="J172" i="22"/>
  <c r="M171" i="22"/>
  <c r="L171" i="22"/>
  <c r="K171" i="22"/>
  <c r="J171" i="22"/>
  <c r="M170" i="22"/>
  <c r="L170" i="22"/>
  <c r="K170" i="22"/>
  <c r="J170" i="22"/>
  <c r="M169" i="22"/>
  <c r="L169" i="22"/>
  <c r="K169" i="22"/>
  <c r="J169" i="22"/>
  <c r="M168" i="22"/>
  <c r="L168" i="22"/>
  <c r="K168" i="22"/>
  <c r="J168" i="22"/>
  <c r="M167" i="22"/>
  <c r="L167" i="22"/>
  <c r="K167" i="22"/>
  <c r="J167" i="22"/>
  <c r="M166" i="22"/>
  <c r="L166" i="22"/>
  <c r="K166" i="22"/>
  <c r="J166" i="22"/>
  <c r="M165" i="22"/>
  <c r="L165" i="22"/>
  <c r="K165" i="22"/>
  <c r="J165" i="22"/>
  <c r="M164" i="22"/>
  <c r="L164" i="22"/>
  <c r="K164" i="22"/>
  <c r="J164" i="22"/>
  <c r="M163" i="22"/>
  <c r="L163" i="22"/>
  <c r="K163" i="22"/>
  <c r="J163" i="22"/>
  <c r="M162" i="22"/>
  <c r="L162" i="22"/>
  <c r="K162" i="22"/>
  <c r="J162" i="22"/>
  <c r="M161" i="22"/>
  <c r="L161" i="22"/>
  <c r="K161" i="22"/>
  <c r="J161" i="22"/>
  <c r="M160" i="22"/>
  <c r="L160" i="22"/>
  <c r="K160" i="22"/>
  <c r="J160" i="22"/>
  <c r="M159" i="22"/>
  <c r="L159" i="22"/>
  <c r="K159" i="22"/>
  <c r="J159" i="22"/>
  <c r="M158" i="22"/>
  <c r="L158" i="22"/>
  <c r="K158" i="22"/>
  <c r="J158" i="22"/>
  <c r="M157" i="22"/>
  <c r="L157" i="22"/>
  <c r="K157" i="22"/>
  <c r="J157" i="22"/>
  <c r="M156" i="22"/>
  <c r="L156" i="22"/>
  <c r="K156" i="22"/>
  <c r="J156" i="22"/>
  <c r="M155" i="22"/>
  <c r="L155" i="22"/>
  <c r="K155" i="22"/>
  <c r="J155" i="22"/>
  <c r="M154" i="22"/>
  <c r="L154" i="22"/>
  <c r="K154" i="22"/>
  <c r="J154" i="22"/>
  <c r="M153" i="22"/>
  <c r="L153" i="22"/>
  <c r="K153" i="22"/>
  <c r="J153" i="22"/>
  <c r="M152" i="22"/>
  <c r="L152" i="22"/>
  <c r="K152" i="22"/>
  <c r="J152" i="22"/>
  <c r="M151" i="22"/>
  <c r="L151" i="22"/>
  <c r="K151" i="22"/>
  <c r="J151" i="22"/>
  <c r="M150" i="22"/>
  <c r="L150" i="22"/>
  <c r="K150" i="22"/>
  <c r="J150" i="22"/>
  <c r="M149" i="22"/>
  <c r="L149" i="22"/>
  <c r="K149" i="22"/>
  <c r="J149" i="22"/>
  <c r="M148" i="22"/>
  <c r="L148" i="22"/>
  <c r="K148" i="22"/>
  <c r="J148" i="22"/>
  <c r="M147" i="22"/>
  <c r="L147" i="22"/>
  <c r="K147" i="22"/>
  <c r="J147" i="22"/>
  <c r="M146" i="22"/>
  <c r="L146" i="22"/>
  <c r="K146" i="22"/>
  <c r="J146" i="22"/>
  <c r="M145" i="22"/>
  <c r="L145" i="22"/>
  <c r="K145" i="22"/>
  <c r="J145" i="22"/>
  <c r="M144" i="22"/>
  <c r="L144" i="22"/>
  <c r="K144" i="22"/>
  <c r="J144" i="22"/>
  <c r="M143" i="22"/>
  <c r="L143" i="22"/>
  <c r="K143" i="22"/>
  <c r="J143" i="22"/>
  <c r="M142" i="22"/>
  <c r="L142" i="22"/>
  <c r="K142" i="22"/>
  <c r="J142" i="22"/>
  <c r="M141" i="22"/>
  <c r="L141" i="22"/>
  <c r="K141" i="22"/>
  <c r="J141" i="22"/>
  <c r="M140" i="22"/>
  <c r="L140" i="22"/>
  <c r="K140" i="22"/>
  <c r="J140" i="22"/>
  <c r="M139" i="22"/>
  <c r="L139" i="22"/>
  <c r="K139" i="22"/>
  <c r="J139" i="22"/>
  <c r="M138" i="22"/>
  <c r="L138" i="22"/>
  <c r="K138" i="22"/>
  <c r="J138" i="22"/>
  <c r="M137" i="22"/>
  <c r="L137" i="22"/>
  <c r="K137" i="22"/>
  <c r="J137" i="22"/>
  <c r="M136" i="22"/>
  <c r="L136" i="22"/>
  <c r="K136" i="22"/>
  <c r="J136" i="22"/>
  <c r="M135" i="22"/>
  <c r="L135" i="22"/>
  <c r="K135" i="22"/>
  <c r="J135" i="22"/>
  <c r="M134" i="22"/>
  <c r="L134" i="22"/>
  <c r="K134" i="22"/>
  <c r="J134" i="22"/>
  <c r="M133" i="22"/>
  <c r="L133" i="22"/>
  <c r="K133" i="22"/>
  <c r="J133" i="22"/>
  <c r="M132" i="22"/>
  <c r="L132" i="22"/>
  <c r="K132" i="22"/>
  <c r="J132" i="22"/>
  <c r="M131" i="22"/>
  <c r="L131" i="22"/>
  <c r="K131" i="22"/>
  <c r="J131" i="22"/>
  <c r="M130" i="22"/>
  <c r="L130" i="22"/>
  <c r="K130" i="22"/>
  <c r="J130" i="22"/>
  <c r="M129" i="22"/>
  <c r="L129" i="22"/>
  <c r="K129" i="22"/>
  <c r="J129" i="22"/>
  <c r="M128" i="22"/>
  <c r="L128" i="22"/>
  <c r="K128" i="22"/>
  <c r="J128" i="22"/>
  <c r="M127" i="22"/>
  <c r="L127" i="22"/>
  <c r="K127" i="22"/>
  <c r="J127" i="22"/>
  <c r="M126" i="22"/>
  <c r="L126" i="22"/>
  <c r="K126" i="22"/>
  <c r="J126" i="22"/>
  <c r="M125" i="22"/>
  <c r="L125" i="22"/>
  <c r="K125" i="22"/>
  <c r="J125" i="22"/>
  <c r="M124" i="22"/>
  <c r="L124" i="22"/>
  <c r="K124" i="22"/>
  <c r="J124" i="22"/>
  <c r="M123" i="22"/>
  <c r="L123" i="22"/>
  <c r="K123" i="22"/>
  <c r="J123" i="22"/>
  <c r="M122" i="22"/>
  <c r="L122" i="22"/>
  <c r="K122" i="22"/>
  <c r="J122" i="22"/>
  <c r="M121" i="22"/>
  <c r="L121" i="22"/>
  <c r="K121" i="22"/>
  <c r="J121" i="22"/>
  <c r="M120" i="22"/>
  <c r="L120" i="22"/>
  <c r="K120" i="22"/>
  <c r="J120" i="22"/>
  <c r="M119" i="22"/>
  <c r="L119" i="22"/>
  <c r="K119" i="22"/>
  <c r="J119" i="22"/>
  <c r="M118" i="22"/>
  <c r="L118" i="22"/>
  <c r="K118" i="22"/>
  <c r="J118" i="22"/>
  <c r="M117" i="22"/>
  <c r="L117" i="22"/>
  <c r="K117" i="22"/>
  <c r="J117" i="22"/>
  <c r="M116" i="22"/>
  <c r="L116" i="22"/>
  <c r="K116" i="22"/>
  <c r="J116" i="22"/>
  <c r="M115" i="22"/>
  <c r="L115" i="22"/>
  <c r="K115" i="22"/>
  <c r="J115" i="22"/>
  <c r="M114" i="22"/>
  <c r="L114" i="22"/>
  <c r="K114" i="22"/>
  <c r="J114" i="22"/>
  <c r="M113" i="22"/>
  <c r="L113" i="22"/>
  <c r="K113" i="22"/>
  <c r="J113" i="22"/>
  <c r="M112" i="22"/>
  <c r="L112" i="22"/>
  <c r="K112" i="22"/>
  <c r="J112" i="22"/>
  <c r="M111" i="22"/>
  <c r="L111" i="22"/>
  <c r="K111" i="22"/>
  <c r="J111" i="22"/>
  <c r="M110" i="22"/>
  <c r="L110" i="22"/>
  <c r="K110" i="22"/>
  <c r="J110" i="22"/>
  <c r="M109" i="22"/>
  <c r="L109" i="22"/>
  <c r="K109" i="22"/>
  <c r="J109" i="22"/>
  <c r="M108" i="22"/>
  <c r="L108" i="22"/>
  <c r="K108" i="22"/>
  <c r="J108" i="22"/>
  <c r="M107" i="22"/>
  <c r="L107" i="22"/>
  <c r="K107" i="22"/>
  <c r="J107" i="22"/>
  <c r="M106" i="22"/>
  <c r="L106" i="22"/>
  <c r="K106" i="22"/>
  <c r="J106" i="22"/>
  <c r="M105" i="22"/>
  <c r="L105" i="22"/>
  <c r="K105" i="22"/>
  <c r="J105" i="22"/>
  <c r="M104" i="22"/>
  <c r="L104" i="22"/>
  <c r="K104" i="22"/>
  <c r="J104" i="22"/>
  <c r="M103" i="22"/>
  <c r="L103" i="22"/>
  <c r="K103" i="22"/>
  <c r="J103" i="22"/>
  <c r="M102" i="22"/>
  <c r="L102" i="22"/>
  <c r="K102" i="22"/>
  <c r="J102" i="22"/>
  <c r="M101" i="22"/>
  <c r="L101" i="22"/>
  <c r="K101" i="22"/>
  <c r="J101" i="22"/>
  <c r="M100" i="22"/>
  <c r="L100" i="22"/>
  <c r="K100" i="22"/>
  <c r="J100" i="22"/>
  <c r="M99" i="22"/>
  <c r="L99" i="22"/>
  <c r="K99" i="22"/>
  <c r="J99" i="22"/>
  <c r="M98" i="22"/>
  <c r="L98" i="22"/>
  <c r="K98" i="22"/>
  <c r="J98" i="22"/>
  <c r="M97" i="22"/>
  <c r="L97" i="22"/>
  <c r="K97" i="22"/>
  <c r="J97" i="22"/>
  <c r="M96" i="22"/>
  <c r="L96" i="22"/>
  <c r="K96" i="22"/>
  <c r="J96" i="22"/>
  <c r="M95" i="22"/>
  <c r="L95" i="22"/>
  <c r="K95" i="22"/>
  <c r="J95" i="22"/>
  <c r="M94" i="22"/>
  <c r="L94" i="22"/>
  <c r="K94" i="22"/>
  <c r="J94" i="22"/>
  <c r="M93" i="22"/>
  <c r="L93" i="22"/>
  <c r="K93" i="22"/>
  <c r="J93" i="22"/>
  <c r="M92" i="22"/>
  <c r="L92" i="22"/>
  <c r="K92" i="22"/>
  <c r="J92" i="22"/>
  <c r="M91" i="22"/>
  <c r="L91" i="22"/>
  <c r="K91" i="22"/>
  <c r="J91" i="22"/>
  <c r="M90" i="22"/>
  <c r="L90" i="22"/>
  <c r="K90" i="22"/>
  <c r="J90" i="22"/>
  <c r="M89" i="22"/>
  <c r="L89" i="22"/>
  <c r="K89" i="22"/>
  <c r="J89" i="22"/>
  <c r="M88" i="22"/>
  <c r="L88" i="22"/>
  <c r="K88" i="22"/>
  <c r="J88" i="22"/>
  <c r="M87" i="22"/>
  <c r="L87" i="22"/>
  <c r="K87" i="22"/>
  <c r="J87" i="22"/>
  <c r="M86" i="22"/>
  <c r="L86" i="22"/>
  <c r="K86" i="22"/>
  <c r="J86" i="22"/>
  <c r="M85" i="22"/>
  <c r="L85" i="22"/>
  <c r="K85" i="22"/>
  <c r="J85" i="22"/>
  <c r="M84" i="22"/>
  <c r="L84" i="22"/>
  <c r="K84" i="22"/>
  <c r="J84" i="22"/>
  <c r="M83" i="22"/>
  <c r="L83" i="22"/>
  <c r="K83" i="22"/>
  <c r="J83" i="22"/>
  <c r="M82" i="22"/>
  <c r="L82" i="22"/>
  <c r="K82" i="22"/>
  <c r="J82" i="22"/>
  <c r="M81" i="22"/>
  <c r="L81" i="22"/>
  <c r="K81" i="22"/>
  <c r="J81" i="22"/>
  <c r="M80" i="22"/>
  <c r="L80" i="22"/>
  <c r="K80" i="22"/>
  <c r="J80" i="22"/>
  <c r="M79" i="22"/>
  <c r="L79" i="22"/>
  <c r="K79" i="22"/>
  <c r="J79" i="22"/>
  <c r="M78" i="22"/>
  <c r="L78" i="22"/>
  <c r="K78" i="22"/>
  <c r="J78" i="22"/>
  <c r="M77" i="22"/>
  <c r="L77" i="22"/>
  <c r="K77" i="22"/>
  <c r="J77" i="22"/>
  <c r="M76" i="22"/>
  <c r="L76" i="22"/>
  <c r="K76" i="22"/>
  <c r="J76" i="22"/>
  <c r="M75" i="22"/>
  <c r="L75" i="22"/>
  <c r="K75" i="22"/>
  <c r="J75" i="22"/>
  <c r="M74" i="22"/>
  <c r="L74" i="22"/>
  <c r="K74" i="22"/>
  <c r="J74" i="22"/>
  <c r="M73" i="22"/>
  <c r="L73" i="22"/>
  <c r="K73" i="22"/>
  <c r="J73" i="22"/>
  <c r="M72" i="22"/>
  <c r="L72" i="22"/>
  <c r="K72" i="22"/>
  <c r="J72" i="22"/>
  <c r="M71" i="22"/>
  <c r="L71" i="22"/>
  <c r="K71" i="22"/>
  <c r="J71" i="22"/>
  <c r="M70" i="22"/>
  <c r="L70" i="22"/>
  <c r="K70" i="22"/>
  <c r="J70" i="22"/>
  <c r="M69" i="22"/>
  <c r="L69" i="22"/>
  <c r="K69" i="22"/>
  <c r="J69" i="22"/>
  <c r="M68" i="22"/>
  <c r="L68" i="22"/>
  <c r="K68" i="22"/>
  <c r="J68" i="22"/>
  <c r="M67" i="22"/>
  <c r="L67" i="22"/>
  <c r="K67" i="22"/>
  <c r="J67" i="22"/>
  <c r="M66" i="22"/>
  <c r="L66" i="22"/>
  <c r="K66" i="22"/>
  <c r="J66" i="22"/>
  <c r="M65" i="22"/>
  <c r="L65" i="22"/>
  <c r="K65" i="22"/>
  <c r="J65" i="22"/>
  <c r="M64" i="22"/>
  <c r="L64" i="22"/>
  <c r="K64" i="22"/>
  <c r="J64" i="22"/>
  <c r="M63" i="22"/>
  <c r="L63" i="22"/>
  <c r="K63" i="22"/>
  <c r="J63" i="22"/>
  <c r="M62" i="22"/>
  <c r="L62" i="22"/>
  <c r="K62" i="22"/>
  <c r="J62" i="22"/>
  <c r="M61" i="22"/>
  <c r="L61" i="22"/>
  <c r="K61" i="22"/>
  <c r="J61" i="22"/>
  <c r="M60" i="22"/>
  <c r="L60" i="22"/>
  <c r="K60" i="22"/>
  <c r="J60" i="22"/>
  <c r="M59" i="22"/>
  <c r="L59" i="22"/>
  <c r="K59" i="22"/>
  <c r="J59" i="22"/>
  <c r="M58" i="22"/>
  <c r="L58" i="22"/>
  <c r="K58" i="22"/>
  <c r="J58" i="22"/>
  <c r="M57" i="22"/>
  <c r="L57" i="22"/>
  <c r="K57" i="22"/>
  <c r="J57" i="22"/>
  <c r="M56" i="22"/>
  <c r="L56" i="22"/>
  <c r="K56" i="22"/>
  <c r="J56" i="22"/>
  <c r="M55" i="22"/>
  <c r="L55" i="22"/>
  <c r="K55" i="22"/>
  <c r="J55" i="22"/>
  <c r="M54" i="22"/>
  <c r="L54" i="22"/>
  <c r="K54" i="22"/>
  <c r="J54" i="22"/>
  <c r="M53" i="22"/>
  <c r="L53" i="22"/>
  <c r="K53" i="22"/>
  <c r="J53" i="22"/>
  <c r="M52" i="22"/>
  <c r="L52" i="22"/>
  <c r="K52" i="22"/>
  <c r="J52" i="22"/>
  <c r="M51" i="22"/>
  <c r="L51" i="22"/>
  <c r="K51" i="22"/>
  <c r="J51" i="22"/>
  <c r="M50" i="22"/>
  <c r="L50" i="22"/>
  <c r="K50" i="22"/>
  <c r="J50" i="22"/>
  <c r="M49" i="22"/>
  <c r="L49" i="22"/>
  <c r="K49" i="22"/>
  <c r="J49" i="22"/>
  <c r="M48" i="22"/>
  <c r="L48" i="22"/>
  <c r="K48" i="22"/>
  <c r="J48" i="22"/>
  <c r="M47" i="22"/>
  <c r="L47" i="22"/>
  <c r="K47" i="22"/>
  <c r="J47" i="22"/>
  <c r="M46" i="22"/>
  <c r="L46" i="22"/>
  <c r="K46" i="22"/>
  <c r="J46" i="22"/>
  <c r="M45" i="22"/>
  <c r="L45" i="22"/>
  <c r="K45" i="22"/>
  <c r="J45" i="22"/>
  <c r="M44" i="22"/>
  <c r="L44" i="22"/>
  <c r="K44" i="22"/>
  <c r="J44" i="22"/>
  <c r="M43" i="22"/>
  <c r="L43" i="22"/>
  <c r="K43" i="22"/>
  <c r="J43" i="22"/>
  <c r="M42" i="22"/>
  <c r="L42" i="22"/>
  <c r="K42" i="22"/>
  <c r="J42" i="22"/>
  <c r="M41" i="22"/>
  <c r="L41" i="22"/>
  <c r="K41" i="22"/>
  <c r="J41" i="22"/>
  <c r="M40" i="22"/>
  <c r="L40" i="22"/>
  <c r="K40" i="22"/>
  <c r="J40" i="22"/>
  <c r="M39" i="22"/>
  <c r="L39" i="22"/>
  <c r="K39" i="22"/>
  <c r="J39" i="22"/>
  <c r="M38" i="22"/>
  <c r="L38" i="22"/>
  <c r="K38" i="22"/>
  <c r="J38" i="22"/>
  <c r="M37" i="22"/>
  <c r="L37" i="22"/>
  <c r="K37" i="22"/>
  <c r="J37" i="22"/>
  <c r="M36" i="22"/>
  <c r="L36" i="22"/>
  <c r="K36" i="22"/>
  <c r="J36" i="22"/>
  <c r="M35" i="22"/>
  <c r="L35" i="22"/>
  <c r="K35" i="22"/>
  <c r="J35" i="22"/>
  <c r="M34" i="22"/>
  <c r="L34" i="22"/>
  <c r="K34" i="22"/>
  <c r="J34" i="22"/>
  <c r="M33" i="22"/>
  <c r="L33" i="22"/>
  <c r="K33" i="22"/>
  <c r="J33" i="22"/>
  <c r="M32" i="22"/>
  <c r="L32" i="22"/>
  <c r="K32" i="22"/>
  <c r="J32" i="22"/>
  <c r="M31" i="22"/>
  <c r="L31" i="22"/>
  <c r="K31" i="22"/>
  <c r="J31" i="22"/>
  <c r="M30" i="22"/>
  <c r="L30" i="22"/>
  <c r="K30" i="22"/>
  <c r="J30" i="22"/>
  <c r="M29" i="22"/>
  <c r="L29" i="22"/>
  <c r="K29" i="22"/>
  <c r="J29" i="22"/>
  <c r="M28" i="22"/>
  <c r="L28" i="22"/>
  <c r="K28" i="22"/>
  <c r="J28" i="22"/>
  <c r="M27" i="22"/>
  <c r="L27" i="22"/>
  <c r="K27" i="22"/>
  <c r="J27" i="22"/>
  <c r="M26" i="22"/>
  <c r="L26" i="22"/>
  <c r="K26" i="22"/>
  <c r="J26" i="22"/>
  <c r="M25" i="22"/>
  <c r="L25" i="22"/>
  <c r="K25" i="22"/>
  <c r="J25" i="22"/>
  <c r="M24" i="22"/>
  <c r="L24" i="22"/>
  <c r="K24" i="22"/>
  <c r="J24" i="22"/>
  <c r="M23" i="22"/>
  <c r="L23" i="22"/>
  <c r="K23" i="22"/>
  <c r="J23" i="22"/>
  <c r="M22" i="22"/>
  <c r="L22" i="22"/>
  <c r="K22" i="22"/>
  <c r="J22" i="22"/>
  <c r="M21" i="22"/>
  <c r="L21" i="22"/>
  <c r="K21" i="22"/>
  <c r="J21" i="22"/>
  <c r="M20" i="22"/>
  <c r="L20" i="22"/>
  <c r="K20" i="22"/>
  <c r="J20" i="22"/>
  <c r="M19" i="22"/>
  <c r="L19" i="22"/>
  <c r="K19" i="22"/>
  <c r="J19" i="22"/>
  <c r="M18" i="22"/>
  <c r="L18" i="22"/>
  <c r="K18" i="22"/>
  <c r="J18" i="22"/>
  <c r="M17" i="22"/>
  <c r="L17" i="22"/>
  <c r="K17" i="22"/>
  <c r="J17" i="22"/>
  <c r="M16" i="22"/>
  <c r="L16" i="22"/>
  <c r="K16" i="22"/>
  <c r="J16" i="22"/>
  <c r="M15" i="22"/>
  <c r="L15" i="22"/>
  <c r="K15" i="22"/>
  <c r="J15" i="22"/>
  <c r="M14" i="22"/>
  <c r="L14" i="22"/>
  <c r="K14" i="22"/>
  <c r="J14" i="22"/>
  <c r="M13" i="22"/>
  <c r="L13" i="22"/>
  <c r="K13" i="22"/>
  <c r="J13" i="22"/>
  <c r="M12" i="22"/>
  <c r="L12" i="22"/>
  <c r="K12" i="22"/>
  <c r="J12" i="22"/>
  <c r="M11" i="22"/>
  <c r="L11" i="22"/>
  <c r="K11" i="22"/>
  <c r="J11" i="22"/>
  <c r="M10" i="22"/>
  <c r="L10" i="22"/>
  <c r="L202" i="22" s="1"/>
  <c r="K10" i="22"/>
  <c r="J10" i="22"/>
  <c r="J202" i="22" s="1"/>
  <c r="K202" i="22" l="1"/>
  <c r="M202" i="22"/>
  <c r="G202" i="21"/>
  <c r="F202" i="21"/>
  <c r="E202" i="21"/>
  <c r="D202" i="21"/>
  <c r="C202" i="21"/>
  <c r="B202" i="21"/>
  <c r="I201" i="21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I202" i="21" s="1"/>
  <c r="H10" i="21"/>
  <c r="H202" i="21" s="1"/>
  <c r="I202" i="20" l="1"/>
  <c r="H202" i="20"/>
  <c r="G202" i="20"/>
  <c r="F202" i="20"/>
  <c r="E202" i="20"/>
  <c r="D202" i="20"/>
  <c r="C202" i="20"/>
  <c r="B202" i="20"/>
  <c r="M201" i="20"/>
  <c r="L201" i="20"/>
  <c r="K201" i="20"/>
  <c r="J201" i="20"/>
  <c r="M200" i="20"/>
  <c r="L200" i="20"/>
  <c r="K200" i="20"/>
  <c r="J200" i="20"/>
  <c r="M199" i="20"/>
  <c r="L199" i="20"/>
  <c r="K199" i="20"/>
  <c r="J199" i="20"/>
  <c r="M198" i="20"/>
  <c r="L198" i="20"/>
  <c r="K198" i="20"/>
  <c r="J198" i="20"/>
  <c r="M197" i="20"/>
  <c r="L197" i="20"/>
  <c r="K197" i="20"/>
  <c r="J197" i="20"/>
  <c r="M196" i="20"/>
  <c r="L196" i="20"/>
  <c r="K196" i="20"/>
  <c r="J196" i="20"/>
  <c r="M195" i="20"/>
  <c r="L195" i="20"/>
  <c r="K195" i="20"/>
  <c r="J195" i="20"/>
  <c r="M194" i="20"/>
  <c r="L194" i="20"/>
  <c r="K194" i="20"/>
  <c r="J194" i="20"/>
  <c r="M193" i="20"/>
  <c r="L193" i="20"/>
  <c r="K193" i="20"/>
  <c r="J193" i="20"/>
  <c r="M192" i="20"/>
  <c r="L192" i="20"/>
  <c r="K192" i="20"/>
  <c r="J192" i="20"/>
  <c r="M191" i="20"/>
  <c r="L191" i="20"/>
  <c r="K191" i="20"/>
  <c r="J191" i="20"/>
  <c r="M190" i="20"/>
  <c r="L190" i="20"/>
  <c r="K190" i="20"/>
  <c r="J190" i="20"/>
  <c r="M189" i="20"/>
  <c r="L189" i="20"/>
  <c r="K189" i="20"/>
  <c r="J189" i="20"/>
  <c r="M188" i="20"/>
  <c r="L188" i="20"/>
  <c r="K188" i="20"/>
  <c r="J188" i="20"/>
  <c r="M187" i="20"/>
  <c r="L187" i="20"/>
  <c r="K187" i="20"/>
  <c r="J187" i="20"/>
  <c r="M186" i="20"/>
  <c r="L186" i="20"/>
  <c r="K186" i="20"/>
  <c r="J186" i="20"/>
  <c r="M185" i="20"/>
  <c r="L185" i="20"/>
  <c r="K185" i="20"/>
  <c r="J185" i="20"/>
  <c r="M184" i="20"/>
  <c r="L184" i="20"/>
  <c r="K184" i="20"/>
  <c r="J184" i="20"/>
  <c r="M183" i="20"/>
  <c r="L183" i="20"/>
  <c r="K183" i="20"/>
  <c r="J183" i="20"/>
  <c r="M182" i="20"/>
  <c r="L182" i="20"/>
  <c r="K182" i="20"/>
  <c r="J182" i="20"/>
  <c r="M181" i="20"/>
  <c r="L181" i="20"/>
  <c r="K181" i="20"/>
  <c r="J181" i="20"/>
  <c r="M180" i="20"/>
  <c r="L180" i="20"/>
  <c r="K180" i="20"/>
  <c r="J180" i="20"/>
  <c r="M179" i="20"/>
  <c r="L179" i="20"/>
  <c r="K179" i="20"/>
  <c r="J179" i="20"/>
  <c r="M178" i="20"/>
  <c r="L178" i="20"/>
  <c r="K178" i="20"/>
  <c r="J178" i="20"/>
  <c r="M177" i="20"/>
  <c r="L177" i="20"/>
  <c r="K177" i="20"/>
  <c r="J177" i="20"/>
  <c r="M176" i="20"/>
  <c r="L176" i="20"/>
  <c r="K176" i="20"/>
  <c r="J176" i="20"/>
  <c r="M175" i="20"/>
  <c r="L175" i="20"/>
  <c r="K175" i="20"/>
  <c r="J175" i="20"/>
  <c r="M174" i="20"/>
  <c r="L174" i="20"/>
  <c r="K174" i="20"/>
  <c r="J174" i="20"/>
  <c r="M173" i="20"/>
  <c r="L173" i="20"/>
  <c r="K173" i="20"/>
  <c r="J173" i="20"/>
  <c r="M172" i="20"/>
  <c r="L172" i="20"/>
  <c r="K172" i="20"/>
  <c r="J172" i="20"/>
  <c r="M171" i="20"/>
  <c r="L171" i="20"/>
  <c r="K171" i="20"/>
  <c r="J171" i="20"/>
  <c r="M170" i="20"/>
  <c r="L170" i="20"/>
  <c r="K170" i="20"/>
  <c r="J170" i="20"/>
  <c r="M169" i="20"/>
  <c r="L169" i="20"/>
  <c r="K169" i="20"/>
  <c r="J169" i="20"/>
  <c r="M168" i="20"/>
  <c r="L168" i="20"/>
  <c r="K168" i="20"/>
  <c r="J168" i="20"/>
  <c r="M167" i="20"/>
  <c r="L167" i="20"/>
  <c r="K167" i="20"/>
  <c r="J167" i="20"/>
  <c r="M166" i="20"/>
  <c r="L166" i="20"/>
  <c r="K166" i="20"/>
  <c r="J166" i="20"/>
  <c r="M165" i="20"/>
  <c r="L165" i="20"/>
  <c r="K165" i="20"/>
  <c r="J165" i="20"/>
  <c r="M164" i="20"/>
  <c r="L164" i="20"/>
  <c r="K164" i="20"/>
  <c r="J164" i="20"/>
  <c r="M163" i="20"/>
  <c r="L163" i="20"/>
  <c r="K163" i="20"/>
  <c r="J163" i="20"/>
  <c r="M162" i="20"/>
  <c r="L162" i="20"/>
  <c r="K162" i="20"/>
  <c r="J162" i="20"/>
  <c r="M161" i="20"/>
  <c r="L161" i="20"/>
  <c r="K161" i="20"/>
  <c r="J161" i="20"/>
  <c r="M160" i="20"/>
  <c r="L160" i="20"/>
  <c r="K160" i="20"/>
  <c r="J160" i="20"/>
  <c r="M159" i="20"/>
  <c r="L159" i="20"/>
  <c r="K159" i="20"/>
  <c r="J159" i="20"/>
  <c r="M158" i="20"/>
  <c r="L158" i="20"/>
  <c r="K158" i="20"/>
  <c r="J158" i="20"/>
  <c r="M157" i="20"/>
  <c r="L157" i="20"/>
  <c r="K157" i="20"/>
  <c r="J157" i="20"/>
  <c r="M156" i="20"/>
  <c r="L156" i="20"/>
  <c r="K156" i="20"/>
  <c r="J156" i="20"/>
  <c r="M155" i="20"/>
  <c r="L155" i="20"/>
  <c r="K155" i="20"/>
  <c r="J155" i="20"/>
  <c r="M154" i="20"/>
  <c r="L154" i="20"/>
  <c r="K154" i="20"/>
  <c r="J154" i="20"/>
  <c r="M153" i="20"/>
  <c r="L153" i="20"/>
  <c r="K153" i="20"/>
  <c r="J153" i="20"/>
  <c r="M152" i="20"/>
  <c r="L152" i="20"/>
  <c r="K152" i="20"/>
  <c r="J152" i="20"/>
  <c r="M151" i="20"/>
  <c r="L151" i="20"/>
  <c r="K151" i="20"/>
  <c r="J151" i="20"/>
  <c r="M150" i="20"/>
  <c r="L150" i="20"/>
  <c r="K150" i="20"/>
  <c r="J150" i="20"/>
  <c r="M149" i="20"/>
  <c r="L149" i="20"/>
  <c r="K149" i="20"/>
  <c r="J149" i="20"/>
  <c r="M148" i="20"/>
  <c r="L148" i="20"/>
  <c r="K148" i="20"/>
  <c r="J148" i="20"/>
  <c r="M147" i="20"/>
  <c r="L147" i="20"/>
  <c r="K147" i="20"/>
  <c r="J147" i="20"/>
  <c r="M146" i="20"/>
  <c r="L146" i="20"/>
  <c r="K146" i="20"/>
  <c r="J146" i="20"/>
  <c r="M145" i="20"/>
  <c r="L145" i="20"/>
  <c r="K145" i="20"/>
  <c r="J145" i="20"/>
  <c r="M144" i="20"/>
  <c r="L144" i="20"/>
  <c r="K144" i="20"/>
  <c r="J144" i="20"/>
  <c r="M143" i="20"/>
  <c r="L143" i="20"/>
  <c r="K143" i="20"/>
  <c r="J143" i="20"/>
  <c r="M142" i="20"/>
  <c r="L142" i="20"/>
  <c r="K142" i="20"/>
  <c r="J142" i="20"/>
  <c r="M141" i="20"/>
  <c r="L141" i="20"/>
  <c r="K141" i="20"/>
  <c r="J141" i="20"/>
  <c r="M140" i="20"/>
  <c r="L140" i="20"/>
  <c r="K140" i="20"/>
  <c r="J140" i="20"/>
  <c r="M139" i="20"/>
  <c r="L139" i="20"/>
  <c r="K139" i="20"/>
  <c r="J139" i="20"/>
  <c r="M138" i="20"/>
  <c r="L138" i="20"/>
  <c r="K138" i="20"/>
  <c r="J138" i="20"/>
  <c r="M137" i="20"/>
  <c r="L137" i="20"/>
  <c r="K137" i="20"/>
  <c r="J137" i="20"/>
  <c r="M136" i="20"/>
  <c r="L136" i="20"/>
  <c r="K136" i="20"/>
  <c r="J136" i="20"/>
  <c r="M135" i="20"/>
  <c r="L135" i="20"/>
  <c r="K135" i="20"/>
  <c r="J135" i="20"/>
  <c r="M134" i="20"/>
  <c r="L134" i="20"/>
  <c r="K134" i="20"/>
  <c r="J134" i="20"/>
  <c r="M133" i="20"/>
  <c r="L133" i="20"/>
  <c r="K133" i="20"/>
  <c r="J133" i="20"/>
  <c r="M132" i="20"/>
  <c r="L132" i="20"/>
  <c r="K132" i="20"/>
  <c r="J132" i="20"/>
  <c r="M131" i="20"/>
  <c r="L131" i="20"/>
  <c r="K131" i="20"/>
  <c r="J131" i="20"/>
  <c r="M130" i="20"/>
  <c r="L130" i="20"/>
  <c r="K130" i="20"/>
  <c r="J130" i="20"/>
  <c r="M129" i="20"/>
  <c r="L129" i="20"/>
  <c r="K129" i="20"/>
  <c r="J129" i="20"/>
  <c r="M128" i="20"/>
  <c r="L128" i="20"/>
  <c r="K128" i="20"/>
  <c r="J128" i="20"/>
  <c r="M127" i="20"/>
  <c r="L127" i="20"/>
  <c r="K127" i="20"/>
  <c r="J127" i="20"/>
  <c r="M126" i="20"/>
  <c r="L126" i="20"/>
  <c r="K126" i="20"/>
  <c r="J126" i="20"/>
  <c r="M125" i="20"/>
  <c r="L125" i="20"/>
  <c r="K125" i="20"/>
  <c r="J125" i="20"/>
  <c r="M124" i="20"/>
  <c r="L124" i="20"/>
  <c r="K124" i="20"/>
  <c r="J124" i="20"/>
  <c r="M123" i="20"/>
  <c r="L123" i="20"/>
  <c r="K123" i="20"/>
  <c r="J123" i="20"/>
  <c r="M122" i="20"/>
  <c r="L122" i="20"/>
  <c r="K122" i="20"/>
  <c r="J122" i="20"/>
  <c r="M121" i="20"/>
  <c r="L121" i="20"/>
  <c r="K121" i="20"/>
  <c r="J121" i="20"/>
  <c r="M120" i="20"/>
  <c r="L120" i="20"/>
  <c r="K120" i="20"/>
  <c r="J120" i="20"/>
  <c r="M119" i="20"/>
  <c r="L119" i="20"/>
  <c r="K119" i="20"/>
  <c r="J119" i="20"/>
  <c r="M118" i="20"/>
  <c r="L118" i="20"/>
  <c r="K118" i="20"/>
  <c r="J118" i="20"/>
  <c r="M117" i="20"/>
  <c r="L117" i="20"/>
  <c r="K117" i="20"/>
  <c r="J117" i="20"/>
  <c r="M116" i="20"/>
  <c r="L116" i="20"/>
  <c r="K116" i="20"/>
  <c r="J116" i="20"/>
  <c r="M115" i="20"/>
  <c r="L115" i="20"/>
  <c r="K115" i="20"/>
  <c r="J115" i="20"/>
  <c r="M114" i="20"/>
  <c r="L114" i="20"/>
  <c r="K114" i="20"/>
  <c r="J114" i="20"/>
  <c r="M113" i="20"/>
  <c r="L113" i="20"/>
  <c r="K113" i="20"/>
  <c r="J113" i="20"/>
  <c r="M112" i="20"/>
  <c r="L112" i="20"/>
  <c r="K112" i="20"/>
  <c r="J112" i="20"/>
  <c r="M111" i="20"/>
  <c r="L111" i="20"/>
  <c r="K111" i="20"/>
  <c r="J111" i="20"/>
  <c r="M110" i="20"/>
  <c r="L110" i="20"/>
  <c r="K110" i="20"/>
  <c r="J110" i="20"/>
  <c r="M109" i="20"/>
  <c r="L109" i="20"/>
  <c r="K109" i="20"/>
  <c r="J109" i="20"/>
  <c r="M108" i="20"/>
  <c r="L108" i="20"/>
  <c r="K108" i="20"/>
  <c r="J108" i="20"/>
  <c r="M107" i="20"/>
  <c r="L107" i="20"/>
  <c r="K107" i="20"/>
  <c r="J107" i="20"/>
  <c r="M106" i="20"/>
  <c r="L106" i="20"/>
  <c r="K106" i="20"/>
  <c r="J106" i="20"/>
  <c r="M105" i="20"/>
  <c r="L105" i="20"/>
  <c r="K105" i="20"/>
  <c r="J105" i="20"/>
  <c r="M104" i="20"/>
  <c r="L104" i="20"/>
  <c r="K104" i="20"/>
  <c r="J104" i="20"/>
  <c r="M103" i="20"/>
  <c r="L103" i="20"/>
  <c r="K103" i="20"/>
  <c r="J103" i="20"/>
  <c r="M102" i="20"/>
  <c r="L102" i="20"/>
  <c r="K102" i="20"/>
  <c r="J102" i="20"/>
  <c r="M101" i="20"/>
  <c r="L101" i="20"/>
  <c r="K101" i="20"/>
  <c r="J101" i="20"/>
  <c r="M100" i="20"/>
  <c r="L100" i="20"/>
  <c r="K100" i="20"/>
  <c r="J100" i="20"/>
  <c r="M99" i="20"/>
  <c r="L99" i="20"/>
  <c r="K99" i="20"/>
  <c r="J99" i="20"/>
  <c r="M98" i="20"/>
  <c r="L98" i="20"/>
  <c r="K98" i="20"/>
  <c r="J98" i="20"/>
  <c r="M97" i="20"/>
  <c r="L97" i="20"/>
  <c r="K97" i="20"/>
  <c r="J97" i="20"/>
  <c r="M96" i="20"/>
  <c r="L96" i="20"/>
  <c r="K96" i="20"/>
  <c r="J96" i="20"/>
  <c r="M95" i="20"/>
  <c r="L95" i="20"/>
  <c r="K95" i="20"/>
  <c r="J95" i="20"/>
  <c r="M94" i="20"/>
  <c r="L94" i="20"/>
  <c r="K94" i="20"/>
  <c r="J94" i="20"/>
  <c r="M93" i="20"/>
  <c r="L93" i="20"/>
  <c r="K93" i="20"/>
  <c r="J93" i="20"/>
  <c r="M92" i="20"/>
  <c r="L92" i="20"/>
  <c r="K92" i="20"/>
  <c r="J92" i="20"/>
  <c r="M91" i="20"/>
  <c r="L91" i="20"/>
  <c r="K91" i="20"/>
  <c r="J91" i="20"/>
  <c r="M90" i="20"/>
  <c r="L90" i="20"/>
  <c r="K90" i="20"/>
  <c r="J90" i="20"/>
  <c r="M89" i="20"/>
  <c r="L89" i="20"/>
  <c r="K89" i="20"/>
  <c r="J89" i="20"/>
  <c r="M88" i="20"/>
  <c r="L88" i="20"/>
  <c r="K88" i="20"/>
  <c r="J88" i="20"/>
  <c r="M87" i="20"/>
  <c r="L87" i="20"/>
  <c r="K87" i="20"/>
  <c r="J87" i="20"/>
  <c r="M86" i="20"/>
  <c r="L86" i="20"/>
  <c r="K86" i="20"/>
  <c r="J86" i="20"/>
  <c r="M85" i="20"/>
  <c r="L85" i="20"/>
  <c r="K85" i="20"/>
  <c r="J85" i="20"/>
  <c r="M84" i="20"/>
  <c r="L84" i="20"/>
  <c r="K84" i="20"/>
  <c r="J84" i="20"/>
  <c r="M83" i="20"/>
  <c r="L83" i="20"/>
  <c r="K83" i="20"/>
  <c r="J83" i="20"/>
  <c r="M82" i="20"/>
  <c r="L82" i="20"/>
  <c r="K82" i="20"/>
  <c r="J82" i="20"/>
  <c r="M81" i="20"/>
  <c r="L81" i="20"/>
  <c r="K81" i="20"/>
  <c r="J81" i="20"/>
  <c r="M80" i="20"/>
  <c r="L80" i="20"/>
  <c r="K80" i="20"/>
  <c r="J80" i="20"/>
  <c r="M79" i="20"/>
  <c r="L79" i="20"/>
  <c r="K79" i="20"/>
  <c r="J79" i="20"/>
  <c r="M78" i="20"/>
  <c r="L78" i="20"/>
  <c r="K78" i="20"/>
  <c r="J78" i="20"/>
  <c r="M77" i="20"/>
  <c r="L77" i="20"/>
  <c r="K77" i="20"/>
  <c r="J77" i="20"/>
  <c r="M76" i="20"/>
  <c r="L76" i="20"/>
  <c r="K76" i="20"/>
  <c r="J76" i="20"/>
  <c r="M75" i="20"/>
  <c r="L75" i="20"/>
  <c r="K75" i="20"/>
  <c r="J75" i="20"/>
  <c r="M74" i="20"/>
  <c r="L74" i="20"/>
  <c r="K74" i="20"/>
  <c r="J74" i="20"/>
  <c r="M73" i="20"/>
  <c r="L73" i="20"/>
  <c r="K73" i="20"/>
  <c r="J73" i="20"/>
  <c r="M72" i="20"/>
  <c r="L72" i="20"/>
  <c r="K72" i="20"/>
  <c r="J72" i="20"/>
  <c r="M71" i="20"/>
  <c r="L71" i="20"/>
  <c r="K71" i="20"/>
  <c r="J71" i="20"/>
  <c r="M70" i="20"/>
  <c r="L70" i="20"/>
  <c r="K70" i="20"/>
  <c r="J70" i="20"/>
  <c r="M69" i="20"/>
  <c r="L69" i="20"/>
  <c r="K69" i="20"/>
  <c r="J69" i="20"/>
  <c r="M68" i="20"/>
  <c r="L68" i="20"/>
  <c r="K68" i="20"/>
  <c r="J68" i="20"/>
  <c r="M67" i="20"/>
  <c r="L67" i="20"/>
  <c r="K67" i="20"/>
  <c r="J67" i="20"/>
  <c r="M66" i="20"/>
  <c r="L66" i="20"/>
  <c r="K66" i="20"/>
  <c r="J66" i="20"/>
  <c r="M65" i="20"/>
  <c r="L65" i="20"/>
  <c r="K65" i="20"/>
  <c r="J65" i="20"/>
  <c r="M64" i="20"/>
  <c r="L64" i="20"/>
  <c r="K64" i="20"/>
  <c r="J64" i="20"/>
  <c r="M63" i="20"/>
  <c r="L63" i="20"/>
  <c r="K63" i="20"/>
  <c r="J63" i="20"/>
  <c r="M62" i="20"/>
  <c r="L62" i="20"/>
  <c r="K62" i="20"/>
  <c r="J62" i="20"/>
  <c r="M61" i="20"/>
  <c r="L61" i="20"/>
  <c r="K61" i="20"/>
  <c r="J61" i="20"/>
  <c r="M60" i="20"/>
  <c r="L60" i="20"/>
  <c r="K60" i="20"/>
  <c r="J60" i="20"/>
  <c r="M59" i="20"/>
  <c r="L59" i="20"/>
  <c r="K59" i="20"/>
  <c r="J59" i="20"/>
  <c r="M58" i="20"/>
  <c r="L58" i="20"/>
  <c r="K58" i="20"/>
  <c r="J58" i="20"/>
  <c r="M57" i="20"/>
  <c r="L57" i="20"/>
  <c r="K57" i="20"/>
  <c r="J57" i="20"/>
  <c r="M56" i="20"/>
  <c r="L56" i="20"/>
  <c r="K56" i="20"/>
  <c r="J56" i="20"/>
  <c r="M55" i="20"/>
  <c r="L55" i="20"/>
  <c r="K55" i="20"/>
  <c r="J55" i="20"/>
  <c r="M54" i="20"/>
  <c r="L54" i="20"/>
  <c r="K54" i="20"/>
  <c r="J54" i="20"/>
  <c r="M53" i="20"/>
  <c r="L53" i="20"/>
  <c r="K53" i="20"/>
  <c r="J53" i="20"/>
  <c r="M52" i="20"/>
  <c r="L52" i="20"/>
  <c r="K52" i="20"/>
  <c r="J52" i="20"/>
  <c r="M51" i="20"/>
  <c r="L51" i="20"/>
  <c r="K51" i="20"/>
  <c r="J51" i="20"/>
  <c r="M50" i="20"/>
  <c r="L50" i="20"/>
  <c r="K50" i="20"/>
  <c r="J50" i="20"/>
  <c r="M49" i="20"/>
  <c r="L49" i="20"/>
  <c r="K49" i="20"/>
  <c r="J49" i="20"/>
  <c r="M48" i="20"/>
  <c r="L48" i="20"/>
  <c r="K48" i="20"/>
  <c r="J48" i="20"/>
  <c r="M47" i="20"/>
  <c r="L47" i="20"/>
  <c r="K47" i="20"/>
  <c r="J47" i="20"/>
  <c r="M46" i="20"/>
  <c r="L46" i="20"/>
  <c r="K46" i="20"/>
  <c r="J46" i="20"/>
  <c r="M45" i="20"/>
  <c r="L45" i="20"/>
  <c r="K45" i="20"/>
  <c r="J45" i="20"/>
  <c r="M44" i="20"/>
  <c r="L44" i="20"/>
  <c r="K44" i="20"/>
  <c r="J44" i="20"/>
  <c r="M43" i="20"/>
  <c r="L43" i="20"/>
  <c r="K43" i="20"/>
  <c r="J43" i="20"/>
  <c r="M42" i="20"/>
  <c r="L42" i="20"/>
  <c r="K42" i="20"/>
  <c r="J42" i="20"/>
  <c r="M41" i="20"/>
  <c r="L41" i="20"/>
  <c r="K41" i="20"/>
  <c r="J41" i="20"/>
  <c r="M40" i="20"/>
  <c r="L40" i="20"/>
  <c r="K40" i="20"/>
  <c r="J40" i="20"/>
  <c r="M39" i="20"/>
  <c r="L39" i="20"/>
  <c r="K39" i="20"/>
  <c r="J39" i="20"/>
  <c r="M38" i="20"/>
  <c r="L38" i="20"/>
  <c r="K38" i="20"/>
  <c r="J38" i="20"/>
  <c r="M37" i="20"/>
  <c r="L37" i="20"/>
  <c r="K37" i="20"/>
  <c r="J37" i="20"/>
  <c r="M36" i="20"/>
  <c r="L36" i="20"/>
  <c r="K36" i="20"/>
  <c r="J36" i="20"/>
  <c r="M35" i="20"/>
  <c r="L35" i="20"/>
  <c r="K35" i="20"/>
  <c r="J35" i="20"/>
  <c r="M34" i="20"/>
  <c r="L34" i="20"/>
  <c r="K34" i="20"/>
  <c r="J34" i="20"/>
  <c r="M33" i="20"/>
  <c r="L33" i="20"/>
  <c r="K33" i="20"/>
  <c r="J33" i="20"/>
  <c r="M32" i="20"/>
  <c r="L32" i="20"/>
  <c r="K32" i="20"/>
  <c r="J32" i="20"/>
  <c r="M31" i="20"/>
  <c r="L31" i="20"/>
  <c r="K31" i="20"/>
  <c r="J31" i="20"/>
  <c r="M30" i="20"/>
  <c r="L30" i="20"/>
  <c r="K30" i="20"/>
  <c r="J30" i="20"/>
  <c r="M29" i="20"/>
  <c r="L29" i="20"/>
  <c r="K29" i="20"/>
  <c r="J29" i="20"/>
  <c r="M28" i="20"/>
  <c r="L28" i="20"/>
  <c r="K28" i="20"/>
  <c r="J28" i="20"/>
  <c r="M27" i="20"/>
  <c r="L27" i="20"/>
  <c r="K27" i="20"/>
  <c r="J27" i="20"/>
  <c r="M26" i="20"/>
  <c r="L26" i="20"/>
  <c r="K26" i="20"/>
  <c r="J26" i="20"/>
  <c r="M25" i="20"/>
  <c r="L25" i="20"/>
  <c r="K25" i="20"/>
  <c r="J25" i="20"/>
  <c r="M24" i="20"/>
  <c r="L24" i="20"/>
  <c r="K24" i="20"/>
  <c r="J24" i="20"/>
  <c r="M23" i="20"/>
  <c r="L23" i="20"/>
  <c r="K23" i="20"/>
  <c r="J23" i="20"/>
  <c r="M22" i="20"/>
  <c r="L22" i="20"/>
  <c r="K22" i="20"/>
  <c r="J22" i="20"/>
  <c r="M21" i="20"/>
  <c r="L21" i="20"/>
  <c r="K21" i="20"/>
  <c r="J21" i="20"/>
  <c r="M20" i="20"/>
  <c r="L20" i="20"/>
  <c r="K20" i="20"/>
  <c r="J20" i="20"/>
  <c r="M19" i="20"/>
  <c r="L19" i="20"/>
  <c r="K19" i="20"/>
  <c r="J19" i="20"/>
  <c r="M18" i="20"/>
  <c r="L18" i="20"/>
  <c r="K18" i="20"/>
  <c r="J18" i="20"/>
  <c r="M17" i="20"/>
  <c r="L17" i="20"/>
  <c r="K17" i="20"/>
  <c r="J17" i="20"/>
  <c r="M16" i="20"/>
  <c r="L16" i="20"/>
  <c r="K16" i="20"/>
  <c r="J16" i="20"/>
  <c r="M15" i="20"/>
  <c r="L15" i="20"/>
  <c r="K15" i="20"/>
  <c r="J15" i="20"/>
  <c r="M14" i="20"/>
  <c r="L14" i="20"/>
  <c r="K14" i="20"/>
  <c r="J14" i="20"/>
  <c r="M13" i="20"/>
  <c r="L13" i="20"/>
  <c r="K13" i="20"/>
  <c r="J13" i="20"/>
  <c r="M12" i="20"/>
  <c r="L12" i="20"/>
  <c r="K12" i="20"/>
  <c r="J12" i="20"/>
  <c r="M11" i="20"/>
  <c r="L11" i="20"/>
  <c r="K11" i="20"/>
  <c r="J11" i="20"/>
  <c r="M10" i="20"/>
  <c r="M202" i="20" s="1"/>
  <c r="L10" i="20"/>
  <c r="L202" i="20" s="1"/>
  <c r="K10" i="20"/>
  <c r="K202" i="20" s="1"/>
  <c r="J10" i="20"/>
  <c r="J202" i="20" s="1"/>
  <c r="I202" i="19"/>
  <c r="H202" i="19"/>
  <c r="G202" i="19"/>
  <c r="F202" i="19"/>
  <c r="E202" i="19"/>
  <c r="D202" i="19"/>
  <c r="C202" i="19"/>
  <c r="B202" i="19"/>
  <c r="M201" i="19"/>
  <c r="L201" i="19"/>
  <c r="K201" i="19"/>
  <c r="J201" i="19"/>
  <c r="M200" i="19"/>
  <c r="L200" i="19"/>
  <c r="K200" i="19"/>
  <c r="J200" i="19"/>
  <c r="M199" i="19"/>
  <c r="L199" i="19"/>
  <c r="K199" i="19"/>
  <c r="J199" i="19"/>
  <c r="M198" i="19"/>
  <c r="L198" i="19"/>
  <c r="K198" i="19"/>
  <c r="J198" i="19"/>
  <c r="M197" i="19"/>
  <c r="L197" i="19"/>
  <c r="K197" i="19"/>
  <c r="J197" i="19"/>
  <c r="M196" i="19"/>
  <c r="L196" i="19"/>
  <c r="K196" i="19"/>
  <c r="J196" i="19"/>
  <c r="M195" i="19"/>
  <c r="L195" i="19"/>
  <c r="K195" i="19"/>
  <c r="J195" i="19"/>
  <c r="M194" i="19"/>
  <c r="L194" i="19"/>
  <c r="K194" i="19"/>
  <c r="J194" i="19"/>
  <c r="M193" i="19"/>
  <c r="L193" i="19"/>
  <c r="K193" i="19"/>
  <c r="J193" i="19"/>
  <c r="M192" i="19"/>
  <c r="L192" i="19"/>
  <c r="K192" i="19"/>
  <c r="J192" i="19"/>
  <c r="M191" i="19"/>
  <c r="L191" i="19"/>
  <c r="K191" i="19"/>
  <c r="J191" i="19"/>
  <c r="M190" i="19"/>
  <c r="L190" i="19"/>
  <c r="K190" i="19"/>
  <c r="J190" i="19"/>
  <c r="M189" i="19"/>
  <c r="L189" i="19"/>
  <c r="K189" i="19"/>
  <c r="J189" i="19"/>
  <c r="M188" i="19"/>
  <c r="L188" i="19"/>
  <c r="K188" i="19"/>
  <c r="J188" i="19"/>
  <c r="M187" i="19"/>
  <c r="L187" i="19"/>
  <c r="K187" i="19"/>
  <c r="J187" i="19"/>
  <c r="M186" i="19"/>
  <c r="L186" i="19"/>
  <c r="K186" i="19"/>
  <c r="J186" i="19"/>
  <c r="M185" i="19"/>
  <c r="L185" i="19"/>
  <c r="K185" i="19"/>
  <c r="J185" i="19"/>
  <c r="M184" i="19"/>
  <c r="L184" i="19"/>
  <c r="K184" i="19"/>
  <c r="J184" i="19"/>
  <c r="M183" i="19"/>
  <c r="L183" i="19"/>
  <c r="K183" i="19"/>
  <c r="J183" i="19"/>
  <c r="M182" i="19"/>
  <c r="L182" i="19"/>
  <c r="K182" i="19"/>
  <c r="J182" i="19"/>
  <c r="M181" i="19"/>
  <c r="L181" i="19"/>
  <c r="K181" i="19"/>
  <c r="J181" i="19"/>
  <c r="M180" i="19"/>
  <c r="L180" i="19"/>
  <c r="K180" i="19"/>
  <c r="J180" i="19"/>
  <c r="M179" i="19"/>
  <c r="L179" i="19"/>
  <c r="K179" i="19"/>
  <c r="J179" i="19"/>
  <c r="M178" i="19"/>
  <c r="L178" i="19"/>
  <c r="K178" i="19"/>
  <c r="J178" i="19"/>
  <c r="M177" i="19"/>
  <c r="L177" i="19"/>
  <c r="K177" i="19"/>
  <c r="J177" i="19"/>
  <c r="M176" i="19"/>
  <c r="L176" i="19"/>
  <c r="K176" i="19"/>
  <c r="J176" i="19"/>
  <c r="M175" i="19"/>
  <c r="L175" i="19"/>
  <c r="K175" i="19"/>
  <c r="J175" i="19"/>
  <c r="M174" i="19"/>
  <c r="L174" i="19"/>
  <c r="K174" i="19"/>
  <c r="J174" i="19"/>
  <c r="M173" i="19"/>
  <c r="L173" i="19"/>
  <c r="K173" i="19"/>
  <c r="J173" i="19"/>
  <c r="M172" i="19"/>
  <c r="L172" i="19"/>
  <c r="K172" i="19"/>
  <c r="J172" i="19"/>
  <c r="M171" i="19"/>
  <c r="L171" i="19"/>
  <c r="K171" i="19"/>
  <c r="J171" i="19"/>
  <c r="M170" i="19"/>
  <c r="L170" i="19"/>
  <c r="K170" i="19"/>
  <c r="J170" i="19"/>
  <c r="M169" i="19"/>
  <c r="L169" i="19"/>
  <c r="K169" i="19"/>
  <c r="J169" i="19"/>
  <c r="M168" i="19"/>
  <c r="L168" i="19"/>
  <c r="K168" i="19"/>
  <c r="J168" i="19"/>
  <c r="M167" i="19"/>
  <c r="L167" i="19"/>
  <c r="K167" i="19"/>
  <c r="J167" i="19"/>
  <c r="M166" i="19"/>
  <c r="L166" i="19"/>
  <c r="K166" i="19"/>
  <c r="J166" i="19"/>
  <c r="M165" i="19"/>
  <c r="L165" i="19"/>
  <c r="K165" i="19"/>
  <c r="J165" i="19"/>
  <c r="M164" i="19"/>
  <c r="L164" i="19"/>
  <c r="K164" i="19"/>
  <c r="J164" i="19"/>
  <c r="M163" i="19"/>
  <c r="L163" i="19"/>
  <c r="K163" i="19"/>
  <c r="J163" i="19"/>
  <c r="M162" i="19"/>
  <c r="L162" i="19"/>
  <c r="K162" i="19"/>
  <c r="J162" i="19"/>
  <c r="M161" i="19"/>
  <c r="L161" i="19"/>
  <c r="K161" i="19"/>
  <c r="J161" i="19"/>
  <c r="M160" i="19"/>
  <c r="L160" i="19"/>
  <c r="K160" i="19"/>
  <c r="J160" i="19"/>
  <c r="M159" i="19"/>
  <c r="L159" i="19"/>
  <c r="K159" i="19"/>
  <c r="J159" i="19"/>
  <c r="M158" i="19"/>
  <c r="L158" i="19"/>
  <c r="K158" i="19"/>
  <c r="J158" i="19"/>
  <c r="M157" i="19"/>
  <c r="L157" i="19"/>
  <c r="K157" i="19"/>
  <c r="J157" i="19"/>
  <c r="M156" i="19"/>
  <c r="L156" i="19"/>
  <c r="K156" i="19"/>
  <c r="J156" i="19"/>
  <c r="M155" i="19"/>
  <c r="L155" i="19"/>
  <c r="K155" i="19"/>
  <c r="J155" i="19"/>
  <c r="M154" i="19"/>
  <c r="L154" i="19"/>
  <c r="K154" i="19"/>
  <c r="J154" i="19"/>
  <c r="M153" i="19"/>
  <c r="L153" i="19"/>
  <c r="K153" i="19"/>
  <c r="J153" i="19"/>
  <c r="M152" i="19"/>
  <c r="L152" i="19"/>
  <c r="K152" i="19"/>
  <c r="J152" i="19"/>
  <c r="M151" i="19"/>
  <c r="L151" i="19"/>
  <c r="K151" i="19"/>
  <c r="J151" i="19"/>
  <c r="M150" i="19"/>
  <c r="L150" i="19"/>
  <c r="K150" i="19"/>
  <c r="J150" i="19"/>
  <c r="M149" i="19"/>
  <c r="L149" i="19"/>
  <c r="K149" i="19"/>
  <c r="J149" i="19"/>
  <c r="M148" i="19"/>
  <c r="L148" i="19"/>
  <c r="K148" i="19"/>
  <c r="J148" i="19"/>
  <c r="M147" i="19"/>
  <c r="L147" i="19"/>
  <c r="K147" i="19"/>
  <c r="J147" i="19"/>
  <c r="M146" i="19"/>
  <c r="L146" i="19"/>
  <c r="K146" i="19"/>
  <c r="J146" i="19"/>
  <c r="M145" i="19"/>
  <c r="L145" i="19"/>
  <c r="K145" i="19"/>
  <c r="J145" i="19"/>
  <c r="M144" i="19"/>
  <c r="L144" i="19"/>
  <c r="K144" i="19"/>
  <c r="J144" i="19"/>
  <c r="M143" i="19"/>
  <c r="L143" i="19"/>
  <c r="K143" i="19"/>
  <c r="J143" i="19"/>
  <c r="M142" i="19"/>
  <c r="L142" i="19"/>
  <c r="K142" i="19"/>
  <c r="J142" i="19"/>
  <c r="M141" i="19"/>
  <c r="L141" i="19"/>
  <c r="K141" i="19"/>
  <c r="J141" i="19"/>
  <c r="M140" i="19"/>
  <c r="L140" i="19"/>
  <c r="K140" i="19"/>
  <c r="J140" i="19"/>
  <c r="M139" i="19"/>
  <c r="L139" i="19"/>
  <c r="K139" i="19"/>
  <c r="J139" i="19"/>
  <c r="M138" i="19"/>
  <c r="L138" i="19"/>
  <c r="K138" i="19"/>
  <c r="J138" i="19"/>
  <c r="M137" i="19"/>
  <c r="L137" i="19"/>
  <c r="K137" i="19"/>
  <c r="J137" i="19"/>
  <c r="M136" i="19"/>
  <c r="L136" i="19"/>
  <c r="K136" i="19"/>
  <c r="J136" i="19"/>
  <c r="M135" i="19"/>
  <c r="L135" i="19"/>
  <c r="K135" i="19"/>
  <c r="J135" i="19"/>
  <c r="M134" i="19"/>
  <c r="L134" i="19"/>
  <c r="K134" i="19"/>
  <c r="J134" i="19"/>
  <c r="M133" i="19"/>
  <c r="L133" i="19"/>
  <c r="K133" i="19"/>
  <c r="J133" i="19"/>
  <c r="M132" i="19"/>
  <c r="L132" i="19"/>
  <c r="K132" i="19"/>
  <c r="J132" i="19"/>
  <c r="M131" i="19"/>
  <c r="L131" i="19"/>
  <c r="K131" i="19"/>
  <c r="J131" i="19"/>
  <c r="M130" i="19"/>
  <c r="L130" i="19"/>
  <c r="K130" i="19"/>
  <c r="J130" i="19"/>
  <c r="M129" i="19"/>
  <c r="L129" i="19"/>
  <c r="K129" i="19"/>
  <c r="J129" i="19"/>
  <c r="M128" i="19"/>
  <c r="L128" i="19"/>
  <c r="K128" i="19"/>
  <c r="J128" i="19"/>
  <c r="M127" i="19"/>
  <c r="L127" i="19"/>
  <c r="K127" i="19"/>
  <c r="J127" i="19"/>
  <c r="M126" i="19"/>
  <c r="L126" i="19"/>
  <c r="K126" i="19"/>
  <c r="J126" i="19"/>
  <c r="M125" i="19"/>
  <c r="L125" i="19"/>
  <c r="K125" i="19"/>
  <c r="J125" i="19"/>
  <c r="M124" i="19"/>
  <c r="L124" i="19"/>
  <c r="K124" i="19"/>
  <c r="J124" i="19"/>
  <c r="M123" i="19"/>
  <c r="L123" i="19"/>
  <c r="K123" i="19"/>
  <c r="J123" i="19"/>
  <c r="M122" i="19"/>
  <c r="L122" i="19"/>
  <c r="K122" i="19"/>
  <c r="J122" i="19"/>
  <c r="M121" i="19"/>
  <c r="L121" i="19"/>
  <c r="K121" i="19"/>
  <c r="J121" i="19"/>
  <c r="M120" i="19"/>
  <c r="L120" i="19"/>
  <c r="K120" i="19"/>
  <c r="J120" i="19"/>
  <c r="M119" i="19"/>
  <c r="L119" i="19"/>
  <c r="K119" i="19"/>
  <c r="J119" i="19"/>
  <c r="M118" i="19"/>
  <c r="L118" i="19"/>
  <c r="K118" i="19"/>
  <c r="J118" i="19"/>
  <c r="M117" i="19"/>
  <c r="L117" i="19"/>
  <c r="K117" i="19"/>
  <c r="J117" i="19"/>
  <c r="M116" i="19"/>
  <c r="L116" i="19"/>
  <c r="K116" i="19"/>
  <c r="J116" i="19"/>
  <c r="M115" i="19"/>
  <c r="L115" i="19"/>
  <c r="K115" i="19"/>
  <c r="J115" i="19"/>
  <c r="M114" i="19"/>
  <c r="L114" i="19"/>
  <c r="K114" i="19"/>
  <c r="J114" i="19"/>
  <c r="M113" i="19"/>
  <c r="L113" i="19"/>
  <c r="K113" i="19"/>
  <c r="J113" i="19"/>
  <c r="M112" i="19"/>
  <c r="L112" i="19"/>
  <c r="K112" i="19"/>
  <c r="J112" i="19"/>
  <c r="M111" i="19"/>
  <c r="L111" i="19"/>
  <c r="K111" i="19"/>
  <c r="J111" i="19"/>
  <c r="M110" i="19"/>
  <c r="L110" i="19"/>
  <c r="K110" i="19"/>
  <c r="J110" i="19"/>
  <c r="M109" i="19"/>
  <c r="L109" i="19"/>
  <c r="K109" i="19"/>
  <c r="J109" i="19"/>
  <c r="M108" i="19"/>
  <c r="L108" i="19"/>
  <c r="K108" i="19"/>
  <c r="J108" i="19"/>
  <c r="M107" i="19"/>
  <c r="L107" i="19"/>
  <c r="K107" i="19"/>
  <c r="J107" i="19"/>
  <c r="M106" i="19"/>
  <c r="L106" i="19"/>
  <c r="K106" i="19"/>
  <c r="J106" i="19"/>
  <c r="M105" i="19"/>
  <c r="L105" i="19"/>
  <c r="K105" i="19"/>
  <c r="J105" i="19"/>
  <c r="M104" i="19"/>
  <c r="L104" i="19"/>
  <c r="K104" i="19"/>
  <c r="J104" i="19"/>
  <c r="M103" i="19"/>
  <c r="L103" i="19"/>
  <c r="K103" i="19"/>
  <c r="J103" i="19"/>
  <c r="M102" i="19"/>
  <c r="L102" i="19"/>
  <c r="K102" i="19"/>
  <c r="J102" i="19"/>
  <c r="M101" i="19"/>
  <c r="L101" i="19"/>
  <c r="K101" i="19"/>
  <c r="J101" i="19"/>
  <c r="M100" i="19"/>
  <c r="L100" i="19"/>
  <c r="K100" i="19"/>
  <c r="J100" i="19"/>
  <c r="M99" i="19"/>
  <c r="L99" i="19"/>
  <c r="K99" i="19"/>
  <c r="J99" i="19"/>
  <c r="M98" i="19"/>
  <c r="L98" i="19"/>
  <c r="K98" i="19"/>
  <c r="J98" i="19"/>
  <c r="M97" i="19"/>
  <c r="L97" i="19"/>
  <c r="K97" i="19"/>
  <c r="J97" i="19"/>
  <c r="M96" i="19"/>
  <c r="L96" i="19"/>
  <c r="K96" i="19"/>
  <c r="J96" i="19"/>
  <c r="M95" i="19"/>
  <c r="L95" i="19"/>
  <c r="K95" i="19"/>
  <c r="J95" i="19"/>
  <c r="M94" i="19"/>
  <c r="L94" i="19"/>
  <c r="K94" i="19"/>
  <c r="J94" i="19"/>
  <c r="M93" i="19"/>
  <c r="L93" i="19"/>
  <c r="K93" i="19"/>
  <c r="J93" i="19"/>
  <c r="M92" i="19"/>
  <c r="L92" i="19"/>
  <c r="K92" i="19"/>
  <c r="J92" i="19"/>
  <c r="M91" i="19"/>
  <c r="L91" i="19"/>
  <c r="K91" i="19"/>
  <c r="J91" i="19"/>
  <c r="M90" i="19"/>
  <c r="L90" i="19"/>
  <c r="K90" i="19"/>
  <c r="J90" i="19"/>
  <c r="M89" i="19"/>
  <c r="L89" i="19"/>
  <c r="K89" i="19"/>
  <c r="J89" i="19"/>
  <c r="M88" i="19"/>
  <c r="L88" i="19"/>
  <c r="K88" i="19"/>
  <c r="J88" i="19"/>
  <c r="M87" i="19"/>
  <c r="L87" i="19"/>
  <c r="K87" i="19"/>
  <c r="J87" i="19"/>
  <c r="M86" i="19"/>
  <c r="L86" i="19"/>
  <c r="K86" i="19"/>
  <c r="J86" i="19"/>
  <c r="M85" i="19"/>
  <c r="L85" i="19"/>
  <c r="K85" i="19"/>
  <c r="J85" i="19"/>
  <c r="M84" i="19"/>
  <c r="L84" i="19"/>
  <c r="K84" i="19"/>
  <c r="J84" i="19"/>
  <c r="M83" i="19"/>
  <c r="L83" i="19"/>
  <c r="K83" i="19"/>
  <c r="J83" i="19"/>
  <c r="M82" i="19"/>
  <c r="L82" i="19"/>
  <c r="K82" i="19"/>
  <c r="J82" i="19"/>
  <c r="M81" i="19"/>
  <c r="L81" i="19"/>
  <c r="K81" i="19"/>
  <c r="J81" i="19"/>
  <c r="M80" i="19"/>
  <c r="L80" i="19"/>
  <c r="K80" i="19"/>
  <c r="J80" i="19"/>
  <c r="M79" i="19"/>
  <c r="L79" i="19"/>
  <c r="K79" i="19"/>
  <c r="J79" i="19"/>
  <c r="M78" i="19"/>
  <c r="L78" i="19"/>
  <c r="K78" i="19"/>
  <c r="J78" i="19"/>
  <c r="M77" i="19"/>
  <c r="L77" i="19"/>
  <c r="K77" i="19"/>
  <c r="J77" i="19"/>
  <c r="M76" i="19"/>
  <c r="L76" i="19"/>
  <c r="K76" i="19"/>
  <c r="J76" i="19"/>
  <c r="M75" i="19"/>
  <c r="L75" i="19"/>
  <c r="K75" i="19"/>
  <c r="J75" i="19"/>
  <c r="M74" i="19"/>
  <c r="L74" i="19"/>
  <c r="K74" i="19"/>
  <c r="J74" i="19"/>
  <c r="M73" i="19"/>
  <c r="L73" i="19"/>
  <c r="K73" i="19"/>
  <c r="J73" i="19"/>
  <c r="M72" i="19"/>
  <c r="L72" i="19"/>
  <c r="K72" i="19"/>
  <c r="J72" i="19"/>
  <c r="M71" i="19"/>
  <c r="L71" i="19"/>
  <c r="K71" i="19"/>
  <c r="J71" i="19"/>
  <c r="M70" i="19"/>
  <c r="L70" i="19"/>
  <c r="K70" i="19"/>
  <c r="J70" i="19"/>
  <c r="M69" i="19"/>
  <c r="L69" i="19"/>
  <c r="K69" i="19"/>
  <c r="J69" i="19"/>
  <c r="M68" i="19"/>
  <c r="L68" i="19"/>
  <c r="K68" i="19"/>
  <c r="J68" i="19"/>
  <c r="M67" i="19"/>
  <c r="L67" i="19"/>
  <c r="K67" i="19"/>
  <c r="J67" i="19"/>
  <c r="M66" i="19"/>
  <c r="L66" i="19"/>
  <c r="K66" i="19"/>
  <c r="J66" i="19"/>
  <c r="M65" i="19"/>
  <c r="L65" i="19"/>
  <c r="K65" i="19"/>
  <c r="J65" i="19"/>
  <c r="M64" i="19"/>
  <c r="L64" i="19"/>
  <c r="K64" i="19"/>
  <c r="J64" i="19"/>
  <c r="M63" i="19"/>
  <c r="L63" i="19"/>
  <c r="K63" i="19"/>
  <c r="J63" i="19"/>
  <c r="M62" i="19"/>
  <c r="L62" i="19"/>
  <c r="K62" i="19"/>
  <c r="J62" i="19"/>
  <c r="M61" i="19"/>
  <c r="L61" i="19"/>
  <c r="K61" i="19"/>
  <c r="J61" i="19"/>
  <c r="M60" i="19"/>
  <c r="L60" i="19"/>
  <c r="K60" i="19"/>
  <c r="J60" i="19"/>
  <c r="M59" i="19"/>
  <c r="L59" i="19"/>
  <c r="K59" i="19"/>
  <c r="J59" i="19"/>
  <c r="M58" i="19"/>
  <c r="L58" i="19"/>
  <c r="K58" i="19"/>
  <c r="J58" i="19"/>
  <c r="M57" i="19"/>
  <c r="L57" i="19"/>
  <c r="K57" i="19"/>
  <c r="J57" i="19"/>
  <c r="M56" i="19"/>
  <c r="L56" i="19"/>
  <c r="K56" i="19"/>
  <c r="J56" i="19"/>
  <c r="M55" i="19"/>
  <c r="L55" i="19"/>
  <c r="K55" i="19"/>
  <c r="J55" i="19"/>
  <c r="M54" i="19"/>
  <c r="L54" i="19"/>
  <c r="K54" i="19"/>
  <c r="J54" i="19"/>
  <c r="M53" i="19"/>
  <c r="L53" i="19"/>
  <c r="K53" i="19"/>
  <c r="J53" i="19"/>
  <c r="M52" i="19"/>
  <c r="L52" i="19"/>
  <c r="K52" i="19"/>
  <c r="J52" i="19"/>
  <c r="M51" i="19"/>
  <c r="L51" i="19"/>
  <c r="K51" i="19"/>
  <c r="J51" i="19"/>
  <c r="M50" i="19"/>
  <c r="L50" i="19"/>
  <c r="K50" i="19"/>
  <c r="J50" i="19"/>
  <c r="M49" i="19"/>
  <c r="L49" i="19"/>
  <c r="K49" i="19"/>
  <c r="J49" i="19"/>
  <c r="M48" i="19"/>
  <c r="L48" i="19"/>
  <c r="K48" i="19"/>
  <c r="J48" i="19"/>
  <c r="M47" i="19"/>
  <c r="L47" i="19"/>
  <c r="K47" i="19"/>
  <c r="J47" i="19"/>
  <c r="M46" i="19"/>
  <c r="L46" i="19"/>
  <c r="K46" i="19"/>
  <c r="J46" i="19"/>
  <c r="M45" i="19"/>
  <c r="L45" i="19"/>
  <c r="K45" i="19"/>
  <c r="J45" i="19"/>
  <c r="M44" i="19"/>
  <c r="L44" i="19"/>
  <c r="K44" i="19"/>
  <c r="J44" i="19"/>
  <c r="M43" i="19"/>
  <c r="L43" i="19"/>
  <c r="K43" i="19"/>
  <c r="J43" i="19"/>
  <c r="M42" i="19"/>
  <c r="L42" i="19"/>
  <c r="K42" i="19"/>
  <c r="J42" i="19"/>
  <c r="M41" i="19"/>
  <c r="L41" i="19"/>
  <c r="K41" i="19"/>
  <c r="J41" i="19"/>
  <c r="M40" i="19"/>
  <c r="L40" i="19"/>
  <c r="K40" i="19"/>
  <c r="J40" i="19"/>
  <c r="M39" i="19"/>
  <c r="L39" i="19"/>
  <c r="K39" i="19"/>
  <c r="J39" i="19"/>
  <c r="M38" i="19"/>
  <c r="L38" i="19"/>
  <c r="K38" i="19"/>
  <c r="J38" i="19"/>
  <c r="M37" i="19"/>
  <c r="L37" i="19"/>
  <c r="K37" i="19"/>
  <c r="J37" i="19"/>
  <c r="M36" i="19"/>
  <c r="L36" i="19"/>
  <c r="K36" i="19"/>
  <c r="J36" i="19"/>
  <c r="M35" i="19"/>
  <c r="L35" i="19"/>
  <c r="K35" i="19"/>
  <c r="J35" i="19"/>
  <c r="M34" i="19"/>
  <c r="L34" i="19"/>
  <c r="K34" i="19"/>
  <c r="J34" i="19"/>
  <c r="M33" i="19"/>
  <c r="L33" i="19"/>
  <c r="K33" i="19"/>
  <c r="J33" i="19"/>
  <c r="M32" i="19"/>
  <c r="L32" i="19"/>
  <c r="K32" i="19"/>
  <c r="J32" i="19"/>
  <c r="M31" i="19"/>
  <c r="L31" i="19"/>
  <c r="K31" i="19"/>
  <c r="J31" i="19"/>
  <c r="M30" i="19"/>
  <c r="L30" i="19"/>
  <c r="K30" i="19"/>
  <c r="J30" i="19"/>
  <c r="M29" i="19"/>
  <c r="L29" i="19"/>
  <c r="K29" i="19"/>
  <c r="J29" i="19"/>
  <c r="M28" i="19"/>
  <c r="L28" i="19"/>
  <c r="K28" i="19"/>
  <c r="J28" i="19"/>
  <c r="M27" i="19"/>
  <c r="L27" i="19"/>
  <c r="K27" i="19"/>
  <c r="J27" i="19"/>
  <c r="M26" i="19"/>
  <c r="L26" i="19"/>
  <c r="K26" i="19"/>
  <c r="J26" i="19"/>
  <c r="M25" i="19"/>
  <c r="L25" i="19"/>
  <c r="K25" i="19"/>
  <c r="J25" i="19"/>
  <c r="M24" i="19"/>
  <c r="L24" i="19"/>
  <c r="K24" i="19"/>
  <c r="J24" i="19"/>
  <c r="M23" i="19"/>
  <c r="L23" i="19"/>
  <c r="K23" i="19"/>
  <c r="J23" i="19"/>
  <c r="M22" i="19"/>
  <c r="L22" i="19"/>
  <c r="K22" i="19"/>
  <c r="J22" i="19"/>
  <c r="M21" i="19"/>
  <c r="L21" i="19"/>
  <c r="K21" i="19"/>
  <c r="J21" i="19"/>
  <c r="M20" i="19"/>
  <c r="L20" i="19"/>
  <c r="K20" i="19"/>
  <c r="J20" i="19"/>
  <c r="M19" i="19"/>
  <c r="L19" i="19"/>
  <c r="K19" i="19"/>
  <c r="J19" i="19"/>
  <c r="M18" i="19"/>
  <c r="L18" i="19"/>
  <c r="K18" i="19"/>
  <c r="J18" i="19"/>
  <c r="M17" i="19"/>
  <c r="L17" i="19"/>
  <c r="K17" i="19"/>
  <c r="J17" i="19"/>
  <c r="M16" i="19"/>
  <c r="L16" i="19"/>
  <c r="K16" i="19"/>
  <c r="J16" i="19"/>
  <c r="M15" i="19"/>
  <c r="L15" i="19"/>
  <c r="K15" i="19"/>
  <c r="J15" i="19"/>
  <c r="M14" i="19"/>
  <c r="L14" i="19"/>
  <c r="K14" i="19"/>
  <c r="J14" i="19"/>
  <c r="M13" i="19"/>
  <c r="L13" i="19"/>
  <c r="K13" i="19"/>
  <c r="J13" i="19"/>
  <c r="M12" i="19"/>
  <c r="L12" i="19"/>
  <c r="K12" i="19"/>
  <c r="J12" i="19"/>
  <c r="M11" i="19"/>
  <c r="L11" i="19"/>
  <c r="K11" i="19"/>
  <c r="J11" i="19"/>
  <c r="M10" i="19"/>
  <c r="M202" i="19" s="1"/>
  <c r="L10" i="19"/>
  <c r="L202" i="19" s="1"/>
  <c r="K10" i="19"/>
  <c r="K202" i="19" s="1"/>
  <c r="J10" i="19"/>
  <c r="J202" i="19" s="1"/>
  <c r="I202" i="17" l="1"/>
  <c r="H202" i="17"/>
  <c r="G202" i="17"/>
  <c r="F202" i="17"/>
  <c r="E202" i="17"/>
  <c r="D202" i="17"/>
  <c r="C202" i="17"/>
  <c r="B202" i="17"/>
  <c r="M201" i="17"/>
  <c r="L201" i="17"/>
  <c r="K201" i="17"/>
  <c r="J201" i="17"/>
  <c r="M200" i="17"/>
  <c r="L200" i="17"/>
  <c r="K200" i="17"/>
  <c r="J200" i="17"/>
  <c r="M199" i="17"/>
  <c r="L199" i="17"/>
  <c r="K199" i="17"/>
  <c r="J199" i="17"/>
  <c r="M198" i="17"/>
  <c r="L198" i="17"/>
  <c r="K198" i="17"/>
  <c r="J198" i="17"/>
  <c r="M197" i="17"/>
  <c r="L197" i="17"/>
  <c r="K197" i="17"/>
  <c r="J197" i="17"/>
  <c r="M196" i="17"/>
  <c r="L196" i="17"/>
  <c r="K196" i="17"/>
  <c r="J196" i="17"/>
  <c r="M195" i="17"/>
  <c r="L195" i="17"/>
  <c r="K195" i="17"/>
  <c r="J195" i="17"/>
  <c r="M194" i="17"/>
  <c r="L194" i="17"/>
  <c r="K194" i="17"/>
  <c r="J194" i="17"/>
  <c r="M193" i="17"/>
  <c r="L193" i="17"/>
  <c r="K193" i="17"/>
  <c r="J193" i="17"/>
  <c r="M192" i="17"/>
  <c r="L192" i="17"/>
  <c r="K192" i="17"/>
  <c r="J192" i="17"/>
  <c r="M191" i="17"/>
  <c r="L191" i="17"/>
  <c r="K191" i="17"/>
  <c r="J191" i="17"/>
  <c r="M190" i="17"/>
  <c r="L190" i="17"/>
  <c r="K190" i="17"/>
  <c r="J190" i="17"/>
  <c r="M189" i="17"/>
  <c r="L189" i="17"/>
  <c r="K189" i="17"/>
  <c r="J189" i="17"/>
  <c r="M188" i="17"/>
  <c r="L188" i="17"/>
  <c r="K188" i="17"/>
  <c r="J188" i="17"/>
  <c r="M187" i="17"/>
  <c r="L187" i="17"/>
  <c r="K187" i="17"/>
  <c r="J187" i="17"/>
  <c r="M186" i="17"/>
  <c r="L186" i="17"/>
  <c r="K186" i="17"/>
  <c r="J186" i="17"/>
  <c r="M185" i="17"/>
  <c r="L185" i="17"/>
  <c r="K185" i="17"/>
  <c r="J185" i="17"/>
  <c r="M184" i="17"/>
  <c r="L184" i="17"/>
  <c r="K184" i="17"/>
  <c r="J184" i="17"/>
  <c r="M183" i="17"/>
  <c r="L183" i="17"/>
  <c r="K183" i="17"/>
  <c r="J183" i="17"/>
  <c r="M182" i="17"/>
  <c r="L182" i="17"/>
  <c r="K182" i="17"/>
  <c r="J182" i="17"/>
  <c r="M181" i="17"/>
  <c r="L181" i="17"/>
  <c r="K181" i="17"/>
  <c r="J181" i="17"/>
  <c r="M180" i="17"/>
  <c r="L180" i="17"/>
  <c r="K180" i="17"/>
  <c r="J180" i="17"/>
  <c r="M179" i="17"/>
  <c r="L179" i="17"/>
  <c r="K179" i="17"/>
  <c r="J179" i="17"/>
  <c r="M178" i="17"/>
  <c r="L178" i="17"/>
  <c r="K178" i="17"/>
  <c r="J178" i="17"/>
  <c r="M177" i="17"/>
  <c r="L177" i="17"/>
  <c r="K177" i="17"/>
  <c r="J177" i="17"/>
  <c r="M176" i="17"/>
  <c r="L176" i="17"/>
  <c r="K176" i="17"/>
  <c r="J176" i="17"/>
  <c r="M175" i="17"/>
  <c r="L175" i="17"/>
  <c r="K175" i="17"/>
  <c r="J175" i="17"/>
  <c r="M174" i="17"/>
  <c r="L174" i="17"/>
  <c r="K174" i="17"/>
  <c r="J174" i="17"/>
  <c r="M173" i="17"/>
  <c r="L173" i="17"/>
  <c r="K173" i="17"/>
  <c r="J173" i="17"/>
  <c r="M172" i="17"/>
  <c r="L172" i="17"/>
  <c r="K172" i="17"/>
  <c r="J172" i="17"/>
  <c r="M171" i="17"/>
  <c r="L171" i="17"/>
  <c r="K171" i="17"/>
  <c r="J171" i="17"/>
  <c r="M170" i="17"/>
  <c r="L170" i="17"/>
  <c r="K170" i="17"/>
  <c r="J170" i="17"/>
  <c r="M169" i="17"/>
  <c r="L169" i="17"/>
  <c r="K169" i="17"/>
  <c r="J169" i="17"/>
  <c r="M168" i="17"/>
  <c r="L168" i="17"/>
  <c r="K168" i="17"/>
  <c r="J168" i="17"/>
  <c r="M167" i="17"/>
  <c r="L167" i="17"/>
  <c r="K167" i="17"/>
  <c r="J167" i="17"/>
  <c r="M166" i="17"/>
  <c r="L166" i="17"/>
  <c r="K166" i="17"/>
  <c r="J166" i="17"/>
  <c r="M165" i="17"/>
  <c r="L165" i="17"/>
  <c r="K165" i="17"/>
  <c r="J165" i="17"/>
  <c r="M164" i="17"/>
  <c r="L164" i="17"/>
  <c r="K164" i="17"/>
  <c r="J164" i="17"/>
  <c r="M163" i="17"/>
  <c r="L163" i="17"/>
  <c r="K163" i="17"/>
  <c r="J163" i="17"/>
  <c r="M162" i="17"/>
  <c r="L162" i="17"/>
  <c r="K162" i="17"/>
  <c r="J162" i="17"/>
  <c r="M161" i="17"/>
  <c r="L161" i="17"/>
  <c r="K161" i="17"/>
  <c r="J161" i="17"/>
  <c r="M160" i="17"/>
  <c r="L160" i="17"/>
  <c r="K160" i="17"/>
  <c r="J160" i="17"/>
  <c r="M159" i="17"/>
  <c r="L159" i="17"/>
  <c r="K159" i="17"/>
  <c r="J159" i="17"/>
  <c r="M158" i="17"/>
  <c r="L158" i="17"/>
  <c r="K158" i="17"/>
  <c r="J158" i="17"/>
  <c r="M157" i="17"/>
  <c r="L157" i="17"/>
  <c r="K157" i="17"/>
  <c r="J157" i="17"/>
  <c r="M156" i="17"/>
  <c r="L156" i="17"/>
  <c r="K156" i="17"/>
  <c r="J156" i="17"/>
  <c r="M155" i="17"/>
  <c r="L155" i="17"/>
  <c r="K155" i="17"/>
  <c r="J155" i="17"/>
  <c r="M154" i="17"/>
  <c r="L154" i="17"/>
  <c r="K154" i="17"/>
  <c r="J154" i="17"/>
  <c r="M153" i="17"/>
  <c r="L153" i="17"/>
  <c r="K153" i="17"/>
  <c r="J153" i="17"/>
  <c r="M152" i="17"/>
  <c r="L152" i="17"/>
  <c r="K152" i="17"/>
  <c r="J152" i="17"/>
  <c r="M151" i="17"/>
  <c r="L151" i="17"/>
  <c r="K151" i="17"/>
  <c r="J151" i="17"/>
  <c r="M150" i="17"/>
  <c r="L150" i="17"/>
  <c r="K150" i="17"/>
  <c r="J150" i="17"/>
  <c r="M149" i="17"/>
  <c r="L149" i="17"/>
  <c r="K149" i="17"/>
  <c r="J149" i="17"/>
  <c r="M148" i="17"/>
  <c r="L148" i="17"/>
  <c r="K148" i="17"/>
  <c r="J148" i="17"/>
  <c r="M147" i="17"/>
  <c r="L147" i="17"/>
  <c r="K147" i="17"/>
  <c r="J147" i="17"/>
  <c r="M146" i="17"/>
  <c r="L146" i="17"/>
  <c r="K146" i="17"/>
  <c r="J146" i="17"/>
  <c r="M145" i="17"/>
  <c r="L145" i="17"/>
  <c r="K145" i="17"/>
  <c r="J145" i="17"/>
  <c r="M144" i="17"/>
  <c r="L144" i="17"/>
  <c r="K144" i="17"/>
  <c r="J144" i="17"/>
  <c r="M143" i="17"/>
  <c r="L143" i="17"/>
  <c r="K143" i="17"/>
  <c r="J143" i="17"/>
  <c r="M142" i="17"/>
  <c r="L142" i="17"/>
  <c r="K142" i="17"/>
  <c r="J142" i="17"/>
  <c r="M141" i="17"/>
  <c r="L141" i="17"/>
  <c r="K141" i="17"/>
  <c r="J141" i="17"/>
  <c r="M140" i="17"/>
  <c r="L140" i="17"/>
  <c r="K140" i="17"/>
  <c r="J140" i="17"/>
  <c r="M139" i="17"/>
  <c r="L139" i="17"/>
  <c r="K139" i="17"/>
  <c r="J139" i="17"/>
  <c r="M138" i="17"/>
  <c r="L138" i="17"/>
  <c r="K138" i="17"/>
  <c r="J138" i="17"/>
  <c r="M137" i="17"/>
  <c r="L137" i="17"/>
  <c r="K137" i="17"/>
  <c r="J137" i="17"/>
  <c r="M136" i="17"/>
  <c r="L136" i="17"/>
  <c r="K136" i="17"/>
  <c r="J136" i="17"/>
  <c r="M135" i="17"/>
  <c r="L135" i="17"/>
  <c r="K135" i="17"/>
  <c r="J135" i="17"/>
  <c r="M134" i="17"/>
  <c r="L134" i="17"/>
  <c r="K134" i="17"/>
  <c r="J134" i="17"/>
  <c r="M133" i="17"/>
  <c r="L133" i="17"/>
  <c r="K133" i="17"/>
  <c r="J133" i="17"/>
  <c r="M132" i="17"/>
  <c r="L132" i="17"/>
  <c r="K132" i="17"/>
  <c r="J132" i="17"/>
  <c r="M131" i="17"/>
  <c r="L131" i="17"/>
  <c r="K131" i="17"/>
  <c r="J131" i="17"/>
  <c r="M130" i="17"/>
  <c r="L130" i="17"/>
  <c r="K130" i="17"/>
  <c r="J130" i="17"/>
  <c r="M129" i="17"/>
  <c r="L129" i="17"/>
  <c r="K129" i="17"/>
  <c r="J129" i="17"/>
  <c r="M128" i="17"/>
  <c r="L128" i="17"/>
  <c r="K128" i="17"/>
  <c r="J128" i="17"/>
  <c r="M127" i="17"/>
  <c r="L127" i="17"/>
  <c r="K127" i="17"/>
  <c r="J127" i="17"/>
  <c r="M126" i="17"/>
  <c r="L126" i="17"/>
  <c r="K126" i="17"/>
  <c r="J126" i="17"/>
  <c r="M125" i="17"/>
  <c r="L125" i="17"/>
  <c r="K125" i="17"/>
  <c r="J125" i="17"/>
  <c r="M124" i="17"/>
  <c r="L124" i="17"/>
  <c r="K124" i="17"/>
  <c r="J124" i="17"/>
  <c r="M123" i="17"/>
  <c r="L123" i="17"/>
  <c r="K123" i="17"/>
  <c r="J123" i="17"/>
  <c r="M122" i="17"/>
  <c r="L122" i="17"/>
  <c r="K122" i="17"/>
  <c r="J122" i="17"/>
  <c r="M121" i="17"/>
  <c r="L121" i="17"/>
  <c r="K121" i="17"/>
  <c r="J121" i="17"/>
  <c r="M120" i="17"/>
  <c r="L120" i="17"/>
  <c r="K120" i="17"/>
  <c r="J120" i="17"/>
  <c r="M119" i="17"/>
  <c r="L119" i="17"/>
  <c r="K119" i="17"/>
  <c r="J119" i="17"/>
  <c r="M118" i="17"/>
  <c r="L118" i="17"/>
  <c r="K118" i="17"/>
  <c r="J118" i="17"/>
  <c r="M117" i="17"/>
  <c r="L117" i="17"/>
  <c r="K117" i="17"/>
  <c r="J117" i="17"/>
  <c r="M116" i="17"/>
  <c r="L116" i="17"/>
  <c r="K116" i="17"/>
  <c r="J116" i="17"/>
  <c r="M115" i="17"/>
  <c r="L115" i="17"/>
  <c r="K115" i="17"/>
  <c r="J115" i="17"/>
  <c r="M114" i="17"/>
  <c r="L114" i="17"/>
  <c r="K114" i="17"/>
  <c r="J114" i="17"/>
  <c r="M113" i="17"/>
  <c r="L113" i="17"/>
  <c r="K113" i="17"/>
  <c r="J113" i="17"/>
  <c r="M112" i="17"/>
  <c r="L112" i="17"/>
  <c r="K112" i="17"/>
  <c r="J112" i="17"/>
  <c r="M111" i="17"/>
  <c r="L111" i="17"/>
  <c r="K111" i="17"/>
  <c r="J111" i="17"/>
  <c r="M110" i="17"/>
  <c r="L110" i="17"/>
  <c r="K110" i="17"/>
  <c r="J110" i="17"/>
  <c r="M109" i="17"/>
  <c r="L109" i="17"/>
  <c r="K109" i="17"/>
  <c r="J109" i="17"/>
  <c r="M108" i="17"/>
  <c r="L108" i="17"/>
  <c r="K108" i="17"/>
  <c r="J108" i="17"/>
  <c r="M107" i="17"/>
  <c r="L107" i="17"/>
  <c r="K107" i="17"/>
  <c r="J107" i="17"/>
  <c r="M106" i="17"/>
  <c r="L106" i="17"/>
  <c r="K106" i="17"/>
  <c r="J106" i="17"/>
  <c r="M105" i="17"/>
  <c r="L105" i="17"/>
  <c r="K105" i="17"/>
  <c r="J105" i="17"/>
  <c r="M104" i="17"/>
  <c r="L104" i="17"/>
  <c r="K104" i="17"/>
  <c r="J104" i="17"/>
  <c r="M103" i="17"/>
  <c r="L103" i="17"/>
  <c r="K103" i="17"/>
  <c r="J103" i="17"/>
  <c r="M102" i="17"/>
  <c r="L102" i="17"/>
  <c r="K102" i="17"/>
  <c r="J102" i="17"/>
  <c r="M101" i="17"/>
  <c r="L101" i="17"/>
  <c r="K101" i="17"/>
  <c r="J101" i="17"/>
  <c r="M100" i="17"/>
  <c r="L100" i="17"/>
  <c r="K100" i="17"/>
  <c r="J100" i="17"/>
  <c r="M99" i="17"/>
  <c r="L99" i="17"/>
  <c r="K99" i="17"/>
  <c r="J99" i="17"/>
  <c r="M98" i="17"/>
  <c r="L98" i="17"/>
  <c r="K98" i="17"/>
  <c r="J98" i="17"/>
  <c r="M97" i="17"/>
  <c r="L97" i="17"/>
  <c r="K97" i="17"/>
  <c r="J97" i="17"/>
  <c r="M96" i="17"/>
  <c r="L96" i="17"/>
  <c r="K96" i="17"/>
  <c r="J96" i="17"/>
  <c r="M95" i="17"/>
  <c r="L95" i="17"/>
  <c r="K95" i="17"/>
  <c r="J95" i="17"/>
  <c r="M94" i="17"/>
  <c r="L94" i="17"/>
  <c r="K94" i="17"/>
  <c r="J94" i="17"/>
  <c r="M93" i="17"/>
  <c r="L93" i="17"/>
  <c r="K93" i="17"/>
  <c r="J93" i="17"/>
  <c r="M92" i="17"/>
  <c r="L92" i="17"/>
  <c r="K92" i="17"/>
  <c r="J92" i="17"/>
  <c r="M91" i="17"/>
  <c r="L91" i="17"/>
  <c r="K91" i="17"/>
  <c r="J91" i="17"/>
  <c r="M90" i="17"/>
  <c r="L90" i="17"/>
  <c r="K90" i="17"/>
  <c r="J90" i="17"/>
  <c r="M89" i="17"/>
  <c r="L89" i="17"/>
  <c r="K89" i="17"/>
  <c r="J89" i="17"/>
  <c r="M88" i="17"/>
  <c r="L88" i="17"/>
  <c r="K88" i="17"/>
  <c r="J88" i="17"/>
  <c r="M87" i="17"/>
  <c r="L87" i="17"/>
  <c r="K87" i="17"/>
  <c r="J87" i="17"/>
  <c r="M86" i="17"/>
  <c r="L86" i="17"/>
  <c r="K86" i="17"/>
  <c r="J86" i="17"/>
  <c r="M85" i="17"/>
  <c r="L85" i="17"/>
  <c r="K85" i="17"/>
  <c r="J85" i="17"/>
  <c r="M84" i="17"/>
  <c r="L84" i="17"/>
  <c r="K84" i="17"/>
  <c r="J84" i="17"/>
  <c r="M83" i="17"/>
  <c r="L83" i="17"/>
  <c r="K83" i="17"/>
  <c r="J83" i="17"/>
  <c r="M82" i="17"/>
  <c r="L82" i="17"/>
  <c r="K82" i="17"/>
  <c r="J82" i="17"/>
  <c r="M81" i="17"/>
  <c r="L81" i="17"/>
  <c r="K81" i="17"/>
  <c r="J81" i="17"/>
  <c r="M80" i="17"/>
  <c r="L80" i="17"/>
  <c r="K80" i="17"/>
  <c r="J80" i="17"/>
  <c r="M79" i="17"/>
  <c r="L79" i="17"/>
  <c r="K79" i="17"/>
  <c r="J79" i="17"/>
  <c r="M78" i="17"/>
  <c r="L78" i="17"/>
  <c r="K78" i="17"/>
  <c r="J78" i="17"/>
  <c r="M77" i="17"/>
  <c r="L77" i="17"/>
  <c r="K77" i="17"/>
  <c r="J77" i="17"/>
  <c r="M76" i="17"/>
  <c r="L76" i="17"/>
  <c r="K76" i="17"/>
  <c r="J76" i="17"/>
  <c r="M75" i="17"/>
  <c r="L75" i="17"/>
  <c r="K75" i="17"/>
  <c r="J75" i="17"/>
  <c r="M74" i="17"/>
  <c r="L74" i="17"/>
  <c r="K74" i="17"/>
  <c r="J74" i="17"/>
  <c r="M73" i="17"/>
  <c r="L73" i="17"/>
  <c r="K73" i="17"/>
  <c r="J73" i="17"/>
  <c r="M72" i="17"/>
  <c r="L72" i="17"/>
  <c r="K72" i="17"/>
  <c r="J72" i="17"/>
  <c r="M71" i="17"/>
  <c r="L71" i="17"/>
  <c r="K71" i="17"/>
  <c r="J71" i="17"/>
  <c r="M70" i="17"/>
  <c r="L70" i="17"/>
  <c r="K70" i="17"/>
  <c r="J70" i="17"/>
  <c r="M69" i="17"/>
  <c r="L69" i="17"/>
  <c r="K69" i="17"/>
  <c r="J69" i="17"/>
  <c r="M68" i="17"/>
  <c r="L68" i="17"/>
  <c r="K68" i="17"/>
  <c r="J68" i="17"/>
  <c r="M67" i="17"/>
  <c r="L67" i="17"/>
  <c r="K67" i="17"/>
  <c r="J67" i="17"/>
  <c r="M66" i="17"/>
  <c r="L66" i="17"/>
  <c r="K66" i="17"/>
  <c r="J66" i="17"/>
  <c r="M65" i="17"/>
  <c r="L65" i="17"/>
  <c r="K65" i="17"/>
  <c r="J65" i="17"/>
  <c r="M64" i="17"/>
  <c r="L64" i="17"/>
  <c r="K64" i="17"/>
  <c r="J64" i="17"/>
  <c r="M63" i="17"/>
  <c r="L63" i="17"/>
  <c r="K63" i="17"/>
  <c r="J63" i="17"/>
  <c r="M62" i="17"/>
  <c r="L62" i="17"/>
  <c r="K62" i="17"/>
  <c r="J62" i="17"/>
  <c r="M61" i="17"/>
  <c r="L61" i="17"/>
  <c r="K61" i="17"/>
  <c r="J61" i="17"/>
  <c r="M60" i="17"/>
  <c r="L60" i="17"/>
  <c r="K60" i="17"/>
  <c r="J60" i="17"/>
  <c r="M59" i="17"/>
  <c r="L59" i="17"/>
  <c r="K59" i="17"/>
  <c r="J59" i="17"/>
  <c r="M58" i="17"/>
  <c r="L58" i="17"/>
  <c r="K58" i="17"/>
  <c r="J58" i="17"/>
  <c r="M57" i="17"/>
  <c r="L57" i="17"/>
  <c r="K57" i="17"/>
  <c r="J57" i="17"/>
  <c r="M56" i="17"/>
  <c r="L56" i="17"/>
  <c r="K56" i="17"/>
  <c r="J56" i="17"/>
  <c r="M55" i="17"/>
  <c r="L55" i="17"/>
  <c r="K55" i="17"/>
  <c r="J55" i="17"/>
  <c r="M54" i="17"/>
  <c r="L54" i="17"/>
  <c r="K54" i="17"/>
  <c r="J54" i="17"/>
  <c r="M53" i="17"/>
  <c r="L53" i="17"/>
  <c r="K53" i="17"/>
  <c r="J53" i="17"/>
  <c r="M52" i="17"/>
  <c r="L52" i="17"/>
  <c r="K52" i="17"/>
  <c r="J52" i="17"/>
  <c r="M51" i="17"/>
  <c r="L51" i="17"/>
  <c r="K51" i="17"/>
  <c r="J51" i="17"/>
  <c r="M50" i="17"/>
  <c r="L50" i="17"/>
  <c r="K50" i="17"/>
  <c r="J50" i="17"/>
  <c r="M49" i="17"/>
  <c r="L49" i="17"/>
  <c r="K49" i="17"/>
  <c r="J49" i="17"/>
  <c r="M48" i="17"/>
  <c r="L48" i="17"/>
  <c r="K48" i="17"/>
  <c r="J48" i="17"/>
  <c r="M47" i="17"/>
  <c r="L47" i="17"/>
  <c r="K47" i="17"/>
  <c r="J47" i="17"/>
  <c r="M46" i="17"/>
  <c r="L46" i="17"/>
  <c r="K46" i="17"/>
  <c r="J46" i="17"/>
  <c r="M45" i="17"/>
  <c r="L45" i="17"/>
  <c r="K45" i="17"/>
  <c r="J45" i="17"/>
  <c r="M44" i="17"/>
  <c r="L44" i="17"/>
  <c r="K44" i="17"/>
  <c r="J44" i="17"/>
  <c r="M43" i="17"/>
  <c r="L43" i="17"/>
  <c r="K43" i="17"/>
  <c r="J43" i="17"/>
  <c r="M42" i="17"/>
  <c r="L42" i="17"/>
  <c r="K42" i="17"/>
  <c r="J42" i="17"/>
  <c r="M41" i="17"/>
  <c r="L41" i="17"/>
  <c r="K41" i="17"/>
  <c r="J41" i="17"/>
  <c r="M40" i="17"/>
  <c r="L40" i="17"/>
  <c r="K40" i="17"/>
  <c r="J40" i="17"/>
  <c r="M39" i="17"/>
  <c r="L39" i="17"/>
  <c r="K39" i="17"/>
  <c r="J39" i="17"/>
  <c r="M38" i="17"/>
  <c r="L38" i="17"/>
  <c r="K38" i="17"/>
  <c r="J38" i="17"/>
  <c r="M37" i="17"/>
  <c r="L37" i="17"/>
  <c r="K37" i="17"/>
  <c r="J37" i="17"/>
  <c r="M36" i="17"/>
  <c r="L36" i="17"/>
  <c r="K36" i="17"/>
  <c r="J36" i="17"/>
  <c r="M35" i="17"/>
  <c r="L35" i="17"/>
  <c r="K35" i="17"/>
  <c r="J35" i="17"/>
  <c r="M34" i="17"/>
  <c r="L34" i="17"/>
  <c r="K34" i="17"/>
  <c r="J34" i="17"/>
  <c r="M33" i="17"/>
  <c r="L33" i="17"/>
  <c r="K33" i="17"/>
  <c r="J33" i="17"/>
  <c r="M32" i="17"/>
  <c r="L32" i="17"/>
  <c r="K32" i="17"/>
  <c r="J32" i="17"/>
  <c r="M31" i="17"/>
  <c r="L31" i="17"/>
  <c r="K31" i="17"/>
  <c r="J31" i="17"/>
  <c r="M30" i="17"/>
  <c r="L30" i="17"/>
  <c r="K30" i="17"/>
  <c r="J30" i="17"/>
  <c r="M29" i="17"/>
  <c r="L29" i="17"/>
  <c r="K29" i="17"/>
  <c r="J29" i="17"/>
  <c r="M28" i="17"/>
  <c r="L28" i="17"/>
  <c r="K28" i="17"/>
  <c r="J28" i="17"/>
  <c r="M27" i="17"/>
  <c r="L27" i="17"/>
  <c r="K27" i="17"/>
  <c r="J27" i="17"/>
  <c r="M26" i="17"/>
  <c r="L26" i="17"/>
  <c r="K26" i="17"/>
  <c r="J26" i="17"/>
  <c r="M25" i="17"/>
  <c r="L25" i="17"/>
  <c r="K25" i="17"/>
  <c r="J25" i="17"/>
  <c r="M24" i="17"/>
  <c r="L24" i="17"/>
  <c r="K24" i="17"/>
  <c r="J24" i="17"/>
  <c r="M23" i="17"/>
  <c r="L23" i="17"/>
  <c r="K23" i="17"/>
  <c r="J23" i="17"/>
  <c r="M22" i="17"/>
  <c r="L22" i="17"/>
  <c r="K22" i="17"/>
  <c r="J22" i="17"/>
  <c r="M21" i="17"/>
  <c r="L21" i="17"/>
  <c r="K21" i="17"/>
  <c r="J21" i="17"/>
  <c r="M20" i="17"/>
  <c r="L20" i="17"/>
  <c r="K20" i="17"/>
  <c r="J20" i="17"/>
  <c r="M19" i="17"/>
  <c r="L19" i="17"/>
  <c r="K19" i="17"/>
  <c r="J19" i="17"/>
  <c r="M18" i="17"/>
  <c r="L18" i="17"/>
  <c r="K18" i="17"/>
  <c r="J18" i="17"/>
  <c r="M17" i="17"/>
  <c r="L17" i="17"/>
  <c r="K17" i="17"/>
  <c r="J17" i="17"/>
  <c r="M16" i="17"/>
  <c r="L16" i="17"/>
  <c r="K16" i="17"/>
  <c r="J16" i="17"/>
  <c r="M15" i="17"/>
  <c r="L15" i="17"/>
  <c r="K15" i="17"/>
  <c r="J15" i="17"/>
  <c r="M14" i="17"/>
  <c r="L14" i="17"/>
  <c r="K14" i="17"/>
  <c r="J14" i="17"/>
  <c r="M13" i="17"/>
  <c r="L13" i="17"/>
  <c r="K13" i="17"/>
  <c r="J13" i="17"/>
  <c r="M12" i="17"/>
  <c r="L12" i="17"/>
  <c r="K12" i="17"/>
  <c r="J12" i="17"/>
  <c r="M11" i="17"/>
  <c r="L11" i="17"/>
  <c r="K11" i="17"/>
  <c r="J11" i="17"/>
  <c r="M10" i="17"/>
  <c r="M202" i="17" s="1"/>
  <c r="L10" i="17"/>
  <c r="L202" i="17" s="1"/>
  <c r="K10" i="17"/>
  <c r="K202" i="17" s="1"/>
  <c r="J10" i="17"/>
  <c r="J202" i="17" s="1"/>
  <c r="I202" i="16"/>
  <c r="H202" i="16"/>
  <c r="G202" i="16"/>
  <c r="F202" i="16"/>
  <c r="E202" i="16"/>
  <c r="D202" i="16"/>
  <c r="C202" i="16"/>
  <c r="B202" i="16"/>
  <c r="M201" i="16"/>
  <c r="L201" i="16"/>
  <c r="K201" i="16"/>
  <c r="J201" i="16"/>
  <c r="M200" i="16"/>
  <c r="L200" i="16"/>
  <c r="K200" i="16"/>
  <c r="J200" i="16"/>
  <c r="M199" i="16"/>
  <c r="L199" i="16"/>
  <c r="K199" i="16"/>
  <c r="J199" i="16"/>
  <c r="M198" i="16"/>
  <c r="L198" i="16"/>
  <c r="K198" i="16"/>
  <c r="J198" i="16"/>
  <c r="M197" i="16"/>
  <c r="L197" i="16"/>
  <c r="K197" i="16"/>
  <c r="J197" i="16"/>
  <c r="M196" i="16"/>
  <c r="L196" i="16"/>
  <c r="K196" i="16"/>
  <c r="J196" i="16"/>
  <c r="M195" i="16"/>
  <c r="L195" i="16"/>
  <c r="K195" i="16"/>
  <c r="J195" i="16"/>
  <c r="M194" i="16"/>
  <c r="L194" i="16"/>
  <c r="K194" i="16"/>
  <c r="J194" i="16"/>
  <c r="M193" i="16"/>
  <c r="L193" i="16"/>
  <c r="K193" i="16"/>
  <c r="J193" i="16"/>
  <c r="M192" i="16"/>
  <c r="L192" i="16"/>
  <c r="K192" i="16"/>
  <c r="J192" i="16"/>
  <c r="M191" i="16"/>
  <c r="L191" i="16"/>
  <c r="K191" i="16"/>
  <c r="J191" i="16"/>
  <c r="M190" i="16"/>
  <c r="L190" i="16"/>
  <c r="K190" i="16"/>
  <c r="J190" i="16"/>
  <c r="M189" i="16"/>
  <c r="L189" i="16"/>
  <c r="K189" i="16"/>
  <c r="J189" i="16"/>
  <c r="M188" i="16"/>
  <c r="L188" i="16"/>
  <c r="K188" i="16"/>
  <c r="J188" i="16"/>
  <c r="M187" i="16"/>
  <c r="L187" i="16"/>
  <c r="K187" i="16"/>
  <c r="J187" i="16"/>
  <c r="M186" i="16"/>
  <c r="L186" i="16"/>
  <c r="K186" i="16"/>
  <c r="J186" i="16"/>
  <c r="M185" i="16"/>
  <c r="L185" i="16"/>
  <c r="K185" i="16"/>
  <c r="J185" i="16"/>
  <c r="M184" i="16"/>
  <c r="L184" i="16"/>
  <c r="K184" i="16"/>
  <c r="J184" i="16"/>
  <c r="M183" i="16"/>
  <c r="L183" i="16"/>
  <c r="K183" i="16"/>
  <c r="J183" i="16"/>
  <c r="M182" i="16"/>
  <c r="L182" i="16"/>
  <c r="K182" i="16"/>
  <c r="J182" i="16"/>
  <c r="M181" i="16"/>
  <c r="L181" i="16"/>
  <c r="K181" i="16"/>
  <c r="J181" i="16"/>
  <c r="M180" i="16"/>
  <c r="L180" i="16"/>
  <c r="K180" i="16"/>
  <c r="J180" i="16"/>
  <c r="M179" i="16"/>
  <c r="L179" i="16"/>
  <c r="K179" i="16"/>
  <c r="J179" i="16"/>
  <c r="M178" i="16"/>
  <c r="L178" i="16"/>
  <c r="K178" i="16"/>
  <c r="J178" i="16"/>
  <c r="M177" i="16"/>
  <c r="L177" i="16"/>
  <c r="K177" i="16"/>
  <c r="J177" i="16"/>
  <c r="M176" i="16"/>
  <c r="L176" i="16"/>
  <c r="K176" i="16"/>
  <c r="J176" i="16"/>
  <c r="M175" i="16"/>
  <c r="L175" i="16"/>
  <c r="K175" i="16"/>
  <c r="J175" i="16"/>
  <c r="M174" i="16"/>
  <c r="L174" i="16"/>
  <c r="K174" i="16"/>
  <c r="J174" i="16"/>
  <c r="M173" i="16"/>
  <c r="L173" i="16"/>
  <c r="K173" i="16"/>
  <c r="J173" i="16"/>
  <c r="M172" i="16"/>
  <c r="L172" i="16"/>
  <c r="K172" i="16"/>
  <c r="J172" i="16"/>
  <c r="M171" i="16"/>
  <c r="L171" i="16"/>
  <c r="K171" i="16"/>
  <c r="J171" i="16"/>
  <c r="M170" i="16"/>
  <c r="L170" i="16"/>
  <c r="K170" i="16"/>
  <c r="J170" i="16"/>
  <c r="M169" i="16"/>
  <c r="L169" i="16"/>
  <c r="K169" i="16"/>
  <c r="J169" i="16"/>
  <c r="M168" i="16"/>
  <c r="L168" i="16"/>
  <c r="K168" i="16"/>
  <c r="J168" i="16"/>
  <c r="M167" i="16"/>
  <c r="L167" i="16"/>
  <c r="K167" i="16"/>
  <c r="J167" i="16"/>
  <c r="M166" i="16"/>
  <c r="L166" i="16"/>
  <c r="K166" i="16"/>
  <c r="J166" i="16"/>
  <c r="M165" i="16"/>
  <c r="L165" i="16"/>
  <c r="K165" i="16"/>
  <c r="J165" i="16"/>
  <c r="M164" i="16"/>
  <c r="L164" i="16"/>
  <c r="K164" i="16"/>
  <c r="J164" i="16"/>
  <c r="M163" i="16"/>
  <c r="L163" i="16"/>
  <c r="K163" i="16"/>
  <c r="J163" i="16"/>
  <c r="M162" i="16"/>
  <c r="L162" i="16"/>
  <c r="K162" i="16"/>
  <c r="J162" i="16"/>
  <c r="M161" i="16"/>
  <c r="L161" i="16"/>
  <c r="K161" i="16"/>
  <c r="J161" i="16"/>
  <c r="M160" i="16"/>
  <c r="L160" i="16"/>
  <c r="K160" i="16"/>
  <c r="J160" i="16"/>
  <c r="M159" i="16"/>
  <c r="L159" i="16"/>
  <c r="K159" i="16"/>
  <c r="J159" i="16"/>
  <c r="M158" i="16"/>
  <c r="L158" i="16"/>
  <c r="K158" i="16"/>
  <c r="J158" i="16"/>
  <c r="M157" i="16"/>
  <c r="L157" i="16"/>
  <c r="K157" i="16"/>
  <c r="J157" i="16"/>
  <c r="M156" i="16"/>
  <c r="L156" i="16"/>
  <c r="K156" i="16"/>
  <c r="J156" i="16"/>
  <c r="M155" i="16"/>
  <c r="L155" i="16"/>
  <c r="K155" i="16"/>
  <c r="J155" i="16"/>
  <c r="M154" i="16"/>
  <c r="L154" i="16"/>
  <c r="K154" i="16"/>
  <c r="J154" i="16"/>
  <c r="M153" i="16"/>
  <c r="L153" i="16"/>
  <c r="K153" i="16"/>
  <c r="J153" i="16"/>
  <c r="M152" i="16"/>
  <c r="L152" i="16"/>
  <c r="K152" i="16"/>
  <c r="J152" i="16"/>
  <c r="M151" i="16"/>
  <c r="L151" i="16"/>
  <c r="K151" i="16"/>
  <c r="J151" i="16"/>
  <c r="M150" i="16"/>
  <c r="L150" i="16"/>
  <c r="K150" i="16"/>
  <c r="J150" i="16"/>
  <c r="M149" i="16"/>
  <c r="L149" i="16"/>
  <c r="K149" i="16"/>
  <c r="J149" i="16"/>
  <c r="M148" i="16"/>
  <c r="L148" i="16"/>
  <c r="K148" i="16"/>
  <c r="J148" i="16"/>
  <c r="M147" i="16"/>
  <c r="L147" i="16"/>
  <c r="K147" i="16"/>
  <c r="J147" i="16"/>
  <c r="M146" i="16"/>
  <c r="L146" i="16"/>
  <c r="K146" i="16"/>
  <c r="J146" i="16"/>
  <c r="M145" i="16"/>
  <c r="L145" i="16"/>
  <c r="K145" i="16"/>
  <c r="J145" i="16"/>
  <c r="M144" i="16"/>
  <c r="L144" i="16"/>
  <c r="K144" i="16"/>
  <c r="J144" i="16"/>
  <c r="M143" i="16"/>
  <c r="L143" i="16"/>
  <c r="K143" i="16"/>
  <c r="J143" i="16"/>
  <c r="M142" i="16"/>
  <c r="L142" i="16"/>
  <c r="K142" i="16"/>
  <c r="J142" i="16"/>
  <c r="M141" i="16"/>
  <c r="L141" i="16"/>
  <c r="K141" i="16"/>
  <c r="J141" i="16"/>
  <c r="M140" i="16"/>
  <c r="L140" i="16"/>
  <c r="K140" i="16"/>
  <c r="J140" i="16"/>
  <c r="M139" i="16"/>
  <c r="L139" i="16"/>
  <c r="K139" i="16"/>
  <c r="J139" i="16"/>
  <c r="M138" i="16"/>
  <c r="L138" i="16"/>
  <c r="K138" i="16"/>
  <c r="J138" i="16"/>
  <c r="M137" i="16"/>
  <c r="L137" i="16"/>
  <c r="K137" i="16"/>
  <c r="J137" i="16"/>
  <c r="M136" i="16"/>
  <c r="L136" i="16"/>
  <c r="K136" i="16"/>
  <c r="J136" i="16"/>
  <c r="M135" i="16"/>
  <c r="L135" i="16"/>
  <c r="K135" i="16"/>
  <c r="J135" i="16"/>
  <c r="M134" i="16"/>
  <c r="L134" i="16"/>
  <c r="K134" i="16"/>
  <c r="J134" i="16"/>
  <c r="M133" i="16"/>
  <c r="L133" i="16"/>
  <c r="K133" i="16"/>
  <c r="J133" i="16"/>
  <c r="M132" i="16"/>
  <c r="L132" i="16"/>
  <c r="K132" i="16"/>
  <c r="J132" i="16"/>
  <c r="M131" i="16"/>
  <c r="L131" i="16"/>
  <c r="K131" i="16"/>
  <c r="J131" i="16"/>
  <c r="M130" i="16"/>
  <c r="L130" i="16"/>
  <c r="K130" i="16"/>
  <c r="J130" i="16"/>
  <c r="M129" i="16"/>
  <c r="L129" i="16"/>
  <c r="K129" i="16"/>
  <c r="J129" i="16"/>
  <c r="M128" i="16"/>
  <c r="L128" i="16"/>
  <c r="K128" i="16"/>
  <c r="J128" i="16"/>
  <c r="M127" i="16"/>
  <c r="L127" i="16"/>
  <c r="K127" i="16"/>
  <c r="J127" i="16"/>
  <c r="M126" i="16"/>
  <c r="L126" i="16"/>
  <c r="K126" i="16"/>
  <c r="J126" i="16"/>
  <c r="M125" i="16"/>
  <c r="L125" i="16"/>
  <c r="K125" i="16"/>
  <c r="J125" i="16"/>
  <c r="M124" i="16"/>
  <c r="L124" i="16"/>
  <c r="K124" i="16"/>
  <c r="J124" i="16"/>
  <c r="M123" i="16"/>
  <c r="L123" i="16"/>
  <c r="K123" i="16"/>
  <c r="J123" i="16"/>
  <c r="M122" i="16"/>
  <c r="L122" i="16"/>
  <c r="K122" i="16"/>
  <c r="J122" i="16"/>
  <c r="M121" i="16"/>
  <c r="L121" i="16"/>
  <c r="K121" i="16"/>
  <c r="J121" i="16"/>
  <c r="M120" i="16"/>
  <c r="L120" i="16"/>
  <c r="K120" i="16"/>
  <c r="J120" i="16"/>
  <c r="M119" i="16"/>
  <c r="L119" i="16"/>
  <c r="K119" i="16"/>
  <c r="J119" i="16"/>
  <c r="M118" i="16"/>
  <c r="L118" i="16"/>
  <c r="K118" i="16"/>
  <c r="J118" i="16"/>
  <c r="M117" i="16"/>
  <c r="L117" i="16"/>
  <c r="K117" i="16"/>
  <c r="J117" i="16"/>
  <c r="M116" i="16"/>
  <c r="L116" i="16"/>
  <c r="K116" i="16"/>
  <c r="J116" i="16"/>
  <c r="M115" i="16"/>
  <c r="L115" i="16"/>
  <c r="K115" i="16"/>
  <c r="J115" i="16"/>
  <c r="M114" i="16"/>
  <c r="L114" i="16"/>
  <c r="K114" i="16"/>
  <c r="J114" i="16"/>
  <c r="M113" i="16"/>
  <c r="L113" i="16"/>
  <c r="K113" i="16"/>
  <c r="J113" i="16"/>
  <c r="M112" i="16"/>
  <c r="L112" i="16"/>
  <c r="K112" i="16"/>
  <c r="J112" i="16"/>
  <c r="M111" i="16"/>
  <c r="L111" i="16"/>
  <c r="K111" i="16"/>
  <c r="J111" i="16"/>
  <c r="M110" i="16"/>
  <c r="L110" i="16"/>
  <c r="K110" i="16"/>
  <c r="J110" i="16"/>
  <c r="M109" i="16"/>
  <c r="L109" i="16"/>
  <c r="K109" i="16"/>
  <c r="J109" i="16"/>
  <c r="M108" i="16"/>
  <c r="L108" i="16"/>
  <c r="K108" i="16"/>
  <c r="J108" i="16"/>
  <c r="M107" i="16"/>
  <c r="L107" i="16"/>
  <c r="K107" i="16"/>
  <c r="J107" i="16"/>
  <c r="M106" i="16"/>
  <c r="L106" i="16"/>
  <c r="K106" i="16"/>
  <c r="J106" i="16"/>
  <c r="M105" i="16"/>
  <c r="L105" i="16"/>
  <c r="K105" i="16"/>
  <c r="J105" i="16"/>
  <c r="M104" i="16"/>
  <c r="L104" i="16"/>
  <c r="K104" i="16"/>
  <c r="J104" i="16"/>
  <c r="M103" i="16"/>
  <c r="L103" i="16"/>
  <c r="K103" i="16"/>
  <c r="J103" i="16"/>
  <c r="M102" i="16"/>
  <c r="L102" i="16"/>
  <c r="K102" i="16"/>
  <c r="J102" i="16"/>
  <c r="M101" i="16"/>
  <c r="L101" i="16"/>
  <c r="K101" i="16"/>
  <c r="J101" i="16"/>
  <c r="M100" i="16"/>
  <c r="L100" i="16"/>
  <c r="K100" i="16"/>
  <c r="J100" i="16"/>
  <c r="M99" i="16"/>
  <c r="L99" i="16"/>
  <c r="K99" i="16"/>
  <c r="J99" i="16"/>
  <c r="M98" i="16"/>
  <c r="L98" i="16"/>
  <c r="K98" i="16"/>
  <c r="J98" i="16"/>
  <c r="M97" i="16"/>
  <c r="L97" i="16"/>
  <c r="K97" i="16"/>
  <c r="J97" i="16"/>
  <c r="M96" i="16"/>
  <c r="L96" i="16"/>
  <c r="K96" i="16"/>
  <c r="J96" i="16"/>
  <c r="M95" i="16"/>
  <c r="L95" i="16"/>
  <c r="K95" i="16"/>
  <c r="J95" i="16"/>
  <c r="M94" i="16"/>
  <c r="L94" i="16"/>
  <c r="K94" i="16"/>
  <c r="J94" i="16"/>
  <c r="M93" i="16"/>
  <c r="L93" i="16"/>
  <c r="K93" i="16"/>
  <c r="J93" i="16"/>
  <c r="M92" i="16"/>
  <c r="L92" i="16"/>
  <c r="K92" i="16"/>
  <c r="J92" i="16"/>
  <c r="M91" i="16"/>
  <c r="L91" i="16"/>
  <c r="K91" i="16"/>
  <c r="J91" i="16"/>
  <c r="M90" i="16"/>
  <c r="L90" i="16"/>
  <c r="K90" i="16"/>
  <c r="J90" i="16"/>
  <c r="M89" i="16"/>
  <c r="L89" i="16"/>
  <c r="K89" i="16"/>
  <c r="J89" i="16"/>
  <c r="M88" i="16"/>
  <c r="L88" i="16"/>
  <c r="K88" i="16"/>
  <c r="J88" i="16"/>
  <c r="M87" i="16"/>
  <c r="L87" i="16"/>
  <c r="K87" i="16"/>
  <c r="J87" i="16"/>
  <c r="M86" i="16"/>
  <c r="L86" i="16"/>
  <c r="K86" i="16"/>
  <c r="J86" i="16"/>
  <c r="M85" i="16"/>
  <c r="L85" i="16"/>
  <c r="K85" i="16"/>
  <c r="J85" i="16"/>
  <c r="M84" i="16"/>
  <c r="L84" i="16"/>
  <c r="K84" i="16"/>
  <c r="J84" i="16"/>
  <c r="M83" i="16"/>
  <c r="L83" i="16"/>
  <c r="K83" i="16"/>
  <c r="J83" i="16"/>
  <c r="M82" i="16"/>
  <c r="L82" i="16"/>
  <c r="K82" i="16"/>
  <c r="J82" i="16"/>
  <c r="M81" i="16"/>
  <c r="L81" i="16"/>
  <c r="K81" i="16"/>
  <c r="J81" i="16"/>
  <c r="M80" i="16"/>
  <c r="L80" i="16"/>
  <c r="K80" i="16"/>
  <c r="J80" i="16"/>
  <c r="M79" i="16"/>
  <c r="L79" i="16"/>
  <c r="K79" i="16"/>
  <c r="J79" i="16"/>
  <c r="M78" i="16"/>
  <c r="L78" i="16"/>
  <c r="K78" i="16"/>
  <c r="J78" i="16"/>
  <c r="M77" i="16"/>
  <c r="L77" i="16"/>
  <c r="K77" i="16"/>
  <c r="J77" i="16"/>
  <c r="M76" i="16"/>
  <c r="L76" i="16"/>
  <c r="K76" i="16"/>
  <c r="J76" i="16"/>
  <c r="M75" i="16"/>
  <c r="L75" i="16"/>
  <c r="K75" i="16"/>
  <c r="J75" i="16"/>
  <c r="M74" i="16"/>
  <c r="L74" i="16"/>
  <c r="K74" i="16"/>
  <c r="J74" i="16"/>
  <c r="M73" i="16"/>
  <c r="L73" i="16"/>
  <c r="K73" i="16"/>
  <c r="J73" i="16"/>
  <c r="M72" i="16"/>
  <c r="L72" i="16"/>
  <c r="K72" i="16"/>
  <c r="J72" i="16"/>
  <c r="M71" i="16"/>
  <c r="L71" i="16"/>
  <c r="K71" i="16"/>
  <c r="J71" i="16"/>
  <c r="M70" i="16"/>
  <c r="L70" i="16"/>
  <c r="K70" i="16"/>
  <c r="J70" i="16"/>
  <c r="M69" i="16"/>
  <c r="L69" i="16"/>
  <c r="K69" i="16"/>
  <c r="J69" i="16"/>
  <c r="M68" i="16"/>
  <c r="L68" i="16"/>
  <c r="K68" i="16"/>
  <c r="J68" i="16"/>
  <c r="M67" i="16"/>
  <c r="L67" i="16"/>
  <c r="K67" i="16"/>
  <c r="J67" i="16"/>
  <c r="M66" i="16"/>
  <c r="L66" i="16"/>
  <c r="K66" i="16"/>
  <c r="J66" i="16"/>
  <c r="M65" i="16"/>
  <c r="L65" i="16"/>
  <c r="K65" i="16"/>
  <c r="J65" i="16"/>
  <c r="M64" i="16"/>
  <c r="L64" i="16"/>
  <c r="K64" i="16"/>
  <c r="J64" i="16"/>
  <c r="M63" i="16"/>
  <c r="L63" i="16"/>
  <c r="K63" i="16"/>
  <c r="J63" i="16"/>
  <c r="M62" i="16"/>
  <c r="L62" i="16"/>
  <c r="K62" i="16"/>
  <c r="J62" i="16"/>
  <c r="M61" i="16"/>
  <c r="L61" i="16"/>
  <c r="K61" i="16"/>
  <c r="J61" i="16"/>
  <c r="M60" i="16"/>
  <c r="L60" i="16"/>
  <c r="K60" i="16"/>
  <c r="J60" i="16"/>
  <c r="M59" i="16"/>
  <c r="L59" i="16"/>
  <c r="K59" i="16"/>
  <c r="J59" i="16"/>
  <c r="M58" i="16"/>
  <c r="L58" i="16"/>
  <c r="K58" i="16"/>
  <c r="J58" i="16"/>
  <c r="M57" i="16"/>
  <c r="L57" i="16"/>
  <c r="K57" i="16"/>
  <c r="J57" i="16"/>
  <c r="M56" i="16"/>
  <c r="L56" i="16"/>
  <c r="K56" i="16"/>
  <c r="J56" i="16"/>
  <c r="M55" i="16"/>
  <c r="L55" i="16"/>
  <c r="K55" i="16"/>
  <c r="J55" i="16"/>
  <c r="M54" i="16"/>
  <c r="L54" i="16"/>
  <c r="K54" i="16"/>
  <c r="J54" i="16"/>
  <c r="M53" i="16"/>
  <c r="L53" i="16"/>
  <c r="K53" i="16"/>
  <c r="J53" i="16"/>
  <c r="M52" i="16"/>
  <c r="L52" i="16"/>
  <c r="K52" i="16"/>
  <c r="J52" i="16"/>
  <c r="M51" i="16"/>
  <c r="L51" i="16"/>
  <c r="K51" i="16"/>
  <c r="J51" i="16"/>
  <c r="M50" i="16"/>
  <c r="L50" i="16"/>
  <c r="K50" i="16"/>
  <c r="J50" i="16"/>
  <c r="M49" i="16"/>
  <c r="L49" i="16"/>
  <c r="K49" i="16"/>
  <c r="J49" i="16"/>
  <c r="M48" i="16"/>
  <c r="L48" i="16"/>
  <c r="K48" i="16"/>
  <c r="J48" i="16"/>
  <c r="M47" i="16"/>
  <c r="L47" i="16"/>
  <c r="K47" i="16"/>
  <c r="J47" i="16"/>
  <c r="M46" i="16"/>
  <c r="L46" i="16"/>
  <c r="K46" i="16"/>
  <c r="J46" i="16"/>
  <c r="M45" i="16"/>
  <c r="L45" i="16"/>
  <c r="K45" i="16"/>
  <c r="J45" i="16"/>
  <c r="M44" i="16"/>
  <c r="L44" i="16"/>
  <c r="K44" i="16"/>
  <c r="J44" i="16"/>
  <c r="M43" i="16"/>
  <c r="L43" i="16"/>
  <c r="K43" i="16"/>
  <c r="J43" i="16"/>
  <c r="M42" i="16"/>
  <c r="L42" i="16"/>
  <c r="K42" i="16"/>
  <c r="J42" i="16"/>
  <c r="M41" i="16"/>
  <c r="L41" i="16"/>
  <c r="K41" i="16"/>
  <c r="J41" i="16"/>
  <c r="M40" i="16"/>
  <c r="L40" i="16"/>
  <c r="K40" i="16"/>
  <c r="J40" i="16"/>
  <c r="M39" i="16"/>
  <c r="L39" i="16"/>
  <c r="K39" i="16"/>
  <c r="J39" i="16"/>
  <c r="M38" i="16"/>
  <c r="L38" i="16"/>
  <c r="K38" i="16"/>
  <c r="J38" i="16"/>
  <c r="M37" i="16"/>
  <c r="L37" i="16"/>
  <c r="K37" i="16"/>
  <c r="J37" i="16"/>
  <c r="M36" i="16"/>
  <c r="L36" i="16"/>
  <c r="K36" i="16"/>
  <c r="J36" i="16"/>
  <c r="M35" i="16"/>
  <c r="L35" i="16"/>
  <c r="K35" i="16"/>
  <c r="J35" i="16"/>
  <c r="M34" i="16"/>
  <c r="L34" i="16"/>
  <c r="K34" i="16"/>
  <c r="J34" i="16"/>
  <c r="M33" i="16"/>
  <c r="L33" i="16"/>
  <c r="K33" i="16"/>
  <c r="J33" i="16"/>
  <c r="M32" i="16"/>
  <c r="L32" i="16"/>
  <c r="K32" i="16"/>
  <c r="J32" i="16"/>
  <c r="M31" i="16"/>
  <c r="L31" i="16"/>
  <c r="K31" i="16"/>
  <c r="J31" i="16"/>
  <c r="M30" i="16"/>
  <c r="L30" i="16"/>
  <c r="K30" i="16"/>
  <c r="J30" i="16"/>
  <c r="M29" i="16"/>
  <c r="L29" i="16"/>
  <c r="K29" i="16"/>
  <c r="J29" i="16"/>
  <c r="M28" i="16"/>
  <c r="L28" i="16"/>
  <c r="K28" i="16"/>
  <c r="J28" i="16"/>
  <c r="M27" i="16"/>
  <c r="L27" i="16"/>
  <c r="K27" i="16"/>
  <c r="J27" i="16"/>
  <c r="M26" i="16"/>
  <c r="L26" i="16"/>
  <c r="K26" i="16"/>
  <c r="J26" i="16"/>
  <c r="M25" i="16"/>
  <c r="L25" i="16"/>
  <c r="K25" i="16"/>
  <c r="J25" i="16"/>
  <c r="M24" i="16"/>
  <c r="L24" i="16"/>
  <c r="K24" i="16"/>
  <c r="J24" i="16"/>
  <c r="M23" i="16"/>
  <c r="L23" i="16"/>
  <c r="K23" i="16"/>
  <c r="J23" i="16"/>
  <c r="M22" i="16"/>
  <c r="L22" i="16"/>
  <c r="K22" i="16"/>
  <c r="J22" i="16"/>
  <c r="M21" i="16"/>
  <c r="L21" i="16"/>
  <c r="K21" i="16"/>
  <c r="J21" i="16"/>
  <c r="M20" i="16"/>
  <c r="L20" i="16"/>
  <c r="K20" i="16"/>
  <c r="J20" i="16"/>
  <c r="M19" i="16"/>
  <c r="L19" i="16"/>
  <c r="K19" i="16"/>
  <c r="J19" i="16"/>
  <c r="M18" i="16"/>
  <c r="L18" i="16"/>
  <c r="K18" i="16"/>
  <c r="J18" i="16"/>
  <c r="M17" i="16"/>
  <c r="L17" i="16"/>
  <c r="K17" i="16"/>
  <c r="J17" i="16"/>
  <c r="M16" i="16"/>
  <c r="L16" i="16"/>
  <c r="K16" i="16"/>
  <c r="J16" i="16"/>
  <c r="M15" i="16"/>
  <c r="L15" i="16"/>
  <c r="K15" i="16"/>
  <c r="J15" i="16"/>
  <c r="M14" i="16"/>
  <c r="L14" i="16"/>
  <c r="K14" i="16"/>
  <c r="J14" i="16"/>
  <c r="M13" i="16"/>
  <c r="L13" i="16"/>
  <c r="K13" i="16"/>
  <c r="J13" i="16"/>
  <c r="M12" i="16"/>
  <c r="L12" i="16"/>
  <c r="K12" i="16"/>
  <c r="J12" i="16"/>
  <c r="M11" i="16"/>
  <c r="L11" i="16"/>
  <c r="K11" i="16"/>
  <c r="J11" i="16"/>
  <c r="M10" i="16"/>
  <c r="M202" i="16" s="1"/>
  <c r="L10" i="16"/>
  <c r="L202" i="16" s="1"/>
  <c r="K10" i="16"/>
  <c r="K202" i="16" s="1"/>
  <c r="J10" i="16"/>
  <c r="J202" i="16" s="1"/>
  <c r="I202" i="15" l="1"/>
  <c r="H202" i="15"/>
  <c r="G202" i="15"/>
  <c r="F202" i="15"/>
  <c r="E202" i="15"/>
  <c r="D202" i="15"/>
  <c r="C202" i="15"/>
  <c r="B202" i="15"/>
  <c r="M201" i="15"/>
  <c r="L201" i="15"/>
  <c r="K201" i="15"/>
  <c r="J201" i="15"/>
  <c r="M200" i="15"/>
  <c r="L200" i="15"/>
  <c r="K200" i="15"/>
  <c r="J200" i="15"/>
  <c r="M199" i="15"/>
  <c r="L199" i="15"/>
  <c r="K199" i="15"/>
  <c r="J199" i="15"/>
  <c r="M198" i="15"/>
  <c r="L198" i="15"/>
  <c r="K198" i="15"/>
  <c r="J198" i="15"/>
  <c r="M197" i="15"/>
  <c r="L197" i="15"/>
  <c r="K197" i="15"/>
  <c r="J197" i="15"/>
  <c r="M196" i="15"/>
  <c r="L196" i="15"/>
  <c r="K196" i="15"/>
  <c r="J196" i="15"/>
  <c r="M195" i="15"/>
  <c r="L195" i="15"/>
  <c r="K195" i="15"/>
  <c r="J195" i="15"/>
  <c r="M194" i="15"/>
  <c r="L194" i="15"/>
  <c r="K194" i="15"/>
  <c r="J194" i="15"/>
  <c r="M193" i="15"/>
  <c r="L193" i="15"/>
  <c r="K193" i="15"/>
  <c r="J193" i="15"/>
  <c r="M192" i="15"/>
  <c r="L192" i="15"/>
  <c r="K192" i="15"/>
  <c r="J192" i="15"/>
  <c r="M191" i="15"/>
  <c r="L191" i="15"/>
  <c r="K191" i="15"/>
  <c r="J191" i="15"/>
  <c r="M190" i="15"/>
  <c r="L190" i="15"/>
  <c r="K190" i="15"/>
  <c r="J190" i="15"/>
  <c r="M189" i="15"/>
  <c r="L189" i="15"/>
  <c r="K189" i="15"/>
  <c r="J189" i="15"/>
  <c r="M188" i="15"/>
  <c r="L188" i="15"/>
  <c r="K188" i="15"/>
  <c r="J188" i="15"/>
  <c r="M187" i="15"/>
  <c r="L187" i="15"/>
  <c r="K187" i="15"/>
  <c r="J187" i="15"/>
  <c r="M186" i="15"/>
  <c r="L186" i="15"/>
  <c r="K186" i="15"/>
  <c r="J186" i="15"/>
  <c r="M185" i="15"/>
  <c r="L185" i="15"/>
  <c r="K185" i="15"/>
  <c r="J185" i="15"/>
  <c r="M184" i="15"/>
  <c r="L184" i="15"/>
  <c r="K184" i="15"/>
  <c r="J184" i="15"/>
  <c r="M183" i="15"/>
  <c r="L183" i="15"/>
  <c r="K183" i="15"/>
  <c r="J183" i="15"/>
  <c r="M182" i="15"/>
  <c r="L182" i="15"/>
  <c r="K182" i="15"/>
  <c r="J182" i="15"/>
  <c r="M181" i="15"/>
  <c r="L181" i="15"/>
  <c r="K181" i="15"/>
  <c r="J181" i="15"/>
  <c r="M180" i="15"/>
  <c r="L180" i="15"/>
  <c r="K180" i="15"/>
  <c r="J180" i="15"/>
  <c r="M179" i="15"/>
  <c r="L179" i="15"/>
  <c r="K179" i="15"/>
  <c r="J179" i="15"/>
  <c r="M178" i="15"/>
  <c r="L178" i="15"/>
  <c r="K178" i="15"/>
  <c r="J178" i="15"/>
  <c r="M177" i="15"/>
  <c r="L177" i="15"/>
  <c r="K177" i="15"/>
  <c r="J177" i="15"/>
  <c r="M176" i="15"/>
  <c r="L176" i="15"/>
  <c r="K176" i="15"/>
  <c r="J176" i="15"/>
  <c r="M175" i="15"/>
  <c r="L175" i="15"/>
  <c r="K175" i="15"/>
  <c r="J175" i="15"/>
  <c r="M174" i="15"/>
  <c r="L174" i="15"/>
  <c r="K174" i="15"/>
  <c r="J174" i="15"/>
  <c r="M173" i="15"/>
  <c r="L173" i="15"/>
  <c r="K173" i="15"/>
  <c r="J173" i="15"/>
  <c r="M172" i="15"/>
  <c r="L172" i="15"/>
  <c r="K172" i="15"/>
  <c r="J172" i="15"/>
  <c r="M171" i="15"/>
  <c r="L171" i="15"/>
  <c r="K171" i="15"/>
  <c r="J171" i="15"/>
  <c r="M170" i="15"/>
  <c r="L170" i="15"/>
  <c r="K170" i="15"/>
  <c r="J170" i="15"/>
  <c r="M169" i="15"/>
  <c r="L169" i="15"/>
  <c r="K169" i="15"/>
  <c r="J169" i="15"/>
  <c r="M168" i="15"/>
  <c r="L168" i="15"/>
  <c r="K168" i="15"/>
  <c r="J168" i="15"/>
  <c r="M167" i="15"/>
  <c r="L167" i="15"/>
  <c r="K167" i="15"/>
  <c r="J167" i="15"/>
  <c r="M166" i="15"/>
  <c r="L166" i="15"/>
  <c r="K166" i="15"/>
  <c r="J166" i="15"/>
  <c r="M165" i="15"/>
  <c r="L165" i="15"/>
  <c r="K165" i="15"/>
  <c r="J165" i="15"/>
  <c r="M164" i="15"/>
  <c r="L164" i="15"/>
  <c r="K164" i="15"/>
  <c r="J164" i="15"/>
  <c r="M163" i="15"/>
  <c r="L163" i="15"/>
  <c r="K163" i="15"/>
  <c r="J163" i="15"/>
  <c r="M162" i="15"/>
  <c r="L162" i="15"/>
  <c r="K162" i="15"/>
  <c r="J162" i="15"/>
  <c r="M161" i="15"/>
  <c r="L161" i="15"/>
  <c r="K161" i="15"/>
  <c r="J161" i="15"/>
  <c r="M160" i="15"/>
  <c r="L160" i="15"/>
  <c r="K160" i="15"/>
  <c r="J160" i="15"/>
  <c r="M159" i="15"/>
  <c r="L159" i="15"/>
  <c r="K159" i="15"/>
  <c r="J159" i="15"/>
  <c r="M158" i="15"/>
  <c r="L158" i="15"/>
  <c r="K158" i="15"/>
  <c r="J158" i="15"/>
  <c r="M157" i="15"/>
  <c r="L157" i="15"/>
  <c r="K157" i="15"/>
  <c r="J157" i="15"/>
  <c r="M156" i="15"/>
  <c r="L156" i="15"/>
  <c r="K156" i="15"/>
  <c r="J156" i="15"/>
  <c r="M155" i="15"/>
  <c r="L155" i="15"/>
  <c r="K155" i="15"/>
  <c r="J155" i="15"/>
  <c r="M154" i="15"/>
  <c r="L154" i="15"/>
  <c r="K154" i="15"/>
  <c r="J154" i="15"/>
  <c r="M153" i="15"/>
  <c r="L153" i="15"/>
  <c r="K153" i="15"/>
  <c r="J153" i="15"/>
  <c r="M152" i="15"/>
  <c r="L152" i="15"/>
  <c r="K152" i="15"/>
  <c r="J152" i="15"/>
  <c r="M151" i="15"/>
  <c r="L151" i="15"/>
  <c r="K151" i="15"/>
  <c r="J151" i="15"/>
  <c r="M150" i="15"/>
  <c r="L150" i="15"/>
  <c r="K150" i="15"/>
  <c r="J150" i="15"/>
  <c r="M149" i="15"/>
  <c r="L149" i="15"/>
  <c r="K149" i="15"/>
  <c r="J149" i="15"/>
  <c r="M148" i="15"/>
  <c r="L148" i="15"/>
  <c r="K148" i="15"/>
  <c r="J148" i="15"/>
  <c r="M147" i="15"/>
  <c r="L147" i="15"/>
  <c r="K147" i="15"/>
  <c r="J147" i="15"/>
  <c r="M146" i="15"/>
  <c r="L146" i="15"/>
  <c r="K146" i="15"/>
  <c r="J146" i="15"/>
  <c r="M145" i="15"/>
  <c r="L145" i="15"/>
  <c r="K145" i="15"/>
  <c r="J145" i="15"/>
  <c r="M144" i="15"/>
  <c r="L144" i="15"/>
  <c r="K144" i="15"/>
  <c r="J144" i="15"/>
  <c r="M143" i="15"/>
  <c r="L143" i="15"/>
  <c r="K143" i="15"/>
  <c r="J143" i="15"/>
  <c r="M142" i="15"/>
  <c r="L142" i="15"/>
  <c r="K142" i="15"/>
  <c r="J142" i="15"/>
  <c r="M141" i="15"/>
  <c r="L141" i="15"/>
  <c r="K141" i="15"/>
  <c r="J141" i="15"/>
  <c r="M140" i="15"/>
  <c r="L140" i="15"/>
  <c r="K140" i="15"/>
  <c r="J140" i="15"/>
  <c r="M139" i="15"/>
  <c r="L139" i="15"/>
  <c r="K139" i="15"/>
  <c r="J139" i="15"/>
  <c r="M138" i="15"/>
  <c r="L138" i="15"/>
  <c r="K138" i="15"/>
  <c r="J138" i="15"/>
  <c r="M137" i="15"/>
  <c r="L137" i="15"/>
  <c r="K137" i="15"/>
  <c r="J137" i="15"/>
  <c r="M136" i="15"/>
  <c r="L136" i="15"/>
  <c r="K136" i="15"/>
  <c r="J136" i="15"/>
  <c r="M135" i="15"/>
  <c r="L135" i="15"/>
  <c r="K135" i="15"/>
  <c r="J135" i="15"/>
  <c r="M134" i="15"/>
  <c r="L134" i="15"/>
  <c r="K134" i="15"/>
  <c r="J134" i="15"/>
  <c r="M133" i="15"/>
  <c r="L133" i="15"/>
  <c r="K133" i="15"/>
  <c r="J133" i="15"/>
  <c r="M132" i="15"/>
  <c r="L132" i="15"/>
  <c r="K132" i="15"/>
  <c r="J132" i="15"/>
  <c r="M131" i="15"/>
  <c r="L131" i="15"/>
  <c r="K131" i="15"/>
  <c r="J131" i="15"/>
  <c r="M130" i="15"/>
  <c r="L130" i="15"/>
  <c r="K130" i="15"/>
  <c r="J130" i="15"/>
  <c r="M129" i="15"/>
  <c r="L129" i="15"/>
  <c r="K129" i="15"/>
  <c r="J129" i="15"/>
  <c r="M128" i="15"/>
  <c r="L128" i="15"/>
  <c r="K128" i="15"/>
  <c r="J128" i="15"/>
  <c r="M127" i="15"/>
  <c r="L127" i="15"/>
  <c r="K127" i="15"/>
  <c r="J127" i="15"/>
  <c r="M126" i="15"/>
  <c r="L126" i="15"/>
  <c r="K126" i="15"/>
  <c r="J126" i="15"/>
  <c r="M125" i="15"/>
  <c r="L125" i="15"/>
  <c r="K125" i="15"/>
  <c r="J125" i="15"/>
  <c r="M124" i="15"/>
  <c r="L124" i="15"/>
  <c r="K124" i="15"/>
  <c r="J124" i="15"/>
  <c r="M123" i="15"/>
  <c r="L123" i="15"/>
  <c r="K123" i="15"/>
  <c r="J123" i="15"/>
  <c r="M122" i="15"/>
  <c r="L122" i="15"/>
  <c r="K122" i="15"/>
  <c r="J122" i="15"/>
  <c r="M121" i="15"/>
  <c r="L121" i="15"/>
  <c r="K121" i="15"/>
  <c r="J121" i="15"/>
  <c r="M120" i="15"/>
  <c r="L120" i="15"/>
  <c r="K120" i="15"/>
  <c r="J120" i="15"/>
  <c r="M119" i="15"/>
  <c r="L119" i="15"/>
  <c r="K119" i="15"/>
  <c r="J119" i="15"/>
  <c r="M118" i="15"/>
  <c r="L118" i="15"/>
  <c r="K118" i="15"/>
  <c r="J118" i="15"/>
  <c r="M117" i="15"/>
  <c r="L117" i="15"/>
  <c r="K117" i="15"/>
  <c r="J117" i="15"/>
  <c r="M116" i="15"/>
  <c r="L116" i="15"/>
  <c r="K116" i="15"/>
  <c r="J116" i="15"/>
  <c r="M115" i="15"/>
  <c r="L115" i="15"/>
  <c r="K115" i="15"/>
  <c r="J115" i="15"/>
  <c r="M114" i="15"/>
  <c r="L114" i="15"/>
  <c r="K114" i="15"/>
  <c r="J114" i="15"/>
  <c r="M113" i="15"/>
  <c r="L113" i="15"/>
  <c r="K113" i="15"/>
  <c r="J113" i="15"/>
  <c r="M112" i="15"/>
  <c r="L112" i="15"/>
  <c r="K112" i="15"/>
  <c r="J112" i="15"/>
  <c r="M111" i="15"/>
  <c r="L111" i="15"/>
  <c r="K111" i="15"/>
  <c r="J111" i="15"/>
  <c r="M110" i="15"/>
  <c r="L110" i="15"/>
  <c r="K110" i="15"/>
  <c r="J110" i="15"/>
  <c r="M109" i="15"/>
  <c r="L109" i="15"/>
  <c r="K109" i="15"/>
  <c r="J109" i="15"/>
  <c r="M108" i="15"/>
  <c r="L108" i="15"/>
  <c r="K108" i="15"/>
  <c r="J108" i="15"/>
  <c r="M107" i="15"/>
  <c r="L107" i="15"/>
  <c r="K107" i="15"/>
  <c r="J107" i="15"/>
  <c r="M106" i="15"/>
  <c r="L106" i="15"/>
  <c r="K106" i="15"/>
  <c r="J106" i="15"/>
  <c r="M105" i="15"/>
  <c r="L105" i="15"/>
  <c r="K105" i="15"/>
  <c r="J105" i="15"/>
  <c r="M104" i="15"/>
  <c r="L104" i="15"/>
  <c r="K104" i="15"/>
  <c r="J104" i="15"/>
  <c r="M103" i="15"/>
  <c r="L103" i="15"/>
  <c r="K103" i="15"/>
  <c r="J103" i="15"/>
  <c r="M102" i="15"/>
  <c r="L102" i="15"/>
  <c r="K102" i="15"/>
  <c r="J102" i="15"/>
  <c r="M101" i="15"/>
  <c r="L101" i="15"/>
  <c r="K101" i="15"/>
  <c r="J101" i="15"/>
  <c r="M100" i="15"/>
  <c r="L100" i="15"/>
  <c r="K100" i="15"/>
  <c r="J100" i="15"/>
  <c r="M99" i="15"/>
  <c r="L99" i="15"/>
  <c r="K99" i="15"/>
  <c r="J99" i="15"/>
  <c r="M98" i="15"/>
  <c r="L98" i="15"/>
  <c r="K98" i="15"/>
  <c r="J98" i="15"/>
  <c r="M97" i="15"/>
  <c r="L97" i="15"/>
  <c r="K97" i="15"/>
  <c r="J97" i="15"/>
  <c r="M96" i="15"/>
  <c r="L96" i="15"/>
  <c r="K96" i="15"/>
  <c r="J96" i="15"/>
  <c r="M95" i="15"/>
  <c r="L95" i="15"/>
  <c r="K95" i="15"/>
  <c r="J95" i="15"/>
  <c r="M94" i="15"/>
  <c r="L94" i="15"/>
  <c r="K94" i="15"/>
  <c r="J94" i="15"/>
  <c r="M93" i="15"/>
  <c r="L93" i="15"/>
  <c r="K93" i="15"/>
  <c r="J93" i="15"/>
  <c r="M92" i="15"/>
  <c r="L92" i="15"/>
  <c r="K92" i="15"/>
  <c r="J92" i="15"/>
  <c r="M91" i="15"/>
  <c r="L91" i="15"/>
  <c r="K91" i="15"/>
  <c r="J91" i="15"/>
  <c r="M90" i="15"/>
  <c r="L90" i="15"/>
  <c r="K90" i="15"/>
  <c r="J90" i="15"/>
  <c r="M89" i="15"/>
  <c r="L89" i="15"/>
  <c r="K89" i="15"/>
  <c r="J89" i="15"/>
  <c r="M88" i="15"/>
  <c r="L88" i="15"/>
  <c r="K88" i="15"/>
  <c r="J88" i="15"/>
  <c r="M87" i="15"/>
  <c r="L87" i="15"/>
  <c r="K87" i="15"/>
  <c r="J87" i="15"/>
  <c r="M86" i="15"/>
  <c r="L86" i="15"/>
  <c r="K86" i="15"/>
  <c r="J86" i="15"/>
  <c r="M85" i="15"/>
  <c r="L85" i="15"/>
  <c r="K85" i="15"/>
  <c r="J85" i="15"/>
  <c r="M84" i="15"/>
  <c r="L84" i="15"/>
  <c r="K84" i="15"/>
  <c r="J84" i="15"/>
  <c r="M83" i="15"/>
  <c r="L83" i="15"/>
  <c r="K83" i="15"/>
  <c r="J83" i="15"/>
  <c r="M82" i="15"/>
  <c r="L82" i="15"/>
  <c r="K82" i="15"/>
  <c r="J82" i="15"/>
  <c r="M81" i="15"/>
  <c r="L81" i="15"/>
  <c r="K81" i="15"/>
  <c r="J81" i="15"/>
  <c r="M80" i="15"/>
  <c r="L80" i="15"/>
  <c r="K80" i="15"/>
  <c r="J80" i="15"/>
  <c r="M79" i="15"/>
  <c r="L79" i="15"/>
  <c r="K79" i="15"/>
  <c r="J79" i="15"/>
  <c r="M78" i="15"/>
  <c r="L78" i="15"/>
  <c r="K78" i="15"/>
  <c r="J78" i="15"/>
  <c r="M77" i="15"/>
  <c r="L77" i="15"/>
  <c r="K77" i="15"/>
  <c r="J77" i="15"/>
  <c r="M76" i="15"/>
  <c r="L76" i="15"/>
  <c r="K76" i="15"/>
  <c r="J76" i="15"/>
  <c r="M75" i="15"/>
  <c r="L75" i="15"/>
  <c r="K75" i="15"/>
  <c r="J75" i="15"/>
  <c r="M74" i="15"/>
  <c r="L74" i="15"/>
  <c r="K74" i="15"/>
  <c r="J74" i="15"/>
  <c r="M73" i="15"/>
  <c r="L73" i="15"/>
  <c r="K73" i="15"/>
  <c r="J73" i="15"/>
  <c r="M72" i="15"/>
  <c r="L72" i="15"/>
  <c r="K72" i="15"/>
  <c r="J72" i="15"/>
  <c r="M71" i="15"/>
  <c r="L71" i="15"/>
  <c r="K71" i="15"/>
  <c r="J71" i="15"/>
  <c r="M70" i="15"/>
  <c r="L70" i="15"/>
  <c r="K70" i="15"/>
  <c r="J70" i="15"/>
  <c r="M69" i="15"/>
  <c r="L69" i="15"/>
  <c r="K69" i="15"/>
  <c r="J69" i="15"/>
  <c r="M68" i="15"/>
  <c r="L68" i="15"/>
  <c r="K68" i="15"/>
  <c r="J68" i="15"/>
  <c r="M67" i="15"/>
  <c r="L67" i="15"/>
  <c r="K67" i="15"/>
  <c r="J67" i="15"/>
  <c r="M66" i="15"/>
  <c r="L66" i="15"/>
  <c r="K66" i="15"/>
  <c r="J66" i="15"/>
  <c r="M65" i="15"/>
  <c r="L65" i="15"/>
  <c r="K65" i="15"/>
  <c r="J65" i="15"/>
  <c r="M64" i="15"/>
  <c r="L64" i="15"/>
  <c r="K64" i="15"/>
  <c r="J64" i="15"/>
  <c r="M63" i="15"/>
  <c r="L63" i="15"/>
  <c r="K63" i="15"/>
  <c r="J63" i="15"/>
  <c r="M62" i="15"/>
  <c r="L62" i="15"/>
  <c r="K62" i="15"/>
  <c r="J62" i="15"/>
  <c r="M61" i="15"/>
  <c r="L61" i="15"/>
  <c r="K61" i="15"/>
  <c r="J61" i="15"/>
  <c r="M60" i="15"/>
  <c r="L60" i="15"/>
  <c r="K60" i="15"/>
  <c r="J60" i="15"/>
  <c r="M59" i="15"/>
  <c r="L59" i="15"/>
  <c r="K59" i="15"/>
  <c r="J59" i="15"/>
  <c r="M58" i="15"/>
  <c r="L58" i="15"/>
  <c r="K58" i="15"/>
  <c r="J58" i="15"/>
  <c r="M57" i="15"/>
  <c r="L57" i="15"/>
  <c r="K57" i="15"/>
  <c r="J57" i="15"/>
  <c r="M56" i="15"/>
  <c r="L56" i="15"/>
  <c r="K56" i="15"/>
  <c r="J56" i="15"/>
  <c r="M55" i="15"/>
  <c r="L55" i="15"/>
  <c r="K55" i="15"/>
  <c r="J55" i="15"/>
  <c r="M54" i="15"/>
  <c r="L54" i="15"/>
  <c r="K54" i="15"/>
  <c r="J54" i="15"/>
  <c r="M53" i="15"/>
  <c r="L53" i="15"/>
  <c r="K53" i="15"/>
  <c r="J53" i="15"/>
  <c r="M52" i="15"/>
  <c r="L52" i="15"/>
  <c r="K52" i="15"/>
  <c r="J52" i="15"/>
  <c r="M51" i="15"/>
  <c r="L51" i="15"/>
  <c r="K51" i="15"/>
  <c r="J51" i="15"/>
  <c r="M50" i="15"/>
  <c r="L50" i="15"/>
  <c r="K50" i="15"/>
  <c r="J50" i="15"/>
  <c r="M49" i="15"/>
  <c r="L49" i="15"/>
  <c r="K49" i="15"/>
  <c r="J49" i="15"/>
  <c r="M48" i="15"/>
  <c r="L48" i="15"/>
  <c r="K48" i="15"/>
  <c r="J48" i="15"/>
  <c r="M47" i="15"/>
  <c r="L47" i="15"/>
  <c r="K47" i="15"/>
  <c r="J47" i="15"/>
  <c r="M46" i="15"/>
  <c r="L46" i="15"/>
  <c r="K46" i="15"/>
  <c r="J46" i="15"/>
  <c r="M45" i="15"/>
  <c r="L45" i="15"/>
  <c r="K45" i="15"/>
  <c r="J45" i="15"/>
  <c r="M44" i="15"/>
  <c r="L44" i="15"/>
  <c r="K44" i="15"/>
  <c r="J44" i="15"/>
  <c r="M43" i="15"/>
  <c r="L43" i="15"/>
  <c r="K43" i="15"/>
  <c r="J43" i="15"/>
  <c r="M42" i="15"/>
  <c r="L42" i="15"/>
  <c r="K42" i="15"/>
  <c r="J42" i="15"/>
  <c r="M41" i="15"/>
  <c r="L41" i="15"/>
  <c r="K41" i="15"/>
  <c r="J41" i="15"/>
  <c r="M40" i="15"/>
  <c r="L40" i="15"/>
  <c r="K40" i="15"/>
  <c r="J40" i="15"/>
  <c r="M39" i="15"/>
  <c r="L39" i="15"/>
  <c r="K39" i="15"/>
  <c r="J39" i="15"/>
  <c r="M38" i="15"/>
  <c r="L38" i="15"/>
  <c r="K38" i="15"/>
  <c r="J38" i="15"/>
  <c r="M37" i="15"/>
  <c r="L37" i="15"/>
  <c r="K37" i="15"/>
  <c r="J37" i="15"/>
  <c r="M36" i="15"/>
  <c r="L36" i="15"/>
  <c r="K36" i="15"/>
  <c r="J36" i="15"/>
  <c r="M35" i="15"/>
  <c r="L35" i="15"/>
  <c r="K35" i="15"/>
  <c r="J35" i="15"/>
  <c r="M34" i="15"/>
  <c r="L34" i="15"/>
  <c r="K34" i="15"/>
  <c r="J34" i="15"/>
  <c r="M33" i="15"/>
  <c r="L33" i="15"/>
  <c r="K33" i="15"/>
  <c r="J33" i="15"/>
  <c r="M32" i="15"/>
  <c r="L32" i="15"/>
  <c r="K32" i="15"/>
  <c r="J32" i="15"/>
  <c r="M31" i="15"/>
  <c r="L31" i="15"/>
  <c r="K31" i="15"/>
  <c r="J31" i="15"/>
  <c r="M30" i="15"/>
  <c r="L30" i="15"/>
  <c r="K30" i="15"/>
  <c r="J30" i="15"/>
  <c r="M29" i="15"/>
  <c r="L29" i="15"/>
  <c r="K29" i="15"/>
  <c r="J29" i="15"/>
  <c r="M28" i="15"/>
  <c r="L28" i="15"/>
  <c r="K28" i="15"/>
  <c r="J28" i="15"/>
  <c r="M27" i="15"/>
  <c r="L27" i="15"/>
  <c r="K27" i="15"/>
  <c r="J27" i="15"/>
  <c r="M26" i="15"/>
  <c r="L26" i="15"/>
  <c r="K26" i="15"/>
  <c r="J26" i="15"/>
  <c r="M25" i="15"/>
  <c r="L25" i="15"/>
  <c r="K25" i="15"/>
  <c r="J25" i="15"/>
  <c r="M24" i="15"/>
  <c r="L24" i="15"/>
  <c r="K24" i="15"/>
  <c r="J24" i="15"/>
  <c r="M23" i="15"/>
  <c r="L23" i="15"/>
  <c r="K23" i="15"/>
  <c r="J23" i="15"/>
  <c r="M22" i="15"/>
  <c r="L22" i="15"/>
  <c r="K22" i="15"/>
  <c r="J22" i="15"/>
  <c r="M21" i="15"/>
  <c r="L21" i="15"/>
  <c r="K21" i="15"/>
  <c r="J21" i="15"/>
  <c r="M20" i="15"/>
  <c r="L20" i="15"/>
  <c r="K20" i="15"/>
  <c r="J20" i="15"/>
  <c r="M19" i="15"/>
  <c r="L19" i="15"/>
  <c r="K19" i="15"/>
  <c r="J19" i="15"/>
  <c r="M18" i="15"/>
  <c r="L18" i="15"/>
  <c r="K18" i="15"/>
  <c r="J18" i="15"/>
  <c r="M17" i="15"/>
  <c r="L17" i="15"/>
  <c r="K17" i="15"/>
  <c r="J17" i="15"/>
  <c r="M16" i="15"/>
  <c r="L16" i="15"/>
  <c r="K16" i="15"/>
  <c r="J16" i="15"/>
  <c r="M15" i="15"/>
  <c r="L15" i="15"/>
  <c r="K15" i="15"/>
  <c r="J15" i="15"/>
  <c r="M14" i="15"/>
  <c r="L14" i="15"/>
  <c r="K14" i="15"/>
  <c r="J14" i="15"/>
  <c r="M13" i="15"/>
  <c r="L13" i="15"/>
  <c r="K13" i="15"/>
  <c r="J13" i="15"/>
  <c r="M12" i="15"/>
  <c r="L12" i="15"/>
  <c r="K12" i="15"/>
  <c r="J12" i="15"/>
  <c r="M11" i="15"/>
  <c r="L11" i="15"/>
  <c r="K11" i="15"/>
  <c r="J11" i="15"/>
  <c r="M10" i="15"/>
  <c r="M202" i="15" s="1"/>
  <c r="L10" i="15"/>
  <c r="L202" i="15" s="1"/>
  <c r="K10" i="15"/>
  <c r="K202" i="15" s="1"/>
  <c r="J10" i="15"/>
  <c r="J202" i="15" s="1"/>
  <c r="I202" i="14" l="1"/>
  <c r="H202" i="14"/>
  <c r="G202" i="14"/>
  <c r="F202" i="14"/>
  <c r="E202" i="14"/>
  <c r="D202" i="14"/>
  <c r="C202" i="14"/>
  <c r="B202" i="14"/>
  <c r="K201" i="14"/>
  <c r="J201" i="14"/>
  <c r="I201" i="14"/>
  <c r="H201" i="14"/>
  <c r="K200" i="14"/>
  <c r="J200" i="14"/>
  <c r="I200" i="14"/>
  <c r="H200" i="14"/>
  <c r="K199" i="14"/>
  <c r="J199" i="14"/>
  <c r="I199" i="14"/>
  <c r="H199" i="14"/>
  <c r="K198" i="14"/>
  <c r="J198" i="14"/>
  <c r="I198" i="14"/>
  <c r="H198" i="14"/>
  <c r="K197" i="14"/>
  <c r="J197" i="14"/>
  <c r="I197" i="14"/>
  <c r="H197" i="14"/>
  <c r="K196" i="14"/>
  <c r="J196" i="14"/>
  <c r="I196" i="14"/>
  <c r="H196" i="14"/>
  <c r="K195" i="14"/>
  <c r="J195" i="14"/>
  <c r="I195" i="14"/>
  <c r="H195" i="14"/>
  <c r="K194" i="14"/>
  <c r="J194" i="14"/>
  <c r="I194" i="14"/>
  <c r="H194" i="14"/>
  <c r="K193" i="14"/>
  <c r="J193" i="14"/>
  <c r="I193" i="14"/>
  <c r="H193" i="14"/>
  <c r="K192" i="14"/>
  <c r="J192" i="14"/>
  <c r="I192" i="14"/>
  <c r="H192" i="14"/>
  <c r="K191" i="14"/>
  <c r="J191" i="14"/>
  <c r="I191" i="14"/>
  <c r="H191" i="14"/>
  <c r="K190" i="14"/>
  <c r="J190" i="14"/>
  <c r="I190" i="14"/>
  <c r="H190" i="14"/>
  <c r="K189" i="14"/>
  <c r="J189" i="14"/>
  <c r="I189" i="14"/>
  <c r="H189" i="14"/>
  <c r="K188" i="14"/>
  <c r="J188" i="14"/>
  <c r="I188" i="14"/>
  <c r="H188" i="14"/>
  <c r="K187" i="14"/>
  <c r="J187" i="14"/>
  <c r="I187" i="14"/>
  <c r="H187" i="14"/>
  <c r="K186" i="14"/>
  <c r="J186" i="14"/>
  <c r="I186" i="14"/>
  <c r="H186" i="14"/>
  <c r="K185" i="14"/>
  <c r="J185" i="14"/>
  <c r="I185" i="14"/>
  <c r="H185" i="14"/>
  <c r="K184" i="14"/>
  <c r="J184" i="14"/>
  <c r="I184" i="14"/>
  <c r="H184" i="14"/>
  <c r="K183" i="14"/>
  <c r="J183" i="14"/>
  <c r="I183" i="14"/>
  <c r="H183" i="14"/>
  <c r="K182" i="14"/>
  <c r="J182" i="14"/>
  <c r="I182" i="14"/>
  <c r="H182" i="14"/>
  <c r="K181" i="14"/>
  <c r="J181" i="14"/>
  <c r="I181" i="14"/>
  <c r="H181" i="14"/>
  <c r="K180" i="14"/>
  <c r="J180" i="14"/>
  <c r="I180" i="14"/>
  <c r="H180" i="14"/>
  <c r="K179" i="14"/>
  <c r="J179" i="14"/>
  <c r="I179" i="14"/>
  <c r="H179" i="14"/>
  <c r="K178" i="14"/>
  <c r="J178" i="14"/>
  <c r="I178" i="14"/>
  <c r="H178" i="14"/>
  <c r="K177" i="14"/>
  <c r="J177" i="14"/>
  <c r="I177" i="14"/>
  <c r="H177" i="14"/>
  <c r="K176" i="14"/>
  <c r="J176" i="14"/>
  <c r="I176" i="14"/>
  <c r="H176" i="14"/>
  <c r="K175" i="14"/>
  <c r="J175" i="14"/>
  <c r="I175" i="14"/>
  <c r="H175" i="14"/>
  <c r="K174" i="14"/>
  <c r="J174" i="14"/>
  <c r="I174" i="14"/>
  <c r="H174" i="14"/>
  <c r="K173" i="14"/>
  <c r="J173" i="14"/>
  <c r="I173" i="14"/>
  <c r="H173" i="14"/>
  <c r="K172" i="14"/>
  <c r="J172" i="14"/>
  <c r="I172" i="14"/>
  <c r="H172" i="14"/>
  <c r="K171" i="14"/>
  <c r="J171" i="14"/>
  <c r="I171" i="14"/>
  <c r="H171" i="14"/>
  <c r="K170" i="14"/>
  <c r="J170" i="14"/>
  <c r="I170" i="14"/>
  <c r="H170" i="14"/>
  <c r="K169" i="14"/>
  <c r="J169" i="14"/>
  <c r="I169" i="14"/>
  <c r="H169" i="14"/>
  <c r="K168" i="14"/>
  <c r="J168" i="14"/>
  <c r="I168" i="14"/>
  <c r="H168" i="14"/>
  <c r="K167" i="14"/>
  <c r="J167" i="14"/>
  <c r="I167" i="14"/>
  <c r="H167" i="14"/>
  <c r="K166" i="14"/>
  <c r="J166" i="14"/>
  <c r="I166" i="14"/>
  <c r="H166" i="14"/>
  <c r="K165" i="14"/>
  <c r="J165" i="14"/>
  <c r="I165" i="14"/>
  <c r="H165" i="14"/>
  <c r="K164" i="14"/>
  <c r="J164" i="14"/>
  <c r="I164" i="14"/>
  <c r="H164" i="14"/>
  <c r="K163" i="14"/>
  <c r="J163" i="14"/>
  <c r="I163" i="14"/>
  <c r="H163" i="14"/>
  <c r="K162" i="14"/>
  <c r="J162" i="14"/>
  <c r="I162" i="14"/>
  <c r="H162" i="14"/>
  <c r="K161" i="14"/>
  <c r="J161" i="14"/>
  <c r="I161" i="14"/>
  <c r="H161" i="14"/>
  <c r="K160" i="14"/>
  <c r="J160" i="14"/>
  <c r="I160" i="14"/>
  <c r="H160" i="14"/>
  <c r="K159" i="14"/>
  <c r="J159" i="14"/>
  <c r="I159" i="14"/>
  <c r="H159" i="14"/>
  <c r="K158" i="14"/>
  <c r="J158" i="14"/>
  <c r="I158" i="14"/>
  <c r="H158" i="14"/>
  <c r="K157" i="14"/>
  <c r="J157" i="14"/>
  <c r="I157" i="14"/>
  <c r="H157" i="14"/>
  <c r="K156" i="14"/>
  <c r="J156" i="14"/>
  <c r="I156" i="14"/>
  <c r="H156" i="14"/>
  <c r="K155" i="14"/>
  <c r="J155" i="14"/>
  <c r="I155" i="14"/>
  <c r="H155" i="14"/>
  <c r="K154" i="14"/>
  <c r="J154" i="14"/>
  <c r="I154" i="14"/>
  <c r="H154" i="14"/>
  <c r="K153" i="14"/>
  <c r="J153" i="14"/>
  <c r="I153" i="14"/>
  <c r="H153" i="14"/>
  <c r="K152" i="14"/>
  <c r="J152" i="14"/>
  <c r="I152" i="14"/>
  <c r="H152" i="14"/>
  <c r="K151" i="14"/>
  <c r="J151" i="14"/>
  <c r="I151" i="14"/>
  <c r="H151" i="14"/>
  <c r="K150" i="14"/>
  <c r="J150" i="14"/>
  <c r="I150" i="14"/>
  <c r="H150" i="14"/>
  <c r="K149" i="14"/>
  <c r="J149" i="14"/>
  <c r="I149" i="14"/>
  <c r="H149" i="14"/>
  <c r="K148" i="14"/>
  <c r="J148" i="14"/>
  <c r="I148" i="14"/>
  <c r="H148" i="14"/>
  <c r="K147" i="14"/>
  <c r="J147" i="14"/>
  <c r="I147" i="14"/>
  <c r="H147" i="14"/>
  <c r="K146" i="14"/>
  <c r="J146" i="14"/>
  <c r="I146" i="14"/>
  <c r="H146" i="14"/>
  <c r="K145" i="14"/>
  <c r="J145" i="14"/>
  <c r="I145" i="14"/>
  <c r="H145" i="14"/>
  <c r="K144" i="14"/>
  <c r="J144" i="14"/>
  <c r="I144" i="14"/>
  <c r="H144" i="14"/>
  <c r="K143" i="14"/>
  <c r="J143" i="14"/>
  <c r="I143" i="14"/>
  <c r="H143" i="14"/>
  <c r="K142" i="14"/>
  <c r="J142" i="14"/>
  <c r="I142" i="14"/>
  <c r="H142" i="14"/>
  <c r="K141" i="14"/>
  <c r="J141" i="14"/>
  <c r="I141" i="14"/>
  <c r="H141" i="14"/>
  <c r="K140" i="14"/>
  <c r="J140" i="14"/>
  <c r="I140" i="14"/>
  <c r="H140" i="14"/>
  <c r="K139" i="14"/>
  <c r="J139" i="14"/>
  <c r="I139" i="14"/>
  <c r="H139" i="14"/>
  <c r="K138" i="14"/>
  <c r="J138" i="14"/>
  <c r="I138" i="14"/>
  <c r="H138" i="14"/>
  <c r="K137" i="14"/>
  <c r="J137" i="14"/>
  <c r="I137" i="14"/>
  <c r="H137" i="14"/>
  <c r="K136" i="14"/>
  <c r="J136" i="14"/>
  <c r="I136" i="14"/>
  <c r="H136" i="14"/>
  <c r="K135" i="14"/>
  <c r="J135" i="14"/>
  <c r="I135" i="14"/>
  <c r="H135" i="14"/>
  <c r="K134" i="14"/>
  <c r="J134" i="14"/>
  <c r="I134" i="14"/>
  <c r="H134" i="14"/>
  <c r="K133" i="14"/>
  <c r="J133" i="14"/>
  <c r="I133" i="14"/>
  <c r="H133" i="14"/>
  <c r="K132" i="14"/>
  <c r="J132" i="14"/>
  <c r="I132" i="14"/>
  <c r="H132" i="14"/>
  <c r="K131" i="14"/>
  <c r="J131" i="14"/>
  <c r="I131" i="14"/>
  <c r="H131" i="14"/>
  <c r="K130" i="14"/>
  <c r="J130" i="14"/>
  <c r="I130" i="14"/>
  <c r="H130" i="14"/>
  <c r="K129" i="14"/>
  <c r="J129" i="14"/>
  <c r="I129" i="14"/>
  <c r="H129" i="14"/>
  <c r="K128" i="14"/>
  <c r="J128" i="14"/>
  <c r="I128" i="14"/>
  <c r="H128" i="14"/>
  <c r="K127" i="14"/>
  <c r="J127" i="14"/>
  <c r="I127" i="14"/>
  <c r="H127" i="14"/>
  <c r="K126" i="14"/>
  <c r="J126" i="14"/>
  <c r="I126" i="14"/>
  <c r="H126" i="14"/>
  <c r="K125" i="14"/>
  <c r="J125" i="14"/>
  <c r="I125" i="14"/>
  <c r="H125" i="14"/>
  <c r="K124" i="14"/>
  <c r="J124" i="14"/>
  <c r="I124" i="14"/>
  <c r="H124" i="14"/>
  <c r="K123" i="14"/>
  <c r="J123" i="14"/>
  <c r="I123" i="14"/>
  <c r="H123" i="14"/>
  <c r="K122" i="14"/>
  <c r="J122" i="14"/>
  <c r="I122" i="14"/>
  <c r="H122" i="14"/>
  <c r="K121" i="14"/>
  <c r="J121" i="14"/>
  <c r="I121" i="14"/>
  <c r="H121" i="14"/>
  <c r="K120" i="14"/>
  <c r="J120" i="14"/>
  <c r="I120" i="14"/>
  <c r="H120" i="14"/>
  <c r="K119" i="14"/>
  <c r="J119" i="14"/>
  <c r="I119" i="14"/>
  <c r="H119" i="14"/>
  <c r="K118" i="14"/>
  <c r="J118" i="14"/>
  <c r="I118" i="14"/>
  <c r="H118" i="14"/>
  <c r="K117" i="14"/>
  <c r="J117" i="14"/>
  <c r="I117" i="14"/>
  <c r="H117" i="14"/>
  <c r="K116" i="14"/>
  <c r="J116" i="14"/>
  <c r="I116" i="14"/>
  <c r="H116" i="14"/>
  <c r="K115" i="14"/>
  <c r="J115" i="14"/>
  <c r="I115" i="14"/>
  <c r="H115" i="14"/>
  <c r="K114" i="14"/>
  <c r="J114" i="14"/>
  <c r="I114" i="14"/>
  <c r="H114" i="14"/>
  <c r="K113" i="14"/>
  <c r="J113" i="14"/>
  <c r="I113" i="14"/>
  <c r="H113" i="14"/>
  <c r="K112" i="14"/>
  <c r="J112" i="14"/>
  <c r="I112" i="14"/>
  <c r="H112" i="14"/>
  <c r="K111" i="14"/>
  <c r="J111" i="14"/>
  <c r="I111" i="14"/>
  <c r="H111" i="14"/>
  <c r="K110" i="14"/>
  <c r="J110" i="14"/>
  <c r="I110" i="14"/>
  <c r="H110" i="14"/>
  <c r="K109" i="14"/>
  <c r="J109" i="14"/>
  <c r="I109" i="14"/>
  <c r="H109" i="14"/>
  <c r="K108" i="14"/>
  <c r="J108" i="14"/>
  <c r="I108" i="14"/>
  <c r="H108" i="14"/>
  <c r="K107" i="14"/>
  <c r="J107" i="14"/>
  <c r="I107" i="14"/>
  <c r="H107" i="14"/>
  <c r="K106" i="14"/>
  <c r="J106" i="14"/>
  <c r="I106" i="14"/>
  <c r="H106" i="14"/>
  <c r="K105" i="14"/>
  <c r="J105" i="14"/>
  <c r="I105" i="14"/>
  <c r="H105" i="14"/>
  <c r="K104" i="14"/>
  <c r="J104" i="14"/>
  <c r="I104" i="14"/>
  <c r="H104" i="14"/>
  <c r="K103" i="14"/>
  <c r="J103" i="14"/>
  <c r="I103" i="14"/>
  <c r="H103" i="14"/>
  <c r="K102" i="14"/>
  <c r="J102" i="14"/>
  <c r="I102" i="14"/>
  <c r="H102" i="14"/>
  <c r="K101" i="14"/>
  <c r="J101" i="14"/>
  <c r="I101" i="14"/>
  <c r="H101" i="14"/>
  <c r="K100" i="14"/>
  <c r="J100" i="14"/>
  <c r="I100" i="14"/>
  <c r="H100" i="14"/>
  <c r="K99" i="14"/>
  <c r="J99" i="14"/>
  <c r="I99" i="14"/>
  <c r="H99" i="14"/>
  <c r="K98" i="14"/>
  <c r="J98" i="14"/>
  <c r="I98" i="14"/>
  <c r="H98" i="14"/>
  <c r="K97" i="14"/>
  <c r="J97" i="14"/>
  <c r="I97" i="14"/>
  <c r="H97" i="14"/>
  <c r="K96" i="14"/>
  <c r="J96" i="14"/>
  <c r="I96" i="14"/>
  <c r="H96" i="14"/>
  <c r="K95" i="14"/>
  <c r="J95" i="14"/>
  <c r="I95" i="14"/>
  <c r="H95" i="14"/>
  <c r="K94" i="14"/>
  <c r="J94" i="14"/>
  <c r="I94" i="14"/>
  <c r="H94" i="14"/>
  <c r="K93" i="14"/>
  <c r="J93" i="14"/>
  <c r="I93" i="14"/>
  <c r="H93" i="14"/>
  <c r="K92" i="14"/>
  <c r="J92" i="14"/>
  <c r="I92" i="14"/>
  <c r="H92" i="14"/>
  <c r="K91" i="14"/>
  <c r="J91" i="14"/>
  <c r="I91" i="14"/>
  <c r="H91" i="14"/>
  <c r="K90" i="14"/>
  <c r="J90" i="14"/>
  <c r="I90" i="14"/>
  <c r="H90" i="14"/>
  <c r="K89" i="14"/>
  <c r="J89" i="14"/>
  <c r="I89" i="14"/>
  <c r="H89" i="14"/>
  <c r="K88" i="14"/>
  <c r="J88" i="14"/>
  <c r="I88" i="14"/>
  <c r="H88" i="14"/>
  <c r="K87" i="14"/>
  <c r="J87" i="14"/>
  <c r="I87" i="14"/>
  <c r="H87" i="14"/>
  <c r="K86" i="14"/>
  <c r="J86" i="14"/>
  <c r="I86" i="14"/>
  <c r="H86" i="14"/>
  <c r="K85" i="14"/>
  <c r="J85" i="14"/>
  <c r="I85" i="14"/>
  <c r="H85" i="14"/>
  <c r="K84" i="14"/>
  <c r="J84" i="14"/>
  <c r="I84" i="14"/>
  <c r="H84" i="14"/>
  <c r="K83" i="14"/>
  <c r="J83" i="14"/>
  <c r="I83" i="14"/>
  <c r="H83" i="14"/>
  <c r="K82" i="14"/>
  <c r="J82" i="14"/>
  <c r="I82" i="14"/>
  <c r="H82" i="14"/>
  <c r="K81" i="14"/>
  <c r="J81" i="14"/>
  <c r="I81" i="14"/>
  <c r="H81" i="14"/>
  <c r="K80" i="14"/>
  <c r="J80" i="14"/>
  <c r="I80" i="14"/>
  <c r="H80" i="14"/>
  <c r="K79" i="14"/>
  <c r="J79" i="14"/>
  <c r="I79" i="14"/>
  <c r="H79" i="14"/>
  <c r="K78" i="14"/>
  <c r="J78" i="14"/>
  <c r="I78" i="14"/>
  <c r="H78" i="14"/>
  <c r="K77" i="14"/>
  <c r="J77" i="14"/>
  <c r="I77" i="14"/>
  <c r="H77" i="14"/>
  <c r="K76" i="14"/>
  <c r="J76" i="14"/>
  <c r="I76" i="14"/>
  <c r="H76" i="14"/>
  <c r="K75" i="14"/>
  <c r="J75" i="14"/>
  <c r="I75" i="14"/>
  <c r="H75" i="14"/>
  <c r="K74" i="14"/>
  <c r="J74" i="14"/>
  <c r="I74" i="14"/>
  <c r="H74" i="14"/>
  <c r="K73" i="14"/>
  <c r="J73" i="14"/>
  <c r="I73" i="14"/>
  <c r="H73" i="14"/>
  <c r="K72" i="14"/>
  <c r="J72" i="14"/>
  <c r="I72" i="14"/>
  <c r="H72" i="14"/>
  <c r="K71" i="14"/>
  <c r="J71" i="14"/>
  <c r="I71" i="14"/>
  <c r="H71" i="14"/>
  <c r="K70" i="14"/>
  <c r="J70" i="14"/>
  <c r="I70" i="14"/>
  <c r="H70" i="14"/>
  <c r="K69" i="14"/>
  <c r="J69" i="14"/>
  <c r="I69" i="14"/>
  <c r="H69" i="14"/>
  <c r="K68" i="14"/>
  <c r="J68" i="14"/>
  <c r="I68" i="14"/>
  <c r="H68" i="14"/>
  <c r="K67" i="14"/>
  <c r="J67" i="14"/>
  <c r="I67" i="14"/>
  <c r="H67" i="14"/>
  <c r="K66" i="14"/>
  <c r="J66" i="14"/>
  <c r="I66" i="14"/>
  <c r="H66" i="14"/>
  <c r="K65" i="14"/>
  <c r="J65" i="14"/>
  <c r="I65" i="14"/>
  <c r="H65" i="14"/>
  <c r="K64" i="14"/>
  <c r="J64" i="14"/>
  <c r="I64" i="14"/>
  <c r="H64" i="14"/>
  <c r="K63" i="14"/>
  <c r="J63" i="14"/>
  <c r="I63" i="14"/>
  <c r="H63" i="14"/>
  <c r="K62" i="14"/>
  <c r="J62" i="14"/>
  <c r="I62" i="14"/>
  <c r="H62" i="14"/>
  <c r="K61" i="14"/>
  <c r="J61" i="14"/>
  <c r="I61" i="14"/>
  <c r="H61" i="14"/>
  <c r="K60" i="14"/>
  <c r="J60" i="14"/>
  <c r="I60" i="14"/>
  <c r="H60" i="14"/>
  <c r="K59" i="14"/>
  <c r="J59" i="14"/>
  <c r="I59" i="14"/>
  <c r="H59" i="14"/>
  <c r="K58" i="14"/>
  <c r="J58" i="14"/>
  <c r="I58" i="14"/>
  <c r="H58" i="14"/>
  <c r="K57" i="14"/>
  <c r="J57" i="14"/>
  <c r="I57" i="14"/>
  <c r="H57" i="14"/>
  <c r="K56" i="14"/>
  <c r="J56" i="14"/>
  <c r="I56" i="14"/>
  <c r="H56" i="14"/>
  <c r="K55" i="14"/>
  <c r="J55" i="14"/>
  <c r="I55" i="14"/>
  <c r="H55" i="14"/>
  <c r="K54" i="14"/>
  <c r="J54" i="14"/>
  <c r="I54" i="14"/>
  <c r="H54" i="14"/>
  <c r="K53" i="14"/>
  <c r="J53" i="14"/>
  <c r="I53" i="14"/>
  <c r="H53" i="14"/>
  <c r="K52" i="14"/>
  <c r="J52" i="14"/>
  <c r="I52" i="14"/>
  <c r="H52" i="14"/>
  <c r="K51" i="14"/>
  <c r="J51" i="14"/>
  <c r="I51" i="14"/>
  <c r="H51" i="14"/>
  <c r="K50" i="14"/>
  <c r="J50" i="14"/>
  <c r="I50" i="14"/>
  <c r="H50" i="14"/>
  <c r="K49" i="14"/>
  <c r="J49" i="14"/>
  <c r="I49" i="14"/>
  <c r="H49" i="14"/>
  <c r="K48" i="14"/>
  <c r="J48" i="14"/>
  <c r="I48" i="14"/>
  <c r="H48" i="14"/>
  <c r="K47" i="14"/>
  <c r="J47" i="14"/>
  <c r="I47" i="14"/>
  <c r="H47" i="14"/>
  <c r="K46" i="14"/>
  <c r="J46" i="14"/>
  <c r="I46" i="14"/>
  <c r="H46" i="14"/>
  <c r="K45" i="14"/>
  <c r="J45" i="14"/>
  <c r="I45" i="14"/>
  <c r="H45" i="14"/>
  <c r="K44" i="14"/>
  <c r="J44" i="14"/>
  <c r="I44" i="14"/>
  <c r="H44" i="14"/>
  <c r="K43" i="14"/>
  <c r="J43" i="14"/>
  <c r="I43" i="14"/>
  <c r="H43" i="14"/>
  <c r="K42" i="14"/>
  <c r="J42" i="14"/>
  <c r="I42" i="14"/>
  <c r="H42" i="14"/>
  <c r="K41" i="14"/>
  <c r="J41" i="14"/>
  <c r="I41" i="14"/>
  <c r="H41" i="14"/>
  <c r="K40" i="14"/>
  <c r="J40" i="14"/>
  <c r="I40" i="14"/>
  <c r="H40" i="14"/>
  <c r="K39" i="14"/>
  <c r="J39" i="14"/>
  <c r="I39" i="14"/>
  <c r="H39" i="14"/>
  <c r="K38" i="14"/>
  <c r="J38" i="14"/>
  <c r="I38" i="14"/>
  <c r="H38" i="14"/>
  <c r="K37" i="14"/>
  <c r="J37" i="14"/>
  <c r="I37" i="14"/>
  <c r="H37" i="14"/>
  <c r="K36" i="14"/>
  <c r="J36" i="14"/>
  <c r="I36" i="14"/>
  <c r="H36" i="14"/>
  <c r="K35" i="14"/>
  <c r="J35" i="14"/>
  <c r="I35" i="14"/>
  <c r="H35" i="14"/>
  <c r="K34" i="14"/>
  <c r="J34" i="14"/>
  <c r="I34" i="14"/>
  <c r="H34" i="14"/>
  <c r="K33" i="14"/>
  <c r="J33" i="14"/>
  <c r="I33" i="14"/>
  <c r="H33" i="14"/>
  <c r="K32" i="14"/>
  <c r="J32" i="14"/>
  <c r="I32" i="14"/>
  <c r="H32" i="14"/>
  <c r="K31" i="14"/>
  <c r="J31" i="14"/>
  <c r="I31" i="14"/>
  <c r="H31" i="14"/>
  <c r="K30" i="14"/>
  <c r="J30" i="14"/>
  <c r="I30" i="14"/>
  <c r="H30" i="14"/>
  <c r="K29" i="14"/>
  <c r="J29" i="14"/>
  <c r="I29" i="14"/>
  <c r="H29" i="14"/>
  <c r="K28" i="14"/>
  <c r="J28" i="14"/>
  <c r="I28" i="14"/>
  <c r="H28" i="14"/>
  <c r="K27" i="14"/>
  <c r="J27" i="14"/>
  <c r="I27" i="14"/>
  <c r="H27" i="14"/>
  <c r="K26" i="14"/>
  <c r="J26" i="14"/>
  <c r="I26" i="14"/>
  <c r="H26" i="14"/>
  <c r="K25" i="14"/>
  <c r="J25" i="14"/>
  <c r="I25" i="14"/>
  <c r="H25" i="14"/>
  <c r="K24" i="14"/>
  <c r="J24" i="14"/>
  <c r="I24" i="14"/>
  <c r="H24" i="14"/>
  <c r="K23" i="14"/>
  <c r="J23" i="14"/>
  <c r="I23" i="14"/>
  <c r="H23" i="14"/>
  <c r="K22" i="14"/>
  <c r="J22" i="14"/>
  <c r="I22" i="14"/>
  <c r="H22" i="14"/>
  <c r="K21" i="14"/>
  <c r="J21" i="14"/>
  <c r="I21" i="14"/>
  <c r="H21" i="14"/>
  <c r="K20" i="14"/>
  <c r="J20" i="14"/>
  <c r="I20" i="14"/>
  <c r="H20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6" i="14"/>
  <c r="J16" i="14"/>
  <c r="I16" i="14"/>
  <c r="H16" i="14"/>
  <c r="K15" i="14"/>
  <c r="J15" i="14"/>
  <c r="I15" i="14"/>
  <c r="H15" i="14"/>
  <c r="K14" i="14"/>
  <c r="J14" i="14"/>
  <c r="I14" i="14"/>
  <c r="H14" i="14"/>
  <c r="K13" i="14"/>
  <c r="J13" i="14"/>
  <c r="I13" i="14"/>
  <c r="H13" i="14"/>
  <c r="K12" i="14"/>
  <c r="J12" i="14"/>
  <c r="I12" i="14"/>
  <c r="H12" i="14"/>
  <c r="K11" i="14"/>
  <c r="J11" i="14"/>
  <c r="I11" i="14"/>
  <c r="H11" i="14"/>
  <c r="K10" i="14"/>
  <c r="K202" i="14" s="1"/>
  <c r="J10" i="14"/>
  <c r="J202" i="14" s="1"/>
  <c r="I10" i="14"/>
  <c r="H10" i="14"/>
  <c r="J202" i="13" l="1"/>
  <c r="K202" i="13"/>
  <c r="L202" i="13"/>
  <c r="M202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M10" i="13"/>
  <c r="L10" i="13"/>
  <c r="K10" i="13"/>
  <c r="J10" i="13"/>
  <c r="F202" i="13"/>
  <c r="G202" i="13"/>
  <c r="H202" i="13"/>
  <c r="I202" i="13"/>
  <c r="J202" i="12" l="1"/>
  <c r="K202" i="12"/>
  <c r="L202" i="12"/>
  <c r="M202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M10" i="12"/>
  <c r="L10" i="12"/>
  <c r="K10" i="12"/>
  <c r="J10" i="12"/>
  <c r="F202" i="12"/>
  <c r="G202" i="12"/>
  <c r="H202" i="12"/>
  <c r="I202" i="12"/>
  <c r="E202" i="13" l="1"/>
  <c r="D202" i="13"/>
  <c r="C202" i="13"/>
  <c r="B202" i="13"/>
  <c r="E202" i="12" l="1"/>
  <c r="D202" i="12"/>
  <c r="C202" i="12"/>
  <c r="B202" i="12"/>
  <c r="I202" i="11" l="1"/>
  <c r="H202" i="11"/>
  <c r="G202" i="11"/>
  <c r="F202" i="11"/>
  <c r="E202" i="11"/>
  <c r="D202" i="11"/>
  <c r="C202" i="11"/>
  <c r="B202" i="11"/>
  <c r="M201" i="11"/>
  <c r="L201" i="11"/>
  <c r="K201" i="11"/>
  <c r="J201" i="11"/>
  <c r="M200" i="11"/>
  <c r="L200" i="11"/>
  <c r="K200" i="11"/>
  <c r="J200" i="11"/>
  <c r="M199" i="11"/>
  <c r="L199" i="11"/>
  <c r="K199" i="11"/>
  <c r="J199" i="11"/>
  <c r="M198" i="11"/>
  <c r="L198" i="11"/>
  <c r="K198" i="11"/>
  <c r="J198" i="11"/>
  <c r="M197" i="11"/>
  <c r="L197" i="11"/>
  <c r="K197" i="11"/>
  <c r="J197" i="11"/>
  <c r="M196" i="11"/>
  <c r="L196" i="11"/>
  <c r="K196" i="11"/>
  <c r="J196" i="11"/>
  <c r="M195" i="11"/>
  <c r="L195" i="11"/>
  <c r="K195" i="11"/>
  <c r="J195" i="11"/>
  <c r="M194" i="11"/>
  <c r="L194" i="11"/>
  <c r="K194" i="11"/>
  <c r="J194" i="11"/>
  <c r="M193" i="11"/>
  <c r="L193" i="11"/>
  <c r="K193" i="11"/>
  <c r="J193" i="11"/>
  <c r="M192" i="11"/>
  <c r="L192" i="11"/>
  <c r="K192" i="11"/>
  <c r="J192" i="11"/>
  <c r="M191" i="11"/>
  <c r="L191" i="11"/>
  <c r="K191" i="11"/>
  <c r="J191" i="11"/>
  <c r="M190" i="11"/>
  <c r="L190" i="11"/>
  <c r="K190" i="11"/>
  <c r="J190" i="11"/>
  <c r="M189" i="11"/>
  <c r="L189" i="11"/>
  <c r="K189" i="11"/>
  <c r="J189" i="11"/>
  <c r="M188" i="11"/>
  <c r="L188" i="11"/>
  <c r="K188" i="11"/>
  <c r="J188" i="11"/>
  <c r="M187" i="11"/>
  <c r="L187" i="11"/>
  <c r="K187" i="11"/>
  <c r="J187" i="11"/>
  <c r="M186" i="11"/>
  <c r="L186" i="11"/>
  <c r="K186" i="11"/>
  <c r="J186" i="11"/>
  <c r="M185" i="11"/>
  <c r="L185" i="11"/>
  <c r="K185" i="11"/>
  <c r="J185" i="11"/>
  <c r="M184" i="11"/>
  <c r="L184" i="11"/>
  <c r="K184" i="11"/>
  <c r="J184" i="11"/>
  <c r="M183" i="11"/>
  <c r="L183" i="11"/>
  <c r="K183" i="11"/>
  <c r="J183" i="11"/>
  <c r="M182" i="11"/>
  <c r="L182" i="11"/>
  <c r="K182" i="11"/>
  <c r="J182" i="11"/>
  <c r="M181" i="11"/>
  <c r="L181" i="11"/>
  <c r="K181" i="11"/>
  <c r="J181" i="11"/>
  <c r="M180" i="11"/>
  <c r="L180" i="11"/>
  <c r="K180" i="11"/>
  <c r="J180" i="11"/>
  <c r="M179" i="11"/>
  <c r="L179" i="11"/>
  <c r="K179" i="11"/>
  <c r="J179" i="11"/>
  <c r="M178" i="11"/>
  <c r="L178" i="11"/>
  <c r="K178" i="11"/>
  <c r="J178" i="11"/>
  <c r="M177" i="11"/>
  <c r="L177" i="11"/>
  <c r="K177" i="11"/>
  <c r="J177" i="11"/>
  <c r="M176" i="11"/>
  <c r="L176" i="11"/>
  <c r="K176" i="11"/>
  <c r="J176" i="11"/>
  <c r="M175" i="11"/>
  <c r="L175" i="11"/>
  <c r="K175" i="11"/>
  <c r="J175" i="11"/>
  <c r="M174" i="11"/>
  <c r="L174" i="11"/>
  <c r="K174" i="11"/>
  <c r="J174" i="11"/>
  <c r="M173" i="11"/>
  <c r="L173" i="11"/>
  <c r="K173" i="11"/>
  <c r="J173" i="11"/>
  <c r="M172" i="11"/>
  <c r="L172" i="11"/>
  <c r="K172" i="11"/>
  <c r="J172" i="11"/>
  <c r="M171" i="11"/>
  <c r="L171" i="11"/>
  <c r="K171" i="11"/>
  <c r="J171" i="11"/>
  <c r="M170" i="11"/>
  <c r="L170" i="11"/>
  <c r="K170" i="11"/>
  <c r="J170" i="11"/>
  <c r="M169" i="11"/>
  <c r="L169" i="11"/>
  <c r="K169" i="11"/>
  <c r="J169" i="11"/>
  <c r="M168" i="11"/>
  <c r="L168" i="11"/>
  <c r="K168" i="11"/>
  <c r="J168" i="11"/>
  <c r="M167" i="11"/>
  <c r="L167" i="11"/>
  <c r="K167" i="11"/>
  <c r="J167" i="11"/>
  <c r="M166" i="11"/>
  <c r="L166" i="11"/>
  <c r="K166" i="11"/>
  <c r="J166" i="11"/>
  <c r="M165" i="11"/>
  <c r="L165" i="11"/>
  <c r="K165" i="11"/>
  <c r="J165" i="11"/>
  <c r="M164" i="11"/>
  <c r="L164" i="11"/>
  <c r="K164" i="11"/>
  <c r="J164" i="11"/>
  <c r="M163" i="11"/>
  <c r="L163" i="11"/>
  <c r="K163" i="11"/>
  <c r="J163" i="11"/>
  <c r="M162" i="11"/>
  <c r="L162" i="11"/>
  <c r="K162" i="11"/>
  <c r="J162" i="11"/>
  <c r="M161" i="11"/>
  <c r="L161" i="11"/>
  <c r="K161" i="11"/>
  <c r="J161" i="11"/>
  <c r="M160" i="11"/>
  <c r="L160" i="11"/>
  <c r="K160" i="11"/>
  <c r="J160" i="11"/>
  <c r="M159" i="11"/>
  <c r="L159" i="11"/>
  <c r="K159" i="11"/>
  <c r="J159" i="11"/>
  <c r="M158" i="11"/>
  <c r="L158" i="11"/>
  <c r="K158" i="11"/>
  <c r="J158" i="11"/>
  <c r="M157" i="11"/>
  <c r="L157" i="11"/>
  <c r="K157" i="11"/>
  <c r="J157" i="11"/>
  <c r="M156" i="11"/>
  <c r="L156" i="11"/>
  <c r="K156" i="11"/>
  <c r="J156" i="11"/>
  <c r="M155" i="11"/>
  <c r="L155" i="11"/>
  <c r="K155" i="11"/>
  <c r="J155" i="11"/>
  <c r="M154" i="11"/>
  <c r="L154" i="11"/>
  <c r="K154" i="11"/>
  <c r="J154" i="11"/>
  <c r="M153" i="11"/>
  <c r="L153" i="11"/>
  <c r="K153" i="11"/>
  <c r="J153" i="11"/>
  <c r="M152" i="11"/>
  <c r="L152" i="11"/>
  <c r="K152" i="11"/>
  <c r="J152" i="11"/>
  <c r="M151" i="11"/>
  <c r="L151" i="11"/>
  <c r="K151" i="11"/>
  <c r="J151" i="11"/>
  <c r="M150" i="11"/>
  <c r="L150" i="11"/>
  <c r="K150" i="11"/>
  <c r="J150" i="11"/>
  <c r="M149" i="11"/>
  <c r="L149" i="11"/>
  <c r="K149" i="11"/>
  <c r="J149" i="11"/>
  <c r="M148" i="11"/>
  <c r="L148" i="11"/>
  <c r="K148" i="11"/>
  <c r="J148" i="11"/>
  <c r="M147" i="11"/>
  <c r="L147" i="11"/>
  <c r="K147" i="11"/>
  <c r="J147" i="11"/>
  <c r="M146" i="11"/>
  <c r="L146" i="11"/>
  <c r="K146" i="11"/>
  <c r="J146" i="11"/>
  <c r="M145" i="11"/>
  <c r="L145" i="11"/>
  <c r="K145" i="11"/>
  <c r="J145" i="11"/>
  <c r="M144" i="11"/>
  <c r="L144" i="11"/>
  <c r="K144" i="11"/>
  <c r="J144" i="11"/>
  <c r="M143" i="11"/>
  <c r="L143" i="11"/>
  <c r="K143" i="11"/>
  <c r="J143" i="11"/>
  <c r="M142" i="11"/>
  <c r="L142" i="11"/>
  <c r="K142" i="11"/>
  <c r="J142" i="11"/>
  <c r="M141" i="11"/>
  <c r="L141" i="11"/>
  <c r="K141" i="11"/>
  <c r="J141" i="11"/>
  <c r="M140" i="11"/>
  <c r="L140" i="11"/>
  <c r="K140" i="11"/>
  <c r="J140" i="11"/>
  <c r="M139" i="11"/>
  <c r="L139" i="11"/>
  <c r="K139" i="11"/>
  <c r="J139" i="11"/>
  <c r="M138" i="11"/>
  <c r="L138" i="11"/>
  <c r="K138" i="11"/>
  <c r="J138" i="11"/>
  <c r="M137" i="11"/>
  <c r="L137" i="11"/>
  <c r="K137" i="11"/>
  <c r="J137" i="11"/>
  <c r="M136" i="11"/>
  <c r="L136" i="11"/>
  <c r="K136" i="11"/>
  <c r="J136" i="11"/>
  <c r="M135" i="11"/>
  <c r="L135" i="11"/>
  <c r="K135" i="11"/>
  <c r="J135" i="11"/>
  <c r="M134" i="11"/>
  <c r="L134" i="11"/>
  <c r="K134" i="11"/>
  <c r="J134" i="11"/>
  <c r="M133" i="11"/>
  <c r="L133" i="11"/>
  <c r="K133" i="11"/>
  <c r="J133" i="11"/>
  <c r="M132" i="11"/>
  <c r="L132" i="11"/>
  <c r="K132" i="11"/>
  <c r="J132" i="11"/>
  <c r="M131" i="11"/>
  <c r="L131" i="11"/>
  <c r="K131" i="11"/>
  <c r="J131" i="11"/>
  <c r="M130" i="11"/>
  <c r="L130" i="11"/>
  <c r="K130" i="11"/>
  <c r="J130" i="11"/>
  <c r="M129" i="11"/>
  <c r="L129" i="11"/>
  <c r="K129" i="11"/>
  <c r="J129" i="11"/>
  <c r="M128" i="11"/>
  <c r="L128" i="11"/>
  <c r="K128" i="11"/>
  <c r="J128" i="11"/>
  <c r="M127" i="11"/>
  <c r="L127" i="11"/>
  <c r="K127" i="11"/>
  <c r="J127" i="11"/>
  <c r="M126" i="11"/>
  <c r="L126" i="11"/>
  <c r="K126" i="11"/>
  <c r="J126" i="11"/>
  <c r="M125" i="11"/>
  <c r="L125" i="11"/>
  <c r="K125" i="11"/>
  <c r="J125" i="11"/>
  <c r="M124" i="11"/>
  <c r="L124" i="11"/>
  <c r="K124" i="11"/>
  <c r="J124" i="11"/>
  <c r="M123" i="11"/>
  <c r="L123" i="11"/>
  <c r="K123" i="11"/>
  <c r="J123" i="11"/>
  <c r="M122" i="11"/>
  <c r="L122" i="11"/>
  <c r="K122" i="11"/>
  <c r="J122" i="11"/>
  <c r="M121" i="11"/>
  <c r="L121" i="11"/>
  <c r="K121" i="11"/>
  <c r="J121" i="11"/>
  <c r="M120" i="11"/>
  <c r="L120" i="11"/>
  <c r="K120" i="11"/>
  <c r="J120" i="11"/>
  <c r="M119" i="11"/>
  <c r="L119" i="11"/>
  <c r="K119" i="11"/>
  <c r="J119" i="11"/>
  <c r="M118" i="11"/>
  <c r="L118" i="11"/>
  <c r="K118" i="11"/>
  <c r="J118" i="11"/>
  <c r="M117" i="11"/>
  <c r="L117" i="11"/>
  <c r="K117" i="11"/>
  <c r="J117" i="11"/>
  <c r="M116" i="11"/>
  <c r="L116" i="11"/>
  <c r="K116" i="11"/>
  <c r="J116" i="11"/>
  <c r="M115" i="11"/>
  <c r="L115" i="11"/>
  <c r="K115" i="11"/>
  <c r="J115" i="11"/>
  <c r="M114" i="11"/>
  <c r="L114" i="11"/>
  <c r="K114" i="11"/>
  <c r="J114" i="11"/>
  <c r="M113" i="11"/>
  <c r="L113" i="11"/>
  <c r="K113" i="11"/>
  <c r="J113" i="11"/>
  <c r="M112" i="11"/>
  <c r="L112" i="11"/>
  <c r="K112" i="11"/>
  <c r="J112" i="11"/>
  <c r="M111" i="11"/>
  <c r="L111" i="11"/>
  <c r="K111" i="11"/>
  <c r="J111" i="11"/>
  <c r="M110" i="11"/>
  <c r="L110" i="11"/>
  <c r="K110" i="11"/>
  <c r="J110" i="11"/>
  <c r="M109" i="11"/>
  <c r="L109" i="11"/>
  <c r="K109" i="11"/>
  <c r="J109" i="11"/>
  <c r="M108" i="11"/>
  <c r="L108" i="11"/>
  <c r="K108" i="11"/>
  <c r="J108" i="11"/>
  <c r="M107" i="11"/>
  <c r="L107" i="11"/>
  <c r="K107" i="11"/>
  <c r="J107" i="11"/>
  <c r="M106" i="11"/>
  <c r="L106" i="11"/>
  <c r="K106" i="11"/>
  <c r="J106" i="11"/>
  <c r="M105" i="11"/>
  <c r="L105" i="11"/>
  <c r="K105" i="11"/>
  <c r="J105" i="11"/>
  <c r="M104" i="11"/>
  <c r="L104" i="11"/>
  <c r="K104" i="11"/>
  <c r="J104" i="11"/>
  <c r="M103" i="11"/>
  <c r="L103" i="11"/>
  <c r="K103" i="11"/>
  <c r="J103" i="11"/>
  <c r="M102" i="11"/>
  <c r="L102" i="11"/>
  <c r="K102" i="11"/>
  <c r="J102" i="11"/>
  <c r="M101" i="11"/>
  <c r="L101" i="11"/>
  <c r="K101" i="11"/>
  <c r="J101" i="11"/>
  <c r="M100" i="11"/>
  <c r="L100" i="11"/>
  <c r="K100" i="11"/>
  <c r="J100" i="11"/>
  <c r="M99" i="11"/>
  <c r="L99" i="11"/>
  <c r="K99" i="11"/>
  <c r="J99" i="11"/>
  <c r="M98" i="11"/>
  <c r="L98" i="11"/>
  <c r="K98" i="11"/>
  <c r="J98" i="11"/>
  <c r="M97" i="11"/>
  <c r="L97" i="11"/>
  <c r="K97" i="11"/>
  <c r="J97" i="11"/>
  <c r="M96" i="11"/>
  <c r="L96" i="11"/>
  <c r="K96" i="11"/>
  <c r="J96" i="11"/>
  <c r="M95" i="11"/>
  <c r="L95" i="11"/>
  <c r="K95" i="11"/>
  <c r="J95" i="11"/>
  <c r="M94" i="11"/>
  <c r="L94" i="11"/>
  <c r="K94" i="11"/>
  <c r="J94" i="11"/>
  <c r="M93" i="11"/>
  <c r="L93" i="11"/>
  <c r="K93" i="11"/>
  <c r="J93" i="11"/>
  <c r="M92" i="11"/>
  <c r="L92" i="11"/>
  <c r="K92" i="11"/>
  <c r="J92" i="11"/>
  <c r="M91" i="11"/>
  <c r="L91" i="11"/>
  <c r="K91" i="11"/>
  <c r="J91" i="11"/>
  <c r="M90" i="11"/>
  <c r="L90" i="11"/>
  <c r="K90" i="11"/>
  <c r="J90" i="11"/>
  <c r="M89" i="11"/>
  <c r="L89" i="11"/>
  <c r="K89" i="11"/>
  <c r="J89" i="11"/>
  <c r="M88" i="11"/>
  <c r="L88" i="11"/>
  <c r="K88" i="11"/>
  <c r="J88" i="11"/>
  <c r="M87" i="11"/>
  <c r="L87" i="11"/>
  <c r="K87" i="11"/>
  <c r="J87" i="11"/>
  <c r="M86" i="11"/>
  <c r="L86" i="11"/>
  <c r="K86" i="11"/>
  <c r="J86" i="11"/>
  <c r="M85" i="11"/>
  <c r="L85" i="11"/>
  <c r="K85" i="11"/>
  <c r="J85" i="11"/>
  <c r="M84" i="11"/>
  <c r="L84" i="11"/>
  <c r="K84" i="11"/>
  <c r="J84" i="11"/>
  <c r="M83" i="11"/>
  <c r="L83" i="11"/>
  <c r="K83" i="11"/>
  <c r="J83" i="11"/>
  <c r="M82" i="11"/>
  <c r="L82" i="11"/>
  <c r="K82" i="11"/>
  <c r="J82" i="11"/>
  <c r="M81" i="11"/>
  <c r="L81" i="11"/>
  <c r="K81" i="11"/>
  <c r="J81" i="11"/>
  <c r="M80" i="11"/>
  <c r="L80" i="11"/>
  <c r="K80" i="11"/>
  <c r="J80" i="11"/>
  <c r="M79" i="11"/>
  <c r="L79" i="11"/>
  <c r="K79" i="11"/>
  <c r="J79" i="11"/>
  <c r="M78" i="11"/>
  <c r="L78" i="11"/>
  <c r="K78" i="11"/>
  <c r="J78" i="11"/>
  <c r="M77" i="11"/>
  <c r="L77" i="11"/>
  <c r="K77" i="11"/>
  <c r="J77" i="11"/>
  <c r="M76" i="11"/>
  <c r="L76" i="11"/>
  <c r="K76" i="11"/>
  <c r="J76" i="11"/>
  <c r="M75" i="11"/>
  <c r="L75" i="11"/>
  <c r="K75" i="11"/>
  <c r="J75" i="11"/>
  <c r="M74" i="11"/>
  <c r="L74" i="11"/>
  <c r="K74" i="11"/>
  <c r="J74" i="11"/>
  <c r="M73" i="11"/>
  <c r="L73" i="11"/>
  <c r="K73" i="11"/>
  <c r="J73" i="11"/>
  <c r="M72" i="11"/>
  <c r="L72" i="11"/>
  <c r="K72" i="11"/>
  <c r="J72" i="11"/>
  <c r="M71" i="11"/>
  <c r="L71" i="11"/>
  <c r="K71" i="11"/>
  <c r="J71" i="11"/>
  <c r="M70" i="11"/>
  <c r="L70" i="11"/>
  <c r="K70" i="11"/>
  <c r="J70" i="11"/>
  <c r="M69" i="11"/>
  <c r="L69" i="11"/>
  <c r="K69" i="11"/>
  <c r="J69" i="11"/>
  <c r="M68" i="11"/>
  <c r="L68" i="11"/>
  <c r="K68" i="11"/>
  <c r="J68" i="11"/>
  <c r="M67" i="11"/>
  <c r="L67" i="11"/>
  <c r="K67" i="11"/>
  <c r="J67" i="11"/>
  <c r="M66" i="11"/>
  <c r="L66" i="11"/>
  <c r="K66" i="11"/>
  <c r="J66" i="11"/>
  <c r="M65" i="11"/>
  <c r="L65" i="11"/>
  <c r="K65" i="11"/>
  <c r="J65" i="11"/>
  <c r="M64" i="11"/>
  <c r="L64" i="11"/>
  <c r="K64" i="11"/>
  <c r="J64" i="11"/>
  <c r="M63" i="11"/>
  <c r="L63" i="11"/>
  <c r="K63" i="11"/>
  <c r="J63" i="11"/>
  <c r="M62" i="11"/>
  <c r="L62" i="11"/>
  <c r="K62" i="11"/>
  <c r="J62" i="11"/>
  <c r="M61" i="11"/>
  <c r="L61" i="11"/>
  <c r="K61" i="11"/>
  <c r="J61" i="11"/>
  <c r="M60" i="11"/>
  <c r="L60" i="11"/>
  <c r="K60" i="11"/>
  <c r="J60" i="11"/>
  <c r="M59" i="11"/>
  <c r="L59" i="11"/>
  <c r="K59" i="11"/>
  <c r="J59" i="11"/>
  <c r="M58" i="11"/>
  <c r="L58" i="11"/>
  <c r="K58" i="11"/>
  <c r="J58" i="11"/>
  <c r="M57" i="11"/>
  <c r="L57" i="11"/>
  <c r="K57" i="11"/>
  <c r="J57" i="11"/>
  <c r="M56" i="11"/>
  <c r="L56" i="11"/>
  <c r="K56" i="11"/>
  <c r="J56" i="11"/>
  <c r="M55" i="11"/>
  <c r="L55" i="11"/>
  <c r="K55" i="11"/>
  <c r="J55" i="11"/>
  <c r="M54" i="11"/>
  <c r="L54" i="11"/>
  <c r="K54" i="11"/>
  <c r="J54" i="11"/>
  <c r="M53" i="11"/>
  <c r="L53" i="11"/>
  <c r="K53" i="11"/>
  <c r="J53" i="11"/>
  <c r="M52" i="11"/>
  <c r="L52" i="11"/>
  <c r="K52" i="11"/>
  <c r="J52" i="11"/>
  <c r="M51" i="11"/>
  <c r="L51" i="11"/>
  <c r="K51" i="11"/>
  <c r="J51" i="11"/>
  <c r="M50" i="11"/>
  <c r="L50" i="11"/>
  <c r="K50" i="11"/>
  <c r="J50" i="11"/>
  <c r="M49" i="11"/>
  <c r="L49" i="11"/>
  <c r="K49" i="11"/>
  <c r="J49" i="11"/>
  <c r="M48" i="11"/>
  <c r="L48" i="11"/>
  <c r="K48" i="11"/>
  <c r="J48" i="11"/>
  <c r="M47" i="11"/>
  <c r="L47" i="11"/>
  <c r="K47" i="11"/>
  <c r="J47" i="11"/>
  <c r="M46" i="11"/>
  <c r="L46" i="11"/>
  <c r="K46" i="11"/>
  <c r="J46" i="11"/>
  <c r="M45" i="11"/>
  <c r="L45" i="11"/>
  <c r="K45" i="11"/>
  <c r="J45" i="11"/>
  <c r="M44" i="11"/>
  <c r="L44" i="11"/>
  <c r="K44" i="11"/>
  <c r="J44" i="11"/>
  <c r="M43" i="11"/>
  <c r="L43" i="11"/>
  <c r="K43" i="11"/>
  <c r="J43" i="11"/>
  <c r="M42" i="11"/>
  <c r="L42" i="11"/>
  <c r="K42" i="11"/>
  <c r="J42" i="11"/>
  <c r="M41" i="11"/>
  <c r="L41" i="11"/>
  <c r="K41" i="11"/>
  <c r="J41" i="11"/>
  <c r="M40" i="11"/>
  <c r="L40" i="11"/>
  <c r="K40" i="11"/>
  <c r="J40" i="11"/>
  <c r="M39" i="11"/>
  <c r="L39" i="11"/>
  <c r="K39" i="11"/>
  <c r="J39" i="11"/>
  <c r="M38" i="11"/>
  <c r="L38" i="11"/>
  <c r="K38" i="11"/>
  <c r="J38" i="11"/>
  <c r="M37" i="11"/>
  <c r="L37" i="11"/>
  <c r="K37" i="11"/>
  <c r="J37" i="11"/>
  <c r="M36" i="11"/>
  <c r="L36" i="11"/>
  <c r="K36" i="11"/>
  <c r="J36" i="11"/>
  <c r="M35" i="11"/>
  <c r="L35" i="11"/>
  <c r="K35" i="11"/>
  <c r="J35" i="11"/>
  <c r="M34" i="11"/>
  <c r="L34" i="11"/>
  <c r="K34" i="11"/>
  <c r="J34" i="11"/>
  <c r="M33" i="11"/>
  <c r="L33" i="11"/>
  <c r="K33" i="11"/>
  <c r="J33" i="11"/>
  <c r="M32" i="11"/>
  <c r="L32" i="11"/>
  <c r="K32" i="11"/>
  <c r="J32" i="11"/>
  <c r="M31" i="11"/>
  <c r="L31" i="11"/>
  <c r="K31" i="11"/>
  <c r="J31" i="11"/>
  <c r="M30" i="11"/>
  <c r="L30" i="11"/>
  <c r="K30" i="11"/>
  <c r="J30" i="11"/>
  <c r="M29" i="11"/>
  <c r="L29" i="11"/>
  <c r="K29" i="11"/>
  <c r="J29" i="11"/>
  <c r="M28" i="11"/>
  <c r="L28" i="11"/>
  <c r="K28" i="11"/>
  <c r="J28" i="11"/>
  <c r="M27" i="11"/>
  <c r="L27" i="11"/>
  <c r="K27" i="11"/>
  <c r="J27" i="11"/>
  <c r="M26" i="11"/>
  <c r="L26" i="11"/>
  <c r="K26" i="11"/>
  <c r="J26" i="11"/>
  <c r="M25" i="11"/>
  <c r="L25" i="11"/>
  <c r="K25" i="11"/>
  <c r="J25" i="11"/>
  <c r="M24" i="11"/>
  <c r="L24" i="11"/>
  <c r="K24" i="11"/>
  <c r="J24" i="11"/>
  <c r="M23" i="11"/>
  <c r="L23" i="11"/>
  <c r="K23" i="11"/>
  <c r="J23" i="11"/>
  <c r="M22" i="11"/>
  <c r="L22" i="11"/>
  <c r="K22" i="11"/>
  <c r="J22" i="11"/>
  <c r="M21" i="11"/>
  <c r="L21" i="11"/>
  <c r="K21" i="11"/>
  <c r="J21" i="11"/>
  <c r="M20" i="11"/>
  <c r="L20" i="11"/>
  <c r="K20" i="11"/>
  <c r="J20" i="11"/>
  <c r="M19" i="11"/>
  <c r="L19" i="11"/>
  <c r="K19" i="11"/>
  <c r="J19" i="11"/>
  <c r="M18" i="11"/>
  <c r="L18" i="11"/>
  <c r="K18" i="11"/>
  <c r="J18" i="11"/>
  <c r="M17" i="11"/>
  <c r="L17" i="11"/>
  <c r="K17" i="11"/>
  <c r="J17" i="11"/>
  <c r="M16" i="11"/>
  <c r="L16" i="11"/>
  <c r="K16" i="11"/>
  <c r="J16" i="11"/>
  <c r="M15" i="11"/>
  <c r="L15" i="11"/>
  <c r="K15" i="11"/>
  <c r="J15" i="11"/>
  <c r="M14" i="11"/>
  <c r="L14" i="11"/>
  <c r="K14" i="11"/>
  <c r="J14" i="11"/>
  <c r="M13" i="11"/>
  <c r="L13" i="11"/>
  <c r="K13" i="11"/>
  <c r="J13" i="11"/>
  <c r="M12" i="11"/>
  <c r="L12" i="11"/>
  <c r="K12" i="11"/>
  <c r="J12" i="11"/>
  <c r="M11" i="11"/>
  <c r="L11" i="11"/>
  <c r="K11" i="11"/>
  <c r="J11" i="11"/>
  <c r="M10" i="11"/>
  <c r="M202" i="11" s="1"/>
  <c r="L10" i="11"/>
  <c r="L202" i="11" s="1"/>
  <c r="K10" i="11"/>
  <c r="K202" i="11" s="1"/>
  <c r="J10" i="11"/>
  <c r="J202" i="11" s="1"/>
  <c r="I202" i="10"/>
  <c r="H202" i="10"/>
  <c r="G202" i="10"/>
  <c r="F202" i="10"/>
  <c r="E202" i="10"/>
  <c r="D202" i="10"/>
  <c r="C202" i="10"/>
  <c r="B202" i="10"/>
  <c r="M201" i="10"/>
  <c r="L201" i="10"/>
  <c r="K201" i="10"/>
  <c r="J201" i="10"/>
  <c r="M200" i="10"/>
  <c r="L200" i="10"/>
  <c r="K200" i="10"/>
  <c r="J200" i="10"/>
  <c r="M199" i="10"/>
  <c r="L199" i="10"/>
  <c r="K199" i="10"/>
  <c r="J199" i="10"/>
  <c r="M198" i="10"/>
  <c r="L198" i="10"/>
  <c r="K198" i="10"/>
  <c r="J198" i="10"/>
  <c r="M197" i="10"/>
  <c r="L197" i="10"/>
  <c r="K197" i="10"/>
  <c r="J197" i="10"/>
  <c r="M196" i="10"/>
  <c r="L196" i="10"/>
  <c r="K196" i="10"/>
  <c r="J196" i="10"/>
  <c r="M195" i="10"/>
  <c r="L195" i="10"/>
  <c r="K195" i="10"/>
  <c r="J195" i="10"/>
  <c r="M194" i="10"/>
  <c r="L194" i="10"/>
  <c r="K194" i="10"/>
  <c r="J194" i="10"/>
  <c r="M193" i="10"/>
  <c r="L193" i="10"/>
  <c r="K193" i="10"/>
  <c r="J193" i="10"/>
  <c r="M192" i="10"/>
  <c r="L192" i="10"/>
  <c r="K192" i="10"/>
  <c r="J192" i="10"/>
  <c r="M191" i="10"/>
  <c r="L191" i="10"/>
  <c r="K191" i="10"/>
  <c r="J191" i="10"/>
  <c r="M190" i="10"/>
  <c r="L190" i="10"/>
  <c r="K190" i="10"/>
  <c r="J190" i="10"/>
  <c r="M189" i="10"/>
  <c r="L189" i="10"/>
  <c r="K189" i="10"/>
  <c r="J189" i="10"/>
  <c r="M188" i="10"/>
  <c r="L188" i="10"/>
  <c r="K188" i="10"/>
  <c r="J188" i="10"/>
  <c r="M187" i="10"/>
  <c r="L187" i="10"/>
  <c r="K187" i="10"/>
  <c r="J187" i="10"/>
  <c r="M186" i="10"/>
  <c r="L186" i="10"/>
  <c r="K186" i="10"/>
  <c r="J186" i="10"/>
  <c r="M185" i="10"/>
  <c r="L185" i="10"/>
  <c r="K185" i="10"/>
  <c r="J185" i="10"/>
  <c r="M184" i="10"/>
  <c r="L184" i="10"/>
  <c r="K184" i="10"/>
  <c r="J184" i="10"/>
  <c r="M183" i="10"/>
  <c r="L183" i="10"/>
  <c r="K183" i="10"/>
  <c r="J183" i="10"/>
  <c r="M182" i="10"/>
  <c r="L182" i="10"/>
  <c r="K182" i="10"/>
  <c r="J182" i="10"/>
  <c r="M181" i="10"/>
  <c r="L181" i="10"/>
  <c r="K181" i="10"/>
  <c r="J181" i="10"/>
  <c r="M180" i="10"/>
  <c r="L180" i="10"/>
  <c r="K180" i="10"/>
  <c r="J180" i="10"/>
  <c r="M179" i="10"/>
  <c r="L179" i="10"/>
  <c r="K179" i="10"/>
  <c r="J179" i="10"/>
  <c r="M178" i="10"/>
  <c r="L178" i="10"/>
  <c r="K178" i="10"/>
  <c r="J178" i="10"/>
  <c r="M177" i="10"/>
  <c r="L177" i="10"/>
  <c r="K177" i="10"/>
  <c r="J177" i="10"/>
  <c r="M176" i="10"/>
  <c r="L176" i="10"/>
  <c r="K176" i="10"/>
  <c r="J176" i="10"/>
  <c r="M175" i="10"/>
  <c r="L175" i="10"/>
  <c r="K175" i="10"/>
  <c r="J175" i="10"/>
  <c r="M174" i="10"/>
  <c r="L174" i="10"/>
  <c r="K174" i="10"/>
  <c r="J174" i="10"/>
  <c r="M173" i="10"/>
  <c r="L173" i="10"/>
  <c r="K173" i="10"/>
  <c r="J173" i="10"/>
  <c r="M172" i="10"/>
  <c r="L172" i="10"/>
  <c r="K172" i="10"/>
  <c r="J172" i="10"/>
  <c r="M171" i="10"/>
  <c r="L171" i="10"/>
  <c r="K171" i="10"/>
  <c r="J171" i="10"/>
  <c r="M170" i="10"/>
  <c r="L170" i="10"/>
  <c r="K170" i="10"/>
  <c r="J170" i="10"/>
  <c r="M169" i="10"/>
  <c r="L169" i="10"/>
  <c r="K169" i="10"/>
  <c r="J169" i="10"/>
  <c r="M168" i="10"/>
  <c r="L168" i="10"/>
  <c r="K168" i="10"/>
  <c r="J168" i="10"/>
  <c r="M167" i="10"/>
  <c r="L167" i="10"/>
  <c r="K167" i="10"/>
  <c r="J167" i="10"/>
  <c r="M166" i="10"/>
  <c r="L166" i="10"/>
  <c r="K166" i="10"/>
  <c r="J166" i="10"/>
  <c r="M165" i="10"/>
  <c r="L165" i="10"/>
  <c r="K165" i="10"/>
  <c r="J165" i="10"/>
  <c r="M164" i="10"/>
  <c r="L164" i="10"/>
  <c r="K164" i="10"/>
  <c r="J164" i="10"/>
  <c r="M163" i="10"/>
  <c r="L163" i="10"/>
  <c r="K163" i="10"/>
  <c r="J163" i="10"/>
  <c r="M162" i="10"/>
  <c r="L162" i="10"/>
  <c r="K162" i="10"/>
  <c r="J162" i="10"/>
  <c r="M161" i="10"/>
  <c r="L161" i="10"/>
  <c r="K161" i="10"/>
  <c r="J161" i="10"/>
  <c r="M160" i="10"/>
  <c r="L160" i="10"/>
  <c r="K160" i="10"/>
  <c r="J160" i="10"/>
  <c r="M159" i="10"/>
  <c r="L159" i="10"/>
  <c r="K159" i="10"/>
  <c r="J159" i="10"/>
  <c r="M158" i="10"/>
  <c r="L158" i="10"/>
  <c r="K158" i="10"/>
  <c r="J158" i="10"/>
  <c r="M157" i="10"/>
  <c r="L157" i="10"/>
  <c r="K157" i="10"/>
  <c r="J157" i="10"/>
  <c r="M156" i="10"/>
  <c r="L156" i="10"/>
  <c r="K156" i="10"/>
  <c r="J156" i="10"/>
  <c r="M155" i="10"/>
  <c r="L155" i="10"/>
  <c r="K155" i="10"/>
  <c r="J155" i="10"/>
  <c r="M154" i="10"/>
  <c r="L154" i="10"/>
  <c r="K154" i="10"/>
  <c r="J154" i="10"/>
  <c r="M153" i="10"/>
  <c r="L153" i="10"/>
  <c r="K153" i="10"/>
  <c r="J153" i="10"/>
  <c r="M152" i="10"/>
  <c r="L152" i="10"/>
  <c r="K152" i="10"/>
  <c r="J152" i="10"/>
  <c r="M151" i="10"/>
  <c r="L151" i="10"/>
  <c r="K151" i="10"/>
  <c r="J151" i="10"/>
  <c r="M150" i="10"/>
  <c r="L150" i="10"/>
  <c r="K150" i="10"/>
  <c r="J150" i="10"/>
  <c r="M149" i="10"/>
  <c r="L149" i="10"/>
  <c r="K149" i="10"/>
  <c r="J149" i="10"/>
  <c r="M148" i="10"/>
  <c r="L148" i="10"/>
  <c r="K148" i="10"/>
  <c r="J148" i="10"/>
  <c r="M147" i="10"/>
  <c r="L147" i="10"/>
  <c r="K147" i="10"/>
  <c r="J147" i="10"/>
  <c r="M146" i="10"/>
  <c r="L146" i="10"/>
  <c r="K146" i="10"/>
  <c r="J146" i="10"/>
  <c r="M145" i="10"/>
  <c r="L145" i="10"/>
  <c r="K145" i="10"/>
  <c r="J145" i="10"/>
  <c r="M144" i="10"/>
  <c r="L144" i="10"/>
  <c r="K144" i="10"/>
  <c r="J144" i="10"/>
  <c r="M143" i="10"/>
  <c r="L143" i="10"/>
  <c r="K143" i="10"/>
  <c r="J143" i="10"/>
  <c r="M142" i="10"/>
  <c r="L142" i="10"/>
  <c r="K142" i="10"/>
  <c r="J142" i="10"/>
  <c r="M141" i="10"/>
  <c r="L141" i="10"/>
  <c r="K141" i="10"/>
  <c r="J141" i="10"/>
  <c r="M140" i="10"/>
  <c r="L140" i="10"/>
  <c r="K140" i="10"/>
  <c r="J140" i="10"/>
  <c r="M139" i="10"/>
  <c r="L139" i="10"/>
  <c r="K139" i="10"/>
  <c r="J139" i="10"/>
  <c r="M138" i="10"/>
  <c r="L138" i="10"/>
  <c r="K138" i="10"/>
  <c r="J138" i="10"/>
  <c r="M137" i="10"/>
  <c r="L137" i="10"/>
  <c r="K137" i="10"/>
  <c r="J137" i="10"/>
  <c r="M136" i="10"/>
  <c r="L136" i="10"/>
  <c r="K136" i="10"/>
  <c r="J136" i="10"/>
  <c r="M135" i="10"/>
  <c r="L135" i="10"/>
  <c r="K135" i="10"/>
  <c r="J135" i="10"/>
  <c r="M134" i="10"/>
  <c r="L134" i="10"/>
  <c r="K134" i="10"/>
  <c r="J134" i="10"/>
  <c r="M133" i="10"/>
  <c r="L133" i="10"/>
  <c r="K133" i="10"/>
  <c r="J133" i="10"/>
  <c r="M132" i="10"/>
  <c r="L132" i="10"/>
  <c r="K132" i="10"/>
  <c r="J132" i="10"/>
  <c r="M131" i="10"/>
  <c r="L131" i="10"/>
  <c r="K131" i="10"/>
  <c r="J131" i="10"/>
  <c r="M130" i="10"/>
  <c r="L130" i="10"/>
  <c r="K130" i="10"/>
  <c r="J130" i="10"/>
  <c r="M129" i="10"/>
  <c r="L129" i="10"/>
  <c r="K129" i="10"/>
  <c r="J129" i="10"/>
  <c r="M128" i="10"/>
  <c r="L128" i="10"/>
  <c r="K128" i="10"/>
  <c r="J128" i="10"/>
  <c r="M127" i="10"/>
  <c r="L127" i="10"/>
  <c r="K127" i="10"/>
  <c r="J127" i="10"/>
  <c r="M126" i="10"/>
  <c r="L126" i="10"/>
  <c r="K126" i="10"/>
  <c r="J126" i="10"/>
  <c r="M125" i="10"/>
  <c r="L125" i="10"/>
  <c r="K125" i="10"/>
  <c r="J125" i="10"/>
  <c r="M124" i="10"/>
  <c r="L124" i="10"/>
  <c r="K124" i="10"/>
  <c r="J124" i="10"/>
  <c r="M123" i="10"/>
  <c r="L123" i="10"/>
  <c r="K123" i="10"/>
  <c r="J123" i="10"/>
  <c r="M122" i="10"/>
  <c r="L122" i="10"/>
  <c r="K122" i="10"/>
  <c r="J122" i="10"/>
  <c r="M121" i="10"/>
  <c r="L121" i="10"/>
  <c r="K121" i="10"/>
  <c r="J121" i="10"/>
  <c r="M120" i="10"/>
  <c r="L120" i="10"/>
  <c r="K120" i="10"/>
  <c r="J120" i="10"/>
  <c r="M119" i="10"/>
  <c r="L119" i="10"/>
  <c r="K119" i="10"/>
  <c r="J119" i="10"/>
  <c r="M118" i="10"/>
  <c r="L118" i="10"/>
  <c r="K118" i="10"/>
  <c r="J118" i="10"/>
  <c r="M117" i="10"/>
  <c r="L117" i="10"/>
  <c r="K117" i="10"/>
  <c r="J117" i="10"/>
  <c r="M116" i="10"/>
  <c r="L116" i="10"/>
  <c r="K116" i="10"/>
  <c r="J116" i="10"/>
  <c r="M115" i="10"/>
  <c r="L115" i="10"/>
  <c r="K115" i="10"/>
  <c r="J115" i="10"/>
  <c r="M114" i="10"/>
  <c r="L114" i="10"/>
  <c r="K114" i="10"/>
  <c r="J114" i="10"/>
  <c r="M113" i="10"/>
  <c r="L113" i="10"/>
  <c r="K113" i="10"/>
  <c r="J113" i="10"/>
  <c r="M112" i="10"/>
  <c r="L112" i="10"/>
  <c r="K112" i="10"/>
  <c r="J112" i="10"/>
  <c r="M111" i="10"/>
  <c r="L111" i="10"/>
  <c r="K111" i="10"/>
  <c r="J111" i="10"/>
  <c r="M110" i="10"/>
  <c r="L110" i="10"/>
  <c r="K110" i="10"/>
  <c r="J110" i="10"/>
  <c r="M109" i="10"/>
  <c r="L109" i="10"/>
  <c r="K109" i="10"/>
  <c r="J109" i="10"/>
  <c r="M108" i="10"/>
  <c r="L108" i="10"/>
  <c r="K108" i="10"/>
  <c r="J108" i="10"/>
  <c r="M107" i="10"/>
  <c r="L107" i="10"/>
  <c r="K107" i="10"/>
  <c r="J107" i="10"/>
  <c r="M106" i="10"/>
  <c r="L106" i="10"/>
  <c r="K106" i="10"/>
  <c r="J106" i="10"/>
  <c r="M105" i="10"/>
  <c r="L105" i="10"/>
  <c r="K105" i="10"/>
  <c r="J105" i="10"/>
  <c r="M104" i="10"/>
  <c r="L104" i="10"/>
  <c r="K104" i="10"/>
  <c r="J104" i="10"/>
  <c r="M103" i="10"/>
  <c r="L103" i="10"/>
  <c r="K103" i="10"/>
  <c r="J103" i="10"/>
  <c r="M102" i="10"/>
  <c r="L102" i="10"/>
  <c r="K102" i="10"/>
  <c r="J102" i="10"/>
  <c r="M101" i="10"/>
  <c r="L101" i="10"/>
  <c r="K101" i="10"/>
  <c r="J101" i="10"/>
  <c r="M100" i="10"/>
  <c r="L100" i="10"/>
  <c r="K100" i="10"/>
  <c r="J100" i="10"/>
  <c r="M99" i="10"/>
  <c r="L99" i="10"/>
  <c r="K99" i="10"/>
  <c r="J99" i="10"/>
  <c r="M98" i="10"/>
  <c r="L98" i="10"/>
  <c r="K98" i="10"/>
  <c r="J98" i="10"/>
  <c r="M97" i="10"/>
  <c r="L97" i="10"/>
  <c r="K97" i="10"/>
  <c r="J97" i="10"/>
  <c r="M96" i="10"/>
  <c r="L96" i="10"/>
  <c r="K96" i="10"/>
  <c r="J96" i="10"/>
  <c r="M95" i="10"/>
  <c r="L95" i="10"/>
  <c r="K95" i="10"/>
  <c r="J95" i="10"/>
  <c r="M94" i="10"/>
  <c r="L94" i="10"/>
  <c r="K94" i="10"/>
  <c r="J94" i="10"/>
  <c r="M93" i="10"/>
  <c r="L93" i="10"/>
  <c r="K93" i="10"/>
  <c r="J93" i="10"/>
  <c r="M92" i="10"/>
  <c r="L92" i="10"/>
  <c r="K92" i="10"/>
  <c r="J92" i="10"/>
  <c r="M91" i="10"/>
  <c r="L91" i="10"/>
  <c r="K91" i="10"/>
  <c r="J91" i="10"/>
  <c r="M90" i="10"/>
  <c r="L90" i="10"/>
  <c r="K90" i="10"/>
  <c r="J90" i="10"/>
  <c r="M89" i="10"/>
  <c r="L89" i="10"/>
  <c r="K89" i="10"/>
  <c r="J89" i="10"/>
  <c r="M88" i="10"/>
  <c r="L88" i="10"/>
  <c r="K88" i="10"/>
  <c r="J88" i="10"/>
  <c r="M87" i="10"/>
  <c r="L87" i="10"/>
  <c r="K87" i="10"/>
  <c r="J87" i="10"/>
  <c r="M86" i="10"/>
  <c r="L86" i="10"/>
  <c r="K86" i="10"/>
  <c r="J86" i="10"/>
  <c r="M85" i="10"/>
  <c r="L85" i="10"/>
  <c r="K85" i="10"/>
  <c r="J85" i="10"/>
  <c r="M84" i="10"/>
  <c r="L84" i="10"/>
  <c r="K84" i="10"/>
  <c r="J84" i="10"/>
  <c r="M83" i="10"/>
  <c r="L83" i="10"/>
  <c r="K83" i="10"/>
  <c r="J83" i="10"/>
  <c r="M82" i="10"/>
  <c r="L82" i="10"/>
  <c r="K82" i="10"/>
  <c r="J82" i="10"/>
  <c r="M81" i="10"/>
  <c r="L81" i="10"/>
  <c r="K81" i="10"/>
  <c r="J81" i="10"/>
  <c r="M80" i="10"/>
  <c r="L80" i="10"/>
  <c r="K80" i="10"/>
  <c r="J80" i="10"/>
  <c r="M79" i="10"/>
  <c r="L79" i="10"/>
  <c r="K79" i="10"/>
  <c r="J79" i="10"/>
  <c r="M78" i="10"/>
  <c r="L78" i="10"/>
  <c r="K78" i="10"/>
  <c r="J78" i="10"/>
  <c r="M77" i="10"/>
  <c r="L77" i="10"/>
  <c r="K77" i="10"/>
  <c r="J77" i="10"/>
  <c r="M76" i="10"/>
  <c r="L76" i="10"/>
  <c r="K76" i="10"/>
  <c r="J76" i="10"/>
  <c r="M75" i="10"/>
  <c r="L75" i="10"/>
  <c r="K75" i="10"/>
  <c r="J75" i="10"/>
  <c r="M74" i="10"/>
  <c r="L74" i="10"/>
  <c r="K74" i="10"/>
  <c r="J74" i="10"/>
  <c r="M73" i="10"/>
  <c r="L73" i="10"/>
  <c r="K73" i="10"/>
  <c r="J73" i="10"/>
  <c r="M72" i="10"/>
  <c r="L72" i="10"/>
  <c r="K72" i="10"/>
  <c r="J72" i="10"/>
  <c r="M71" i="10"/>
  <c r="L71" i="10"/>
  <c r="K71" i="10"/>
  <c r="J71" i="10"/>
  <c r="M70" i="10"/>
  <c r="L70" i="10"/>
  <c r="K70" i="10"/>
  <c r="J70" i="10"/>
  <c r="M69" i="10"/>
  <c r="L69" i="10"/>
  <c r="K69" i="10"/>
  <c r="J69" i="10"/>
  <c r="M68" i="10"/>
  <c r="L68" i="10"/>
  <c r="K68" i="10"/>
  <c r="J68" i="10"/>
  <c r="M67" i="10"/>
  <c r="L67" i="10"/>
  <c r="K67" i="10"/>
  <c r="J67" i="10"/>
  <c r="M66" i="10"/>
  <c r="L66" i="10"/>
  <c r="K66" i="10"/>
  <c r="J66" i="10"/>
  <c r="M65" i="10"/>
  <c r="L65" i="10"/>
  <c r="K65" i="10"/>
  <c r="J65" i="10"/>
  <c r="M64" i="10"/>
  <c r="L64" i="10"/>
  <c r="K64" i="10"/>
  <c r="J64" i="10"/>
  <c r="M63" i="10"/>
  <c r="L63" i="10"/>
  <c r="K63" i="10"/>
  <c r="J63" i="10"/>
  <c r="M62" i="10"/>
  <c r="L62" i="10"/>
  <c r="K62" i="10"/>
  <c r="J62" i="10"/>
  <c r="M61" i="10"/>
  <c r="L61" i="10"/>
  <c r="K61" i="10"/>
  <c r="J61" i="10"/>
  <c r="M60" i="10"/>
  <c r="L60" i="10"/>
  <c r="K60" i="10"/>
  <c r="J60" i="10"/>
  <c r="M59" i="10"/>
  <c r="L59" i="10"/>
  <c r="K59" i="10"/>
  <c r="J59" i="10"/>
  <c r="M58" i="10"/>
  <c r="L58" i="10"/>
  <c r="K58" i="10"/>
  <c r="J58" i="10"/>
  <c r="M57" i="10"/>
  <c r="L57" i="10"/>
  <c r="K57" i="10"/>
  <c r="J57" i="10"/>
  <c r="M56" i="10"/>
  <c r="L56" i="10"/>
  <c r="K56" i="10"/>
  <c r="J56" i="10"/>
  <c r="M55" i="10"/>
  <c r="L55" i="10"/>
  <c r="K55" i="10"/>
  <c r="J55" i="10"/>
  <c r="M54" i="10"/>
  <c r="L54" i="10"/>
  <c r="K54" i="10"/>
  <c r="J54" i="10"/>
  <c r="M53" i="10"/>
  <c r="L53" i="10"/>
  <c r="K53" i="10"/>
  <c r="J53" i="10"/>
  <c r="M52" i="10"/>
  <c r="L52" i="10"/>
  <c r="K52" i="10"/>
  <c r="J52" i="10"/>
  <c r="M51" i="10"/>
  <c r="L51" i="10"/>
  <c r="K51" i="10"/>
  <c r="J51" i="10"/>
  <c r="M50" i="10"/>
  <c r="L50" i="10"/>
  <c r="K50" i="10"/>
  <c r="J50" i="10"/>
  <c r="M49" i="10"/>
  <c r="L49" i="10"/>
  <c r="K49" i="10"/>
  <c r="J49" i="10"/>
  <c r="M48" i="10"/>
  <c r="L48" i="10"/>
  <c r="K48" i="10"/>
  <c r="J48" i="10"/>
  <c r="M47" i="10"/>
  <c r="L47" i="10"/>
  <c r="K47" i="10"/>
  <c r="J47" i="10"/>
  <c r="M46" i="10"/>
  <c r="L46" i="10"/>
  <c r="K46" i="10"/>
  <c r="J46" i="10"/>
  <c r="M45" i="10"/>
  <c r="L45" i="10"/>
  <c r="K45" i="10"/>
  <c r="J45" i="10"/>
  <c r="M44" i="10"/>
  <c r="L44" i="10"/>
  <c r="K44" i="10"/>
  <c r="J44" i="10"/>
  <c r="M43" i="10"/>
  <c r="L43" i="10"/>
  <c r="K43" i="10"/>
  <c r="J43" i="10"/>
  <c r="M42" i="10"/>
  <c r="L42" i="10"/>
  <c r="K42" i="10"/>
  <c r="J42" i="10"/>
  <c r="M41" i="10"/>
  <c r="L41" i="10"/>
  <c r="K41" i="10"/>
  <c r="J41" i="10"/>
  <c r="M40" i="10"/>
  <c r="L40" i="10"/>
  <c r="K40" i="10"/>
  <c r="J40" i="10"/>
  <c r="M39" i="10"/>
  <c r="L39" i="10"/>
  <c r="K39" i="10"/>
  <c r="J39" i="10"/>
  <c r="M38" i="10"/>
  <c r="L38" i="10"/>
  <c r="K38" i="10"/>
  <c r="J38" i="10"/>
  <c r="M37" i="10"/>
  <c r="L37" i="10"/>
  <c r="K37" i="10"/>
  <c r="J37" i="10"/>
  <c r="M36" i="10"/>
  <c r="L36" i="10"/>
  <c r="K36" i="10"/>
  <c r="J36" i="10"/>
  <c r="M35" i="10"/>
  <c r="L35" i="10"/>
  <c r="K35" i="10"/>
  <c r="J35" i="10"/>
  <c r="M34" i="10"/>
  <c r="L34" i="10"/>
  <c r="K34" i="10"/>
  <c r="J34" i="10"/>
  <c r="M33" i="10"/>
  <c r="L33" i="10"/>
  <c r="K33" i="10"/>
  <c r="J33" i="10"/>
  <c r="M32" i="10"/>
  <c r="L32" i="10"/>
  <c r="K32" i="10"/>
  <c r="J32" i="10"/>
  <c r="M31" i="10"/>
  <c r="L31" i="10"/>
  <c r="K31" i="10"/>
  <c r="J31" i="10"/>
  <c r="M30" i="10"/>
  <c r="L30" i="10"/>
  <c r="K30" i="10"/>
  <c r="J30" i="10"/>
  <c r="M29" i="10"/>
  <c r="L29" i="10"/>
  <c r="K29" i="10"/>
  <c r="J29" i="10"/>
  <c r="M28" i="10"/>
  <c r="L28" i="10"/>
  <c r="K28" i="10"/>
  <c r="J28" i="10"/>
  <c r="M27" i="10"/>
  <c r="L27" i="10"/>
  <c r="K27" i="10"/>
  <c r="J27" i="10"/>
  <c r="M26" i="10"/>
  <c r="L26" i="10"/>
  <c r="K26" i="10"/>
  <c r="J26" i="10"/>
  <c r="M25" i="10"/>
  <c r="L25" i="10"/>
  <c r="K25" i="10"/>
  <c r="J25" i="10"/>
  <c r="M24" i="10"/>
  <c r="L24" i="10"/>
  <c r="K24" i="10"/>
  <c r="J24" i="10"/>
  <c r="M23" i="10"/>
  <c r="L23" i="10"/>
  <c r="K23" i="10"/>
  <c r="J23" i="10"/>
  <c r="M22" i="10"/>
  <c r="L22" i="10"/>
  <c r="K22" i="10"/>
  <c r="J22" i="10"/>
  <c r="M21" i="10"/>
  <c r="L21" i="10"/>
  <c r="K21" i="10"/>
  <c r="J21" i="10"/>
  <c r="M20" i="10"/>
  <c r="L20" i="10"/>
  <c r="K20" i="10"/>
  <c r="J20" i="10"/>
  <c r="M19" i="10"/>
  <c r="L19" i="10"/>
  <c r="K19" i="10"/>
  <c r="J19" i="10"/>
  <c r="M18" i="10"/>
  <c r="L18" i="10"/>
  <c r="K18" i="10"/>
  <c r="J18" i="10"/>
  <c r="M17" i="10"/>
  <c r="L17" i="10"/>
  <c r="K17" i="10"/>
  <c r="J17" i="10"/>
  <c r="M16" i="10"/>
  <c r="L16" i="10"/>
  <c r="K16" i="10"/>
  <c r="J16" i="10"/>
  <c r="M15" i="10"/>
  <c r="L15" i="10"/>
  <c r="K15" i="10"/>
  <c r="J15" i="10"/>
  <c r="M14" i="10"/>
  <c r="L14" i="10"/>
  <c r="K14" i="10"/>
  <c r="J14" i="10"/>
  <c r="M13" i="10"/>
  <c r="L13" i="10"/>
  <c r="K13" i="10"/>
  <c r="J13" i="10"/>
  <c r="M12" i="10"/>
  <c r="L12" i="10"/>
  <c r="K12" i="10"/>
  <c r="J12" i="10"/>
  <c r="M11" i="10"/>
  <c r="L11" i="10"/>
  <c r="K11" i="10"/>
  <c r="J11" i="10"/>
  <c r="M10" i="10"/>
  <c r="M202" i="10" s="1"/>
  <c r="L10" i="10"/>
  <c r="L202" i="10" s="1"/>
  <c r="K10" i="10"/>
  <c r="K202" i="10" s="1"/>
  <c r="J10" i="10"/>
  <c r="J202" i="10" s="1"/>
  <c r="I202" i="9" l="1"/>
  <c r="H202" i="9"/>
  <c r="G202" i="9"/>
  <c r="F202" i="9"/>
  <c r="E202" i="9"/>
  <c r="D202" i="9"/>
  <c r="C202" i="9"/>
  <c r="B202" i="9"/>
  <c r="M201" i="9"/>
  <c r="L201" i="9"/>
  <c r="K201" i="9"/>
  <c r="J201" i="9"/>
  <c r="M200" i="9"/>
  <c r="L200" i="9"/>
  <c r="K200" i="9"/>
  <c r="J200" i="9"/>
  <c r="M199" i="9"/>
  <c r="L199" i="9"/>
  <c r="K199" i="9"/>
  <c r="J199" i="9"/>
  <c r="M198" i="9"/>
  <c r="L198" i="9"/>
  <c r="K198" i="9"/>
  <c r="J198" i="9"/>
  <c r="M197" i="9"/>
  <c r="L197" i="9"/>
  <c r="K197" i="9"/>
  <c r="J197" i="9"/>
  <c r="M196" i="9"/>
  <c r="L196" i="9"/>
  <c r="K196" i="9"/>
  <c r="J196" i="9"/>
  <c r="M195" i="9"/>
  <c r="L195" i="9"/>
  <c r="K195" i="9"/>
  <c r="J195" i="9"/>
  <c r="M194" i="9"/>
  <c r="L194" i="9"/>
  <c r="K194" i="9"/>
  <c r="J194" i="9"/>
  <c r="M193" i="9"/>
  <c r="L193" i="9"/>
  <c r="K193" i="9"/>
  <c r="J193" i="9"/>
  <c r="M192" i="9"/>
  <c r="L192" i="9"/>
  <c r="K192" i="9"/>
  <c r="J192" i="9"/>
  <c r="M191" i="9"/>
  <c r="L191" i="9"/>
  <c r="K191" i="9"/>
  <c r="J191" i="9"/>
  <c r="M190" i="9"/>
  <c r="L190" i="9"/>
  <c r="K190" i="9"/>
  <c r="J190" i="9"/>
  <c r="M189" i="9"/>
  <c r="L189" i="9"/>
  <c r="K189" i="9"/>
  <c r="J189" i="9"/>
  <c r="M188" i="9"/>
  <c r="L188" i="9"/>
  <c r="K188" i="9"/>
  <c r="J188" i="9"/>
  <c r="M187" i="9"/>
  <c r="L187" i="9"/>
  <c r="K187" i="9"/>
  <c r="J187" i="9"/>
  <c r="M186" i="9"/>
  <c r="L186" i="9"/>
  <c r="K186" i="9"/>
  <c r="J186" i="9"/>
  <c r="M185" i="9"/>
  <c r="L185" i="9"/>
  <c r="K185" i="9"/>
  <c r="J185" i="9"/>
  <c r="M184" i="9"/>
  <c r="L184" i="9"/>
  <c r="K184" i="9"/>
  <c r="J184" i="9"/>
  <c r="M183" i="9"/>
  <c r="L183" i="9"/>
  <c r="K183" i="9"/>
  <c r="J183" i="9"/>
  <c r="M182" i="9"/>
  <c r="L182" i="9"/>
  <c r="K182" i="9"/>
  <c r="J182" i="9"/>
  <c r="M181" i="9"/>
  <c r="L181" i="9"/>
  <c r="K181" i="9"/>
  <c r="J181" i="9"/>
  <c r="M180" i="9"/>
  <c r="L180" i="9"/>
  <c r="K180" i="9"/>
  <c r="J180" i="9"/>
  <c r="M179" i="9"/>
  <c r="L179" i="9"/>
  <c r="K179" i="9"/>
  <c r="J179" i="9"/>
  <c r="M178" i="9"/>
  <c r="L178" i="9"/>
  <c r="K178" i="9"/>
  <c r="J178" i="9"/>
  <c r="M177" i="9"/>
  <c r="L177" i="9"/>
  <c r="K177" i="9"/>
  <c r="J177" i="9"/>
  <c r="M176" i="9"/>
  <c r="L176" i="9"/>
  <c r="K176" i="9"/>
  <c r="J176" i="9"/>
  <c r="M175" i="9"/>
  <c r="L175" i="9"/>
  <c r="K175" i="9"/>
  <c r="J175" i="9"/>
  <c r="M174" i="9"/>
  <c r="L174" i="9"/>
  <c r="K174" i="9"/>
  <c r="J174" i="9"/>
  <c r="M173" i="9"/>
  <c r="L173" i="9"/>
  <c r="K173" i="9"/>
  <c r="J173" i="9"/>
  <c r="M172" i="9"/>
  <c r="L172" i="9"/>
  <c r="K172" i="9"/>
  <c r="J172" i="9"/>
  <c r="M171" i="9"/>
  <c r="L171" i="9"/>
  <c r="K171" i="9"/>
  <c r="J171" i="9"/>
  <c r="M170" i="9"/>
  <c r="L170" i="9"/>
  <c r="K170" i="9"/>
  <c r="J170" i="9"/>
  <c r="M169" i="9"/>
  <c r="L169" i="9"/>
  <c r="K169" i="9"/>
  <c r="J169" i="9"/>
  <c r="M168" i="9"/>
  <c r="L168" i="9"/>
  <c r="K168" i="9"/>
  <c r="J168" i="9"/>
  <c r="M167" i="9"/>
  <c r="L167" i="9"/>
  <c r="K167" i="9"/>
  <c r="J167" i="9"/>
  <c r="M166" i="9"/>
  <c r="L166" i="9"/>
  <c r="K166" i="9"/>
  <c r="J166" i="9"/>
  <c r="M165" i="9"/>
  <c r="L165" i="9"/>
  <c r="K165" i="9"/>
  <c r="J165" i="9"/>
  <c r="M164" i="9"/>
  <c r="L164" i="9"/>
  <c r="K164" i="9"/>
  <c r="J164" i="9"/>
  <c r="M163" i="9"/>
  <c r="L163" i="9"/>
  <c r="K163" i="9"/>
  <c r="J163" i="9"/>
  <c r="M162" i="9"/>
  <c r="L162" i="9"/>
  <c r="K162" i="9"/>
  <c r="J162" i="9"/>
  <c r="M161" i="9"/>
  <c r="L161" i="9"/>
  <c r="K161" i="9"/>
  <c r="J161" i="9"/>
  <c r="M160" i="9"/>
  <c r="L160" i="9"/>
  <c r="K160" i="9"/>
  <c r="J160" i="9"/>
  <c r="M159" i="9"/>
  <c r="L159" i="9"/>
  <c r="K159" i="9"/>
  <c r="J159" i="9"/>
  <c r="M158" i="9"/>
  <c r="L158" i="9"/>
  <c r="K158" i="9"/>
  <c r="J158" i="9"/>
  <c r="M157" i="9"/>
  <c r="L157" i="9"/>
  <c r="K157" i="9"/>
  <c r="J157" i="9"/>
  <c r="M156" i="9"/>
  <c r="L156" i="9"/>
  <c r="K156" i="9"/>
  <c r="J156" i="9"/>
  <c r="M155" i="9"/>
  <c r="L155" i="9"/>
  <c r="K155" i="9"/>
  <c r="J155" i="9"/>
  <c r="M154" i="9"/>
  <c r="L154" i="9"/>
  <c r="K154" i="9"/>
  <c r="J154" i="9"/>
  <c r="M153" i="9"/>
  <c r="L153" i="9"/>
  <c r="K153" i="9"/>
  <c r="J153" i="9"/>
  <c r="M152" i="9"/>
  <c r="L152" i="9"/>
  <c r="K152" i="9"/>
  <c r="J152" i="9"/>
  <c r="M151" i="9"/>
  <c r="L151" i="9"/>
  <c r="K151" i="9"/>
  <c r="J151" i="9"/>
  <c r="M150" i="9"/>
  <c r="L150" i="9"/>
  <c r="K150" i="9"/>
  <c r="J150" i="9"/>
  <c r="M149" i="9"/>
  <c r="L149" i="9"/>
  <c r="K149" i="9"/>
  <c r="J149" i="9"/>
  <c r="M148" i="9"/>
  <c r="L148" i="9"/>
  <c r="K148" i="9"/>
  <c r="J148" i="9"/>
  <c r="M147" i="9"/>
  <c r="L147" i="9"/>
  <c r="K147" i="9"/>
  <c r="J147" i="9"/>
  <c r="M146" i="9"/>
  <c r="L146" i="9"/>
  <c r="K146" i="9"/>
  <c r="J146" i="9"/>
  <c r="M145" i="9"/>
  <c r="L145" i="9"/>
  <c r="K145" i="9"/>
  <c r="J145" i="9"/>
  <c r="M144" i="9"/>
  <c r="L144" i="9"/>
  <c r="K144" i="9"/>
  <c r="J144" i="9"/>
  <c r="M143" i="9"/>
  <c r="L143" i="9"/>
  <c r="K143" i="9"/>
  <c r="J143" i="9"/>
  <c r="M142" i="9"/>
  <c r="L142" i="9"/>
  <c r="K142" i="9"/>
  <c r="J142" i="9"/>
  <c r="M141" i="9"/>
  <c r="L141" i="9"/>
  <c r="K141" i="9"/>
  <c r="J141" i="9"/>
  <c r="M140" i="9"/>
  <c r="L140" i="9"/>
  <c r="K140" i="9"/>
  <c r="J140" i="9"/>
  <c r="M139" i="9"/>
  <c r="L139" i="9"/>
  <c r="K139" i="9"/>
  <c r="J139" i="9"/>
  <c r="M138" i="9"/>
  <c r="L138" i="9"/>
  <c r="K138" i="9"/>
  <c r="J138" i="9"/>
  <c r="M137" i="9"/>
  <c r="L137" i="9"/>
  <c r="K137" i="9"/>
  <c r="J137" i="9"/>
  <c r="M136" i="9"/>
  <c r="L136" i="9"/>
  <c r="K136" i="9"/>
  <c r="J136" i="9"/>
  <c r="M135" i="9"/>
  <c r="L135" i="9"/>
  <c r="K135" i="9"/>
  <c r="J135" i="9"/>
  <c r="M134" i="9"/>
  <c r="L134" i="9"/>
  <c r="K134" i="9"/>
  <c r="J134" i="9"/>
  <c r="M133" i="9"/>
  <c r="L133" i="9"/>
  <c r="K133" i="9"/>
  <c r="J133" i="9"/>
  <c r="M132" i="9"/>
  <c r="L132" i="9"/>
  <c r="K132" i="9"/>
  <c r="J132" i="9"/>
  <c r="M131" i="9"/>
  <c r="L131" i="9"/>
  <c r="K131" i="9"/>
  <c r="J131" i="9"/>
  <c r="M130" i="9"/>
  <c r="L130" i="9"/>
  <c r="K130" i="9"/>
  <c r="J130" i="9"/>
  <c r="M129" i="9"/>
  <c r="L129" i="9"/>
  <c r="K129" i="9"/>
  <c r="J129" i="9"/>
  <c r="M128" i="9"/>
  <c r="L128" i="9"/>
  <c r="K128" i="9"/>
  <c r="J128" i="9"/>
  <c r="M127" i="9"/>
  <c r="L127" i="9"/>
  <c r="K127" i="9"/>
  <c r="J127" i="9"/>
  <c r="M126" i="9"/>
  <c r="L126" i="9"/>
  <c r="K126" i="9"/>
  <c r="J126" i="9"/>
  <c r="M125" i="9"/>
  <c r="L125" i="9"/>
  <c r="K125" i="9"/>
  <c r="J125" i="9"/>
  <c r="M124" i="9"/>
  <c r="L124" i="9"/>
  <c r="K124" i="9"/>
  <c r="J124" i="9"/>
  <c r="M123" i="9"/>
  <c r="L123" i="9"/>
  <c r="K123" i="9"/>
  <c r="J123" i="9"/>
  <c r="M122" i="9"/>
  <c r="L122" i="9"/>
  <c r="K122" i="9"/>
  <c r="J122" i="9"/>
  <c r="M121" i="9"/>
  <c r="L121" i="9"/>
  <c r="K121" i="9"/>
  <c r="J121" i="9"/>
  <c r="M120" i="9"/>
  <c r="L120" i="9"/>
  <c r="K120" i="9"/>
  <c r="J120" i="9"/>
  <c r="M119" i="9"/>
  <c r="L119" i="9"/>
  <c r="K119" i="9"/>
  <c r="J119" i="9"/>
  <c r="M118" i="9"/>
  <c r="L118" i="9"/>
  <c r="K118" i="9"/>
  <c r="J118" i="9"/>
  <c r="M117" i="9"/>
  <c r="L117" i="9"/>
  <c r="K117" i="9"/>
  <c r="J117" i="9"/>
  <c r="M116" i="9"/>
  <c r="L116" i="9"/>
  <c r="K116" i="9"/>
  <c r="J116" i="9"/>
  <c r="M115" i="9"/>
  <c r="L115" i="9"/>
  <c r="K115" i="9"/>
  <c r="J115" i="9"/>
  <c r="M114" i="9"/>
  <c r="L114" i="9"/>
  <c r="K114" i="9"/>
  <c r="J114" i="9"/>
  <c r="M113" i="9"/>
  <c r="L113" i="9"/>
  <c r="K113" i="9"/>
  <c r="J113" i="9"/>
  <c r="M112" i="9"/>
  <c r="L112" i="9"/>
  <c r="K112" i="9"/>
  <c r="J112" i="9"/>
  <c r="M111" i="9"/>
  <c r="L111" i="9"/>
  <c r="K111" i="9"/>
  <c r="J111" i="9"/>
  <c r="M110" i="9"/>
  <c r="L110" i="9"/>
  <c r="K110" i="9"/>
  <c r="J110" i="9"/>
  <c r="M109" i="9"/>
  <c r="L109" i="9"/>
  <c r="K109" i="9"/>
  <c r="J109" i="9"/>
  <c r="M108" i="9"/>
  <c r="L108" i="9"/>
  <c r="K108" i="9"/>
  <c r="J108" i="9"/>
  <c r="M107" i="9"/>
  <c r="L107" i="9"/>
  <c r="K107" i="9"/>
  <c r="J107" i="9"/>
  <c r="M106" i="9"/>
  <c r="L106" i="9"/>
  <c r="K106" i="9"/>
  <c r="J106" i="9"/>
  <c r="M105" i="9"/>
  <c r="L105" i="9"/>
  <c r="K105" i="9"/>
  <c r="J105" i="9"/>
  <c r="M104" i="9"/>
  <c r="L104" i="9"/>
  <c r="K104" i="9"/>
  <c r="J104" i="9"/>
  <c r="M103" i="9"/>
  <c r="L103" i="9"/>
  <c r="K103" i="9"/>
  <c r="J103" i="9"/>
  <c r="M102" i="9"/>
  <c r="L102" i="9"/>
  <c r="K102" i="9"/>
  <c r="J102" i="9"/>
  <c r="M101" i="9"/>
  <c r="L101" i="9"/>
  <c r="K101" i="9"/>
  <c r="J101" i="9"/>
  <c r="M100" i="9"/>
  <c r="L100" i="9"/>
  <c r="K100" i="9"/>
  <c r="J100" i="9"/>
  <c r="M99" i="9"/>
  <c r="L99" i="9"/>
  <c r="K99" i="9"/>
  <c r="J99" i="9"/>
  <c r="M98" i="9"/>
  <c r="L98" i="9"/>
  <c r="K98" i="9"/>
  <c r="J98" i="9"/>
  <c r="M97" i="9"/>
  <c r="L97" i="9"/>
  <c r="K97" i="9"/>
  <c r="J97" i="9"/>
  <c r="M96" i="9"/>
  <c r="L96" i="9"/>
  <c r="K96" i="9"/>
  <c r="J96" i="9"/>
  <c r="M95" i="9"/>
  <c r="L95" i="9"/>
  <c r="K95" i="9"/>
  <c r="J95" i="9"/>
  <c r="M94" i="9"/>
  <c r="L94" i="9"/>
  <c r="K94" i="9"/>
  <c r="J94" i="9"/>
  <c r="M93" i="9"/>
  <c r="L93" i="9"/>
  <c r="K93" i="9"/>
  <c r="J93" i="9"/>
  <c r="M92" i="9"/>
  <c r="L92" i="9"/>
  <c r="K92" i="9"/>
  <c r="J92" i="9"/>
  <c r="M91" i="9"/>
  <c r="L91" i="9"/>
  <c r="K91" i="9"/>
  <c r="J91" i="9"/>
  <c r="M90" i="9"/>
  <c r="L90" i="9"/>
  <c r="K90" i="9"/>
  <c r="J90" i="9"/>
  <c r="M89" i="9"/>
  <c r="L89" i="9"/>
  <c r="K89" i="9"/>
  <c r="J89" i="9"/>
  <c r="M88" i="9"/>
  <c r="L88" i="9"/>
  <c r="K88" i="9"/>
  <c r="J88" i="9"/>
  <c r="M87" i="9"/>
  <c r="L87" i="9"/>
  <c r="K87" i="9"/>
  <c r="J87" i="9"/>
  <c r="M86" i="9"/>
  <c r="L86" i="9"/>
  <c r="K86" i="9"/>
  <c r="J86" i="9"/>
  <c r="M85" i="9"/>
  <c r="L85" i="9"/>
  <c r="K85" i="9"/>
  <c r="J85" i="9"/>
  <c r="M84" i="9"/>
  <c r="L84" i="9"/>
  <c r="K84" i="9"/>
  <c r="J84" i="9"/>
  <c r="M83" i="9"/>
  <c r="L83" i="9"/>
  <c r="K83" i="9"/>
  <c r="J83" i="9"/>
  <c r="M82" i="9"/>
  <c r="L82" i="9"/>
  <c r="K82" i="9"/>
  <c r="J82" i="9"/>
  <c r="M81" i="9"/>
  <c r="L81" i="9"/>
  <c r="K81" i="9"/>
  <c r="J81" i="9"/>
  <c r="M80" i="9"/>
  <c r="L80" i="9"/>
  <c r="K80" i="9"/>
  <c r="J80" i="9"/>
  <c r="M79" i="9"/>
  <c r="L79" i="9"/>
  <c r="K79" i="9"/>
  <c r="J79" i="9"/>
  <c r="M78" i="9"/>
  <c r="L78" i="9"/>
  <c r="K78" i="9"/>
  <c r="J78" i="9"/>
  <c r="M77" i="9"/>
  <c r="L77" i="9"/>
  <c r="K77" i="9"/>
  <c r="J77" i="9"/>
  <c r="M76" i="9"/>
  <c r="L76" i="9"/>
  <c r="K76" i="9"/>
  <c r="J76" i="9"/>
  <c r="M75" i="9"/>
  <c r="L75" i="9"/>
  <c r="K75" i="9"/>
  <c r="J75" i="9"/>
  <c r="M74" i="9"/>
  <c r="L74" i="9"/>
  <c r="K74" i="9"/>
  <c r="J74" i="9"/>
  <c r="M73" i="9"/>
  <c r="L73" i="9"/>
  <c r="K73" i="9"/>
  <c r="J73" i="9"/>
  <c r="M72" i="9"/>
  <c r="L72" i="9"/>
  <c r="K72" i="9"/>
  <c r="J72" i="9"/>
  <c r="M71" i="9"/>
  <c r="L71" i="9"/>
  <c r="K71" i="9"/>
  <c r="J71" i="9"/>
  <c r="M70" i="9"/>
  <c r="L70" i="9"/>
  <c r="K70" i="9"/>
  <c r="J70" i="9"/>
  <c r="M69" i="9"/>
  <c r="L69" i="9"/>
  <c r="K69" i="9"/>
  <c r="J69" i="9"/>
  <c r="M68" i="9"/>
  <c r="L68" i="9"/>
  <c r="K68" i="9"/>
  <c r="J68" i="9"/>
  <c r="M67" i="9"/>
  <c r="L67" i="9"/>
  <c r="K67" i="9"/>
  <c r="J67" i="9"/>
  <c r="M66" i="9"/>
  <c r="L66" i="9"/>
  <c r="K66" i="9"/>
  <c r="J66" i="9"/>
  <c r="M65" i="9"/>
  <c r="L65" i="9"/>
  <c r="K65" i="9"/>
  <c r="J65" i="9"/>
  <c r="M64" i="9"/>
  <c r="L64" i="9"/>
  <c r="K64" i="9"/>
  <c r="J64" i="9"/>
  <c r="M63" i="9"/>
  <c r="L63" i="9"/>
  <c r="K63" i="9"/>
  <c r="J63" i="9"/>
  <c r="M62" i="9"/>
  <c r="L62" i="9"/>
  <c r="K62" i="9"/>
  <c r="J62" i="9"/>
  <c r="M61" i="9"/>
  <c r="L61" i="9"/>
  <c r="K61" i="9"/>
  <c r="J61" i="9"/>
  <c r="M60" i="9"/>
  <c r="L60" i="9"/>
  <c r="K60" i="9"/>
  <c r="J60" i="9"/>
  <c r="M59" i="9"/>
  <c r="L59" i="9"/>
  <c r="K59" i="9"/>
  <c r="J59" i="9"/>
  <c r="M58" i="9"/>
  <c r="L58" i="9"/>
  <c r="K58" i="9"/>
  <c r="J58" i="9"/>
  <c r="M57" i="9"/>
  <c r="L57" i="9"/>
  <c r="K57" i="9"/>
  <c r="J57" i="9"/>
  <c r="M56" i="9"/>
  <c r="L56" i="9"/>
  <c r="K56" i="9"/>
  <c r="J56" i="9"/>
  <c r="M55" i="9"/>
  <c r="L55" i="9"/>
  <c r="K55" i="9"/>
  <c r="J55" i="9"/>
  <c r="M54" i="9"/>
  <c r="L54" i="9"/>
  <c r="K54" i="9"/>
  <c r="J54" i="9"/>
  <c r="M53" i="9"/>
  <c r="L53" i="9"/>
  <c r="K53" i="9"/>
  <c r="J53" i="9"/>
  <c r="M52" i="9"/>
  <c r="L52" i="9"/>
  <c r="K52" i="9"/>
  <c r="J52" i="9"/>
  <c r="M51" i="9"/>
  <c r="L51" i="9"/>
  <c r="K51" i="9"/>
  <c r="J51" i="9"/>
  <c r="M50" i="9"/>
  <c r="L50" i="9"/>
  <c r="K50" i="9"/>
  <c r="J50" i="9"/>
  <c r="M49" i="9"/>
  <c r="L49" i="9"/>
  <c r="K49" i="9"/>
  <c r="J49" i="9"/>
  <c r="M48" i="9"/>
  <c r="L48" i="9"/>
  <c r="K48" i="9"/>
  <c r="J48" i="9"/>
  <c r="M47" i="9"/>
  <c r="L47" i="9"/>
  <c r="K47" i="9"/>
  <c r="J47" i="9"/>
  <c r="M46" i="9"/>
  <c r="L46" i="9"/>
  <c r="K46" i="9"/>
  <c r="J46" i="9"/>
  <c r="M45" i="9"/>
  <c r="L45" i="9"/>
  <c r="K45" i="9"/>
  <c r="J45" i="9"/>
  <c r="M44" i="9"/>
  <c r="L44" i="9"/>
  <c r="K44" i="9"/>
  <c r="J44" i="9"/>
  <c r="M43" i="9"/>
  <c r="L43" i="9"/>
  <c r="K43" i="9"/>
  <c r="J43" i="9"/>
  <c r="M42" i="9"/>
  <c r="L42" i="9"/>
  <c r="K42" i="9"/>
  <c r="J42" i="9"/>
  <c r="M41" i="9"/>
  <c r="L41" i="9"/>
  <c r="K41" i="9"/>
  <c r="J41" i="9"/>
  <c r="M40" i="9"/>
  <c r="L40" i="9"/>
  <c r="K40" i="9"/>
  <c r="J40" i="9"/>
  <c r="M39" i="9"/>
  <c r="L39" i="9"/>
  <c r="K39" i="9"/>
  <c r="J39" i="9"/>
  <c r="M38" i="9"/>
  <c r="L38" i="9"/>
  <c r="K38" i="9"/>
  <c r="J38" i="9"/>
  <c r="M37" i="9"/>
  <c r="L37" i="9"/>
  <c r="K37" i="9"/>
  <c r="J37" i="9"/>
  <c r="M36" i="9"/>
  <c r="L36" i="9"/>
  <c r="K36" i="9"/>
  <c r="J36" i="9"/>
  <c r="M35" i="9"/>
  <c r="L35" i="9"/>
  <c r="K35" i="9"/>
  <c r="J35" i="9"/>
  <c r="M34" i="9"/>
  <c r="L34" i="9"/>
  <c r="K34" i="9"/>
  <c r="J34" i="9"/>
  <c r="M33" i="9"/>
  <c r="L33" i="9"/>
  <c r="K33" i="9"/>
  <c r="J33" i="9"/>
  <c r="M32" i="9"/>
  <c r="L32" i="9"/>
  <c r="K32" i="9"/>
  <c r="J32" i="9"/>
  <c r="M31" i="9"/>
  <c r="L31" i="9"/>
  <c r="K31" i="9"/>
  <c r="J31" i="9"/>
  <c r="M30" i="9"/>
  <c r="L30" i="9"/>
  <c r="K30" i="9"/>
  <c r="J30" i="9"/>
  <c r="M29" i="9"/>
  <c r="L29" i="9"/>
  <c r="K29" i="9"/>
  <c r="J29" i="9"/>
  <c r="M28" i="9"/>
  <c r="L28" i="9"/>
  <c r="K28" i="9"/>
  <c r="J28" i="9"/>
  <c r="M27" i="9"/>
  <c r="L27" i="9"/>
  <c r="K27" i="9"/>
  <c r="J27" i="9"/>
  <c r="M26" i="9"/>
  <c r="L26" i="9"/>
  <c r="K26" i="9"/>
  <c r="J26" i="9"/>
  <c r="M25" i="9"/>
  <c r="L25" i="9"/>
  <c r="K25" i="9"/>
  <c r="J25" i="9"/>
  <c r="M24" i="9"/>
  <c r="L24" i="9"/>
  <c r="K24" i="9"/>
  <c r="J24" i="9"/>
  <c r="M23" i="9"/>
  <c r="L23" i="9"/>
  <c r="K23" i="9"/>
  <c r="J23" i="9"/>
  <c r="M22" i="9"/>
  <c r="L22" i="9"/>
  <c r="K22" i="9"/>
  <c r="J22" i="9"/>
  <c r="M21" i="9"/>
  <c r="L21" i="9"/>
  <c r="K21" i="9"/>
  <c r="J21" i="9"/>
  <c r="M20" i="9"/>
  <c r="L20" i="9"/>
  <c r="K20" i="9"/>
  <c r="J20" i="9"/>
  <c r="M19" i="9"/>
  <c r="L19" i="9"/>
  <c r="K19" i="9"/>
  <c r="J19" i="9"/>
  <c r="M18" i="9"/>
  <c r="L18" i="9"/>
  <c r="K18" i="9"/>
  <c r="J18" i="9"/>
  <c r="M17" i="9"/>
  <c r="L17" i="9"/>
  <c r="K17" i="9"/>
  <c r="J17" i="9"/>
  <c r="M16" i="9"/>
  <c r="L16" i="9"/>
  <c r="K16" i="9"/>
  <c r="J16" i="9"/>
  <c r="M15" i="9"/>
  <c r="L15" i="9"/>
  <c r="K15" i="9"/>
  <c r="J15" i="9"/>
  <c r="M14" i="9"/>
  <c r="L14" i="9"/>
  <c r="K14" i="9"/>
  <c r="J14" i="9"/>
  <c r="M13" i="9"/>
  <c r="L13" i="9"/>
  <c r="K13" i="9"/>
  <c r="J13" i="9"/>
  <c r="M12" i="9"/>
  <c r="L12" i="9"/>
  <c r="K12" i="9"/>
  <c r="J12" i="9"/>
  <c r="M11" i="9"/>
  <c r="L11" i="9"/>
  <c r="K11" i="9"/>
  <c r="J11" i="9"/>
  <c r="M10" i="9"/>
  <c r="M202" i="9" s="1"/>
  <c r="L10" i="9"/>
  <c r="L202" i="9" s="1"/>
  <c r="K10" i="9"/>
  <c r="K202" i="9" s="1"/>
  <c r="J10" i="9"/>
  <c r="J202" i="9" s="1"/>
  <c r="I202" i="8"/>
  <c r="H202" i="8"/>
  <c r="G202" i="8"/>
  <c r="F202" i="8"/>
  <c r="E202" i="8"/>
  <c r="D202" i="8"/>
  <c r="C202" i="8"/>
  <c r="B202" i="8"/>
  <c r="M201" i="8"/>
  <c r="L201" i="8"/>
  <c r="K201" i="8"/>
  <c r="J201" i="8"/>
  <c r="M200" i="8"/>
  <c r="L200" i="8"/>
  <c r="K200" i="8"/>
  <c r="J200" i="8"/>
  <c r="M199" i="8"/>
  <c r="L199" i="8"/>
  <c r="K199" i="8"/>
  <c r="J199" i="8"/>
  <c r="M198" i="8"/>
  <c r="L198" i="8"/>
  <c r="K198" i="8"/>
  <c r="J198" i="8"/>
  <c r="M197" i="8"/>
  <c r="L197" i="8"/>
  <c r="K197" i="8"/>
  <c r="J197" i="8"/>
  <c r="M196" i="8"/>
  <c r="L196" i="8"/>
  <c r="K196" i="8"/>
  <c r="J196" i="8"/>
  <c r="M195" i="8"/>
  <c r="L195" i="8"/>
  <c r="K195" i="8"/>
  <c r="J195" i="8"/>
  <c r="M194" i="8"/>
  <c r="L194" i="8"/>
  <c r="K194" i="8"/>
  <c r="J194" i="8"/>
  <c r="M193" i="8"/>
  <c r="L193" i="8"/>
  <c r="K193" i="8"/>
  <c r="J193" i="8"/>
  <c r="M192" i="8"/>
  <c r="L192" i="8"/>
  <c r="K192" i="8"/>
  <c r="J192" i="8"/>
  <c r="M191" i="8"/>
  <c r="L191" i="8"/>
  <c r="K191" i="8"/>
  <c r="J191" i="8"/>
  <c r="M190" i="8"/>
  <c r="L190" i="8"/>
  <c r="K190" i="8"/>
  <c r="J190" i="8"/>
  <c r="M189" i="8"/>
  <c r="L189" i="8"/>
  <c r="K189" i="8"/>
  <c r="J189" i="8"/>
  <c r="M188" i="8"/>
  <c r="L188" i="8"/>
  <c r="K188" i="8"/>
  <c r="J188" i="8"/>
  <c r="M187" i="8"/>
  <c r="L187" i="8"/>
  <c r="K187" i="8"/>
  <c r="J187" i="8"/>
  <c r="M186" i="8"/>
  <c r="L186" i="8"/>
  <c r="K186" i="8"/>
  <c r="J186" i="8"/>
  <c r="M185" i="8"/>
  <c r="L185" i="8"/>
  <c r="K185" i="8"/>
  <c r="J185" i="8"/>
  <c r="M184" i="8"/>
  <c r="L184" i="8"/>
  <c r="K184" i="8"/>
  <c r="J184" i="8"/>
  <c r="M183" i="8"/>
  <c r="L183" i="8"/>
  <c r="K183" i="8"/>
  <c r="J183" i="8"/>
  <c r="M182" i="8"/>
  <c r="L182" i="8"/>
  <c r="K182" i="8"/>
  <c r="J182" i="8"/>
  <c r="M181" i="8"/>
  <c r="L181" i="8"/>
  <c r="K181" i="8"/>
  <c r="J181" i="8"/>
  <c r="M180" i="8"/>
  <c r="L180" i="8"/>
  <c r="K180" i="8"/>
  <c r="J180" i="8"/>
  <c r="M179" i="8"/>
  <c r="L179" i="8"/>
  <c r="K179" i="8"/>
  <c r="J179" i="8"/>
  <c r="M178" i="8"/>
  <c r="L178" i="8"/>
  <c r="K178" i="8"/>
  <c r="J178" i="8"/>
  <c r="M177" i="8"/>
  <c r="L177" i="8"/>
  <c r="K177" i="8"/>
  <c r="J177" i="8"/>
  <c r="M176" i="8"/>
  <c r="L176" i="8"/>
  <c r="K176" i="8"/>
  <c r="J176" i="8"/>
  <c r="M175" i="8"/>
  <c r="L175" i="8"/>
  <c r="K175" i="8"/>
  <c r="J175" i="8"/>
  <c r="M174" i="8"/>
  <c r="L174" i="8"/>
  <c r="K174" i="8"/>
  <c r="J174" i="8"/>
  <c r="M173" i="8"/>
  <c r="L173" i="8"/>
  <c r="K173" i="8"/>
  <c r="J173" i="8"/>
  <c r="M172" i="8"/>
  <c r="L172" i="8"/>
  <c r="K172" i="8"/>
  <c r="J172" i="8"/>
  <c r="M171" i="8"/>
  <c r="L171" i="8"/>
  <c r="K171" i="8"/>
  <c r="J171" i="8"/>
  <c r="M170" i="8"/>
  <c r="L170" i="8"/>
  <c r="K170" i="8"/>
  <c r="J170" i="8"/>
  <c r="M169" i="8"/>
  <c r="L169" i="8"/>
  <c r="K169" i="8"/>
  <c r="J169" i="8"/>
  <c r="M168" i="8"/>
  <c r="L168" i="8"/>
  <c r="K168" i="8"/>
  <c r="J168" i="8"/>
  <c r="M167" i="8"/>
  <c r="L167" i="8"/>
  <c r="K167" i="8"/>
  <c r="J167" i="8"/>
  <c r="M166" i="8"/>
  <c r="L166" i="8"/>
  <c r="K166" i="8"/>
  <c r="J166" i="8"/>
  <c r="M165" i="8"/>
  <c r="L165" i="8"/>
  <c r="K165" i="8"/>
  <c r="J165" i="8"/>
  <c r="M164" i="8"/>
  <c r="L164" i="8"/>
  <c r="K164" i="8"/>
  <c r="J164" i="8"/>
  <c r="M163" i="8"/>
  <c r="L163" i="8"/>
  <c r="K163" i="8"/>
  <c r="J163" i="8"/>
  <c r="M162" i="8"/>
  <c r="L162" i="8"/>
  <c r="K162" i="8"/>
  <c r="J162" i="8"/>
  <c r="M161" i="8"/>
  <c r="L161" i="8"/>
  <c r="K161" i="8"/>
  <c r="J161" i="8"/>
  <c r="M160" i="8"/>
  <c r="L160" i="8"/>
  <c r="K160" i="8"/>
  <c r="J160" i="8"/>
  <c r="M159" i="8"/>
  <c r="L159" i="8"/>
  <c r="K159" i="8"/>
  <c r="J159" i="8"/>
  <c r="M158" i="8"/>
  <c r="L158" i="8"/>
  <c r="K158" i="8"/>
  <c r="J158" i="8"/>
  <c r="M157" i="8"/>
  <c r="L157" i="8"/>
  <c r="K157" i="8"/>
  <c r="J157" i="8"/>
  <c r="M156" i="8"/>
  <c r="L156" i="8"/>
  <c r="K156" i="8"/>
  <c r="J156" i="8"/>
  <c r="M155" i="8"/>
  <c r="L155" i="8"/>
  <c r="K155" i="8"/>
  <c r="J155" i="8"/>
  <c r="M154" i="8"/>
  <c r="L154" i="8"/>
  <c r="K154" i="8"/>
  <c r="J154" i="8"/>
  <c r="M153" i="8"/>
  <c r="L153" i="8"/>
  <c r="K153" i="8"/>
  <c r="J153" i="8"/>
  <c r="M152" i="8"/>
  <c r="L152" i="8"/>
  <c r="K152" i="8"/>
  <c r="J152" i="8"/>
  <c r="M151" i="8"/>
  <c r="L151" i="8"/>
  <c r="K151" i="8"/>
  <c r="J151" i="8"/>
  <c r="M150" i="8"/>
  <c r="L150" i="8"/>
  <c r="K150" i="8"/>
  <c r="J150" i="8"/>
  <c r="M149" i="8"/>
  <c r="L149" i="8"/>
  <c r="K149" i="8"/>
  <c r="J149" i="8"/>
  <c r="M148" i="8"/>
  <c r="L148" i="8"/>
  <c r="K148" i="8"/>
  <c r="J148" i="8"/>
  <c r="M147" i="8"/>
  <c r="L147" i="8"/>
  <c r="K147" i="8"/>
  <c r="J147" i="8"/>
  <c r="M146" i="8"/>
  <c r="L146" i="8"/>
  <c r="K146" i="8"/>
  <c r="J146" i="8"/>
  <c r="M145" i="8"/>
  <c r="L145" i="8"/>
  <c r="K145" i="8"/>
  <c r="J145" i="8"/>
  <c r="M144" i="8"/>
  <c r="L144" i="8"/>
  <c r="K144" i="8"/>
  <c r="J144" i="8"/>
  <c r="M143" i="8"/>
  <c r="L143" i="8"/>
  <c r="K143" i="8"/>
  <c r="J143" i="8"/>
  <c r="M142" i="8"/>
  <c r="L142" i="8"/>
  <c r="K142" i="8"/>
  <c r="J142" i="8"/>
  <c r="M141" i="8"/>
  <c r="L141" i="8"/>
  <c r="K141" i="8"/>
  <c r="J141" i="8"/>
  <c r="M140" i="8"/>
  <c r="L140" i="8"/>
  <c r="K140" i="8"/>
  <c r="J140" i="8"/>
  <c r="M139" i="8"/>
  <c r="L139" i="8"/>
  <c r="K139" i="8"/>
  <c r="J139" i="8"/>
  <c r="M138" i="8"/>
  <c r="L138" i="8"/>
  <c r="K138" i="8"/>
  <c r="J138" i="8"/>
  <c r="M137" i="8"/>
  <c r="L137" i="8"/>
  <c r="K137" i="8"/>
  <c r="J137" i="8"/>
  <c r="M136" i="8"/>
  <c r="L136" i="8"/>
  <c r="K136" i="8"/>
  <c r="J136" i="8"/>
  <c r="M135" i="8"/>
  <c r="L135" i="8"/>
  <c r="K135" i="8"/>
  <c r="J135" i="8"/>
  <c r="M134" i="8"/>
  <c r="L134" i="8"/>
  <c r="K134" i="8"/>
  <c r="J134" i="8"/>
  <c r="M133" i="8"/>
  <c r="L133" i="8"/>
  <c r="K133" i="8"/>
  <c r="J133" i="8"/>
  <c r="M132" i="8"/>
  <c r="L132" i="8"/>
  <c r="K132" i="8"/>
  <c r="J132" i="8"/>
  <c r="M131" i="8"/>
  <c r="L131" i="8"/>
  <c r="K131" i="8"/>
  <c r="J131" i="8"/>
  <c r="M130" i="8"/>
  <c r="L130" i="8"/>
  <c r="K130" i="8"/>
  <c r="J130" i="8"/>
  <c r="M129" i="8"/>
  <c r="L129" i="8"/>
  <c r="K129" i="8"/>
  <c r="J129" i="8"/>
  <c r="M128" i="8"/>
  <c r="L128" i="8"/>
  <c r="K128" i="8"/>
  <c r="J128" i="8"/>
  <c r="M127" i="8"/>
  <c r="L127" i="8"/>
  <c r="K127" i="8"/>
  <c r="J127" i="8"/>
  <c r="M126" i="8"/>
  <c r="L126" i="8"/>
  <c r="K126" i="8"/>
  <c r="J126" i="8"/>
  <c r="M125" i="8"/>
  <c r="L125" i="8"/>
  <c r="K125" i="8"/>
  <c r="J125" i="8"/>
  <c r="M124" i="8"/>
  <c r="L124" i="8"/>
  <c r="K124" i="8"/>
  <c r="J124" i="8"/>
  <c r="M123" i="8"/>
  <c r="L123" i="8"/>
  <c r="K123" i="8"/>
  <c r="J123" i="8"/>
  <c r="M122" i="8"/>
  <c r="L122" i="8"/>
  <c r="K122" i="8"/>
  <c r="J122" i="8"/>
  <c r="M121" i="8"/>
  <c r="L121" i="8"/>
  <c r="K121" i="8"/>
  <c r="J121" i="8"/>
  <c r="M120" i="8"/>
  <c r="L120" i="8"/>
  <c r="K120" i="8"/>
  <c r="J120" i="8"/>
  <c r="M119" i="8"/>
  <c r="L119" i="8"/>
  <c r="K119" i="8"/>
  <c r="J119" i="8"/>
  <c r="M118" i="8"/>
  <c r="L118" i="8"/>
  <c r="K118" i="8"/>
  <c r="J118" i="8"/>
  <c r="M117" i="8"/>
  <c r="L117" i="8"/>
  <c r="K117" i="8"/>
  <c r="J117" i="8"/>
  <c r="M116" i="8"/>
  <c r="L116" i="8"/>
  <c r="K116" i="8"/>
  <c r="J116" i="8"/>
  <c r="M115" i="8"/>
  <c r="L115" i="8"/>
  <c r="K115" i="8"/>
  <c r="J115" i="8"/>
  <c r="M114" i="8"/>
  <c r="L114" i="8"/>
  <c r="K114" i="8"/>
  <c r="J114" i="8"/>
  <c r="M113" i="8"/>
  <c r="L113" i="8"/>
  <c r="K113" i="8"/>
  <c r="J113" i="8"/>
  <c r="M112" i="8"/>
  <c r="L112" i="8"/>
  <c r="K112" i="8"/>
  <c r="J112" i="8"/>
  <c r="M111" i="8"/>
  <c r="L111" i="8"/>
  <c r="K111" i="8"/>
  <c r="J111" i="8"/>
  <c r="M110" i="8"/>
  <c r="L110" i="8"/>
  <c r="K110" i="8"/>
  <c r="J110" i="8"/>
  <c r="M109" i="8"/>
  <c r="L109" i="8"/>
  <c r="K109" i="8"/>
  <c r="J109" i="8"/>
  <c r="M108" i="8"/>
  <c r="L108" i="8"/>
  <c r="K108" i="8"/>
  <c r="J108" i="8"/>
  <c r="M107" i="8"/>
  <c r="L107" i="8"/>
  <c r="K107" i="8"/>
  <c r="J107" i="8"/>
  <c r="M106" i="8"/>
  <c r="L106" i="8"/>
  <c r="K106" i="8"/>
  <c r="J106" i="8"/>
  <c r="M105" i="8"/>
  <c r="L105" i="8"/>
  <c r="K105" i="8"/>
  <c r="J105" i="8"/>
  <c r="M104" i="8"/>
  <c r="L104" i="8"/>
  <c r="K104" i="8"/>
  <c r="J104" i="8"/>
  <c r="M103" i="8"/>
  <c r="L103" i="8"/>
  <c r="K103" i="8"/>
  <c r="J103" i="8"/>
  <c r="M102" i="8"/>
  <c r="L102" i="8"/>
  <c r="K102" i="8"/>
  <c r="J102" i="8"/>
  <c r="M101" i="8"/>
  <c r="L101" i="8"/>
  <c r="K101" i="8"/>
  <c r="J101" i="8"/>
  <c r="M100" i="8"/>
  <c r="L100" i="8"/>
  <c r="K100" i="8"/>
  <c r="J100" i="8"/>
  <c r="M99" i="8"/>
  <c r="L99" i="8"/>
  <c r="K99" i="8"/>
  <c r="J99" i="8"/>
  <c r="M98" i="8"/>
  <c r="L98" i="8"/>
  <c r="K98" i="8"/>
  <c r="J98" i="8"/>
  <c r="M97" i="8"/>
  <c r="L97" i="8"/>
  <c r="K97" i="8"/>
  <c r="J97" i="8"/>
  <c r="M96" i="8"/>
  <c r="L96" i="8"/>
  <c r="K96" i="8"/>
  <c r="J96" i="8"/>
  <c r="M95" i="8"/>
  <c r="L95" i="8"/>
  <c r="K95" i="8"/>
  <c r="J95" i="8"/>
  <c r="M94" i="8"/>
  <c r="L94" i="8"/>
  <c r="K94" i="8"/>
  <c r="J94" i="8"/>
  <c r="M93" i="8"/>
  <c r="L93" i="8"/>
  <c r="K93" i="8"/>
  <c r="J93" i="8"/>
  <c r="M92" i="8"/>
  <c r="L92" i="8"/>
  <c r="K92" i="8"/>
  <c r="J92" i="8"/>
  <c r="M91" i="8"/>
  <c r="L91" i="8"/>
  <c r="K91" i="8"/>
  <c r="J91" i="8"/>
  <c r="M90" i="8"/>
  <c r="L90" i="8"/>
  <c r="K90" i="8"/>
  <c r="J90" i="8"/>
  <c r="M89" i="8"/>
  <c r="L89" i="8"/>
  <c r="K89" i="8"/>
  <c r="J89" i="8"/>
  <c r="M88" i="8"/>
  <c r="L88" i="8"/>
  <c r="K88" i="8"/>
  <c r="J88" i="8"/>
  <c r="M87" i="8"/>
  <c r="L87" i="8"/>
  <c r="K87" i="8"/>
  <c r="J87" i="8"/>
  <c r="M86" i="8"/>
  <c r="L86" i="8"/>
  <c r="K86" i="8"/>
  <c r="J86" i="8"/>
  <c r="M85" i="8"/>
  <c r="L85" i="8"/>
  <c r="K85" i="8"/>
  <c r="J85" i="8"/>
  <c r="M84" i="8"/>
  <c r="L84" i="8"/>
  <c r="K84" i="8"/>
  <c r="J84" i="8"/>
  <c r="M83" i="8"/>
  <c r="L83" i="8"/>
  <c r="K83" i="8"/>
  <c r="J83" i="8"/>
  <c r="M82" i="8"/>
  <c r="L82" i="8"/>
  <c r="K82" i="8"/>
  <c r="J82" i="8"/>
  <c r="M81" i="8"/>
  <c r="L81" i="8"/>
  <c r="K81" i="8"/>
  <c r="J81" i="8"/>
  <c r="M80" i="8"/>
  <c r="L80" i="8"/>
  <c r="K80" i="8"/>
  <c r="J80" i="8"/>
  <c r="M79" i="8"/>
  <c r="L79" i="8"/>
  <c r="K79" i="8"/>
  <c r="J79" i="8"/>
  <c r="M78" i="8"/>
  <c r="L78" i="8"/>
  <c r="K78" i="8"/>
  <c r="J78" i="8"/>
  <c r="M77" i="8"/>
  <c r="L77" i="8"/>
  <c r="K77" i="8"/>
  <c r="J77" i="8"/>
  <c r="M76" i="8"/>
  <c r="L76" i="8"/>
  <c r="K76" i="8"/>
  <c r="J76" i="8"/>
  <c r="M75" i="8"/>
  <c r="L75" i="8"/>
  <c r="K75" i="8"/>
  <c r="J75" i="8"/>
  <c r="M74" i="8"/>
  <c r="L74" i="8"/>
  <c r="K74" i="8"/>
  <c r="J74" i="8"/>
  <c r="M73" i="8"/>
  <c r="L73" i="8"/>
  <c r="K73" i="8"/>
  <c r="J73" i="8"/>
  <c r="M72" i="8"/>
  <c r="L72" i="8"/>
  <c r="K72" i="8"/>
  <c r="J72" i="8"/>
  <c r="M71" i="8"/>
  <c r="L71" i="8"/>
  <c r="K71" i="8"/>
  <c r="J71" i="8"/>
  <c r="M70" i="8"/>
  <c r="L70" i="8"/>
  <c r="K70" i="8"/>
  <c r="J70" i="8"/>
  <c r="M69" i="8"/>
  <c r="L69" i="8"/>
  <c r="K69" i="8"/>
  <c r="J69" i="8"/>
  <c r="M68" i="8"/>
  <c r="L68" i="8"/>
  <c r="K68" i="8"/>
  <c r="J68" i="8"/>
  <c r="M67" i="8"/>
  <c r="L67" i="8"/>
  <c r="K67" i="8"/>
  <c r="J67" i="8"/>
  <c r="M66" i="8"/>
  <c r="L66" i="8"/>
  <c r="K66" i="8"/>
  <c r="J66" i="8"/>
  <c r="M65" i="8"/>
  <c r="L65" i="8"/>
  <c r="K65" i="8"/>
  <c r="J65" i="8"/>
  <c r="M64" i="8"/>
  <c r="L64" i="8"/>
  <c r="K64" i="8"/>
  <c r="J64" i="8"/>
  <c r="M63" i="8"/>
  <c r="L63" i="8"/>
  <c r="K63" i="8"/>
  <c r="J63" i="8"/>
  <c r="M62" i="8"/>
  <c r="L62" i="8"/>
  <c r="K62" i="8"/>
  <c r="J62" i="8"/>
  <c r="M61" i="8"/>
  <c r="L61" i="8"/>
  <c r="K61" i="8"/>
  <c r="J61" i="8"/>
  <c r="M60" i="8"/>
  <c r="L60" i="8"/>
  <c r="K60" i="8"/>
  <c r="J60" i="8"/>
  <c r="M59" i="8"/>
  <c r="L59" i="8"/>
  <c r="K59" i="8"/>
  <c r="J59" i="8"/>
  <c r="M58" i="8"/>
  <c r="L58" i="8"/>
  <c r="K58" i="8"/>
  <c r="J58" i="8"/>
  <c r="M57" i="8"/>
  <c r="L57" i="8"/>
  <c r="K57" i="8"/>
  <c r="J57" i="8"/>
  <c r="M56" i="8"/>
  <c r="L56" i="8"/>
  <c r="K56" i="8"/>
  <c r="J56" i="8"/>
  <c r="M55" i="8"/>
  <c r="L55" i="8"/>
  <c r="K55" i="8"/>
  <c r="J55" i="8"/>
  <c r="M54" i="8"/>
  <c r="L54" i="8"/>
  <c r="K54" i="8"/>
  <c r="J54" i="8"/>
  <c r="M53" i="8"/>
  <c r="L53" i="8"/>
  <c r="K53" i="8"/>
  <c r="J53" i="8"/>
  <c r="M52" i="8"/>
  <c r="L52" i="8"/>
  <c r="K52" i="8"/>
  <c r="J52" i="8"/>
  <c r="M51" i="8"/>
  <c r="L51" i="8"/>
  <c r="K51" i="8"/>
  <c r="J51" i="8"/>
  <c r="M50" i="8"/>
  <c r="L50" i="8"/>
  <c r="K50" i="8"/>
  <c r="J50" i="8"/>
  <c r="M49" i="8"/>
  <c r="L49" i="8"/>
  <c r="K49" i="8"/>
  <c r="J49" i="8"/>
  <c r="M48" i="8"/>
  <c r="L48" i="8"/>
  <c r="K48" i="8"/>
  <c r="J48" i="8"/>
  <c r="M47" i="8"/>
  <c r="L47" i="8"/>
  <c r="K47" i="8"/>
  <c r="J47" i="8"/>
  <c r="M46" i="8"/>
  <c r="L46" i="8"/>
  <c r="K46" i="8"/>
  <c r="J46" i="8"/>
  <c r="M45" i="8"/>
  <c r="L45" i="8"/>
  <c r="K45" i="8"/>
  <c r="J45" i="8"/>
  <c r="M44" i="8"/>
  <c r="L44" i="8"/>
  <c r="K44" i="8"/>
  <c r="J44" i="8"/>
  <c r="M43" i="8"/>
  <c r="L43" i="8"/>
  <c r="K43" i="8"/>
  <c r="J43" i="8"/>
  <c r="M42" i="8"/>
  <c r="L42" i="8"/>
  <c r="K42" i="8"/>
  <c r="J42" i="8"/>
  <c r="M41" i="8"/>
  <c r="L41" i="8"/>
  <c r="K41" i="8"/>
  <c r="J41" i="8"/>
  <c r="M40" i="8"/>
  <c r="L40" i="8"/>
  <c r="K40" i="8"/>
  <c r="J40" i="8"/>
  <c r="M39" i="8"/>
  <c r="L39" i="8"/>
  <c r="K39" i="8"/>
  <c r="J39" i="8"/>
  <c r="M38" i="8"/>
  <c r="L38" i="8"/>
  <c r="K38" i="8"/>
  <c r="J38" i="8"/>
  <c r="M37" i="8"/>
  <c r="L37" i="8"/>
  <c r="K37" i="8"/>
  <c r="J37" i="8"/>
  <c r="M36" i="8"/>
  <c r="L36" i="8"/>
  <c r="K36" i="8"/>
  <c r="J36" i="8"/>
  <c r="M35" i="8"/>
  <c r="L35" i="8"/>
  <c r="K35" i="8"/>
  <c r="J35" i="8"/>
  <c r="M34" i="8"/>
  <c r="L34" i="8"/>
  <c r="K34" i="8"/>
  <c r="J34" i="8"/>
  <c r="M33" i="8"/>
  <c r="L33" i="8"/>
  <c r="K33" i="8"/>
  <c r="J33" i="8"/>
  <c r="M32" i="8"/>
  <c r="L32" i="8"/>
  <c r="K32" i="8"/>
  <c r="J32" i="8"/>
  <c r="M31" i="8"/>
  <c r="L31" i="8"/>
  <c r="K31" i="8"/>
  <c r="J31" i="8"/>
  <c r="M30" i="8"/>
  <c r="L30" i="8"/>
  <c r="K30" i="8"/>
  <c r="J30" i="8"/>
  <c r="M29" i="8"/>
  <c r="L29" i="8"/>
  <c r="K29" i="8"/>
  <c r="J29" i="8"/>
  <c r="M28" i="8"/>
  <c r="L28" i="8"/>
  <c r="K28" i="8"/>
  <c r="J28" i="8"/>
  <c r="M27" i="8"/>
  <c r="L27" i="8"/>
  <c r="K27" i="8"/>
  <c r="J27" i="8"/>
  <c r="M26" i="8"/>
  <c r="L26" i="8"/>
  <c r="K26" i="8"/>
  <c r="J26" i="8"/>
  <c r="M25" i="8"/>
  <c r="L25" i="8"/>
  <c r="K25" i="8"/>
  <c r="J25" i="8"/>
  <c r="M24" i="8"/>
  <c r="L24" i="8"/>
  <c r="K24" i="8"/>
  <c r="J24" i="8"/>
  <c r="M23" i="8"/>
  <c r="L23" i="8"/>
  <c r="K23" i="8"/>
  <c r="J23" i="8"/>
  <c r="M22" i="8"/>
  <c r="L22" i="8"/>
  <c r="K22" i="8"/>
  <c r="J22" i="8"/>
  <c r="M21" i="8"/>
  <c r="L21" i="8"/>
  <c r="K21" i="8"/>
  <c r="J21" i="8"/>
  <c r="M20" i="8"/>
  <c r="L20" i="8"/>
  <c r="K20" i="8"/>
  <c r="J20" i="8"/>
  <c r="M19" i="8"/>
  <c r="L19" i="8"/>
  <c r="K19" i="8"/>
  <c r="J19" i="8"/>
  <c r="M18" i="8"/>
  <c r="L18" i="8"/>
  <c r="K18" i="8"/>
  <c r="J18" i="8"/>
  <c r="M17" i="8"/>
  <c r="L17" i="8"/>
  <c r="K17" i="8"/>
  <c r="J17" i="8"/>
  <c r="M16" i="8"/>
  <c r="L16" i="8"/>
  <c r="K16" i="8"/>
  <c r="J16" i="8"/>
  <c r="M15" i="8"/>
  <c r="L15" i="8"/>
  <c r="K15" i="8"/>
  <c r="J15" i="8"/>
  <c r="M14" i="8"/>
  <c r="L14" i="8"/>
  <c r="K14" i="8"/>
  <c r="J14" i="8"/>
  <c r="M13" i="8"/>
  <c r="L13" i="8"/>
  <c r="K13" i="8"/>
  <c r="J13" i="8"/>
  <c r="M12" i="8"/>
  <c r="L12" i="8"/>
  <c r="K12" i="8"/>
  <c r="J12" i="8"/>
  <c r="M11" i="8"/>
  <c r="L11" i="8"/>
  <c r="K11" i="8"/>
  <c r="J11" i="8"/>
  <c r="M10" i="8"/>
  <c r="M202" i="8" s="1"/>
  <c r="L10" i="8"/>
  <c r="L202" i="8" s="1"/>
  <c r="K10" i="8"/>
  <c r="K202" i="8" s="1"/>
  <c r="J10" i="8"/>
  <c r="J202" i="8" s="1"/>
  <c r="I202" i="7"/>
  <c r="H202" i="7"/>
  <c r="G202" i="7"/>
  <c r="F202" i="7"/>
  <c r="E202" i="7"/>
  <c r="D202" i="7"/>
  <c r="C202" i="7"/>
  <c r="B202" i="7"/>
  <c r="M201" i="7"/>
  <c r="L201" i="7"/>
  <c r="K201" i="7"/>
  <c r="J201" i="7"/>
  <c r="M200" i="7"/>
  <c r="L200" i="7"/>
  <c r="K200" i="7"/>
  <c r="J200" i="7"/>
  <c r="M199" i="7"/>
  <c r="L199" i="7"/>
  <c r="K199" i="7"/>
  <c r="J199" i="7"/>
  <c r="M198" i="7"/>
  <c r="L198" i="7"/>
  <c r="K198" i="7"/>
  <c r="J198" i="7"/>
  <c r="M197" i="7"/>
  <c r="L197" i="7"/>
  <c r="K197" i="7"/>
  <c r="J197" i="7"/>
  <c r="M196" i="7"/>
  <c r="L196" i="7"/>
  <c r="K196" i="7"/>
  <c r="J196" i="7"/>
  <c r="M195" i="7"/>
  <c r="L195" i="7"/>
  <c r="K195" i="7"/>
  <c r="J195" i="7"/>
  <c r="M194" i="7"/>
  <c r="L194" i="7"/>
  <c r="K194" i="7"/>
  <c r="J194" i="7"/>
  <c r="M193" i="7"/>
  <c r="L193" i="7"/>
  <c r="K193" i="7"/>
  <c r="J193" i="7"/>
  <c r="M192" i="7"/>
  <c r="L192" i="7"/>
  <c r="K192" i="7"/>
  <c r="J192" i="7"/>
  <c r="M191" i="7"/>
  <c r="L191" i="7"/>
  <c r="K191" i="7"/>
  <c r="J191" i="7"/>
  <c r="M190" i="7"/>
  <c r="L190" i="7"/>
  <c r="K190" i="7"/>
  <c r="J190" i="7"/>
  <c r="M189" i="7"/>
  <c r="L189" i="7"/>
  <c r="K189" i="7"/>
  <c r="J189" i="7"/>
  <c r="M188" i="7"/>
  <c r="L188" i="7"/>
  <c r="K188" i="7"/>
  <c r="J188" i="7"/>
  <c r="M187" i="7"/>
  <c r="L187" i="7"/>
  <c r="K187" i="7"/>
  <c r="J187" i="7"/>
  <c r="M186" i="7"/>
  <c r="L186" i="7"/>
  <c r="K186" i="7"/>
  <c r="J186" i="7"/>
  <c r="M185" i="7"/>
  <c r="L185" i="7"/>
  <c r="K185" i="7"/>
  <c r="J185" i="7"/>
  <c r="M184" i="7"/>
  <c r="L184" i="7"/>
  <c r="K184" i="7"/>
  <c r="J184" i="7"/>
  <c r="M183" i="7"/>
  <c r="L183" i="7"/>
  <c r="K183" i="7"/>
  <c r="J183" i="7"/>
  <c r="M182" i="7"/>
  <c r="L182" i="7"/>
  <c r="K182" i="7"/>
  <c r="J182" i="7"/>
  <c r="M181" i="7"/>
  <c r="L181" i="7"/>
  <c r="K181" i="7"/>
  <c r="J181" i="7"/>
  <c r="M180" i="7"/>
  <c r="L180" i="7"/>
  <c r="K180" i="7"/>
  <c r="J180" i="7"/>
  <c r="M179" i="7"/>
  <c r="L179" i="7"/>
  <c r="K179" i="7"/>
  <c r="J179" i="7"/>
  <c r="M178" i="7"/>
  <c r="L178" i="7"/>
  <c r="K178" i="7"/>
  <c r="J178" i="7"/>
  <c r="M177" i="7"/>
  <c r="L177" i="7"/>
  <c r="K177" i="7"/>
  <c r="J177" i="7"/>
  <c r="M176" i="7"/>
  <c r="L176" i="7"/>
  <c r="K176" i="7"/>
  <c r="J176" i="7"/>
  <c r="M175" i="7"/>
  <c r="L175" i="7"/>
  <c r="K175" i="7"/>
  <c r="J175" i="7"/>
  <c r="M174" i="7"/>
  <c r="L174" i="7"/>
  <c r="K174" i="7"/>
  <c r="J174" i="7"/>
  <c r="M173" i="7"/>
  <c r="L173" i="7"/>
  <c r="K173" i="7"/>
  <c r="J173" i="7"/>
  <c r="M172" i="7"/>
  <c r="L172" i="7"/>
  <c r="K172" i="7"/>
  <c r="J172" i="7"/>
  <c r="M171" i="7"/>
  <c r="L171" i="7"/>
  <c r="K171" i="7"/>
  <c r="J171" i="7"/>
  <c r="M170" i="7"/>
  <c r="L170" i="7"/>
  <c r="K170" i="7"/>
  <c r="J170" i="7"/>
  <c r="M169" i="7"/>
  <c r="L169" i="7"/>
  <c r="K169" i="7"/>
  <c r="J169" i="7"/>
  <c r="M168" i="7"/>
  <c r="L168" i="7"/>
  <c r="K168" i="7"/>
  <c r="J168" i="7"/>
  <c r="M167" i="7"/>
  <c r="L167" i="7"/>
  <c r="K167" i="7"/>
  <c r="J167" i="7"/>
  <c r="M166" i="7"/>
  <c r="L166" i="7"/>
  <c r="K166" i="7"/>
  <c r="J166" i="7"/>
  <c r="M165" i="7"/>
  <c r="L165" i="7"/>
  <c r="K165" i="7"/>
  <c r="J165" i="7"/>
  <c r="M164" i="7"/>
  <c r="L164" i="7"/>
  <c r="K164" i="7"/>
  <c r="J164" i="7"/>
  <c r="M163" i="7"/>
  <c r="L163" i="7"/>
  <c r="K163" i="7"/>
  <c r="J163" i="7"/>
  <c r="M162" i="7"/>
  <c r="L162" i="7"/>
  <c r="K162" i="7"/>
  <c r="J162" i="7"/>
  <c r="M161" i="7"/>
  <c r="L161" i="7"/>
  <c r="K161" i="7"/>
  <c r="J161" i="7"/>
  <c r="M160" i="7"/>
  <c r="L160" i="7"/>
  <c r="K160" i="7"/>
  <c r="J160" i="7"/>
  <c r="M159" i="7"/>
  <c r="L159" i="7"/>
  <c r="K159" i="7"/>
  <c r="J159" i="7"/>
  <c r="M158" i="7"/>
  <c r="L158" i="7"/>
  <c r="K158" i="7"/>
  <c r="J158" i="7"/>
  <c r="M157" i="7"/>
  <c r="L157" i="7"/>
  <c r="K157" i="7"/>
  <c r="J157" i="7"/>
  <c r="M156" i="7"/>
  <c r="L156" i="7"/>
  <c r="K156" i="7"/>
  <c r="J156" i="7"/>
  <c r="M155" i="7"/>
  <c r="L155" i="7"/>
  <c r="K155" i="7"/>
  <c r="J155" i="7"/>
  <c r="M154" i="7"/>
  <c r="L154" i="7"/>
  <c r="K154" i="7"/>
  <c r="J154" i="7"/>
  <c r="M153" i="7"/>
  <c r="L153" i="7"/>
  <c r="K153" i="7"/>
  <c r="J153" i="7"/>
  <c r="M152" i="7"/>
  <c r="L152" i="7"/>
  <c r="K152" i="7"/>
  <c r="J152" i="7"/>
  <c r="M151" i="7"/>
  <c r="L151" i="7"/>
  <c r="K151" i="7"/>
  <c r="J151" i="7"/>
  <c r="M150" i="7"/>
  <c r="L150" i="7"/>
  <c r="K150" i="7"/>
  <c r="J150" i="7"/>
  <c r="M149" i="7"/>
  <c r="L149" i="7"/>
  <c r="K149" i="7"/>
  <c r="J149" i="7"/>
  <c r="M148" i="7"/>
  <c r="L148" i="7"/>
  <c r="K148" i="7"/>
  <c r="J148" i="7"/>
  <c r="M147" i="7"/>
  <c r="L147" i="7"/>
  <c r="K147" i="7"/>
  <c r="J147" i="7"/>
  <c r="M146" i="7"/>
  <c r="L146" i="7"/>
  <c r="K146" i="7"/>
  <c r="J146" i="7"/>
  <c r="M145" i="7"/>
  <c r="L145" i="7"/>
  <c r="K145" i="7"/>
  <c r="J145" i="7"/>
  <c r="M144" i="7"/>
  <c r="L144" i="7"/>
  <c r="K144" i="7"/>
  <c r="J144" i="7"/>
  <c r="M143" i="7"/>
  <c r="L143" i="7"/>
  <c r="K143" i="7"/>
  <c r="J143" i="7"/>
  <c r="M142" i="7"/>
  <c r="L142" i="7"/>
  <c r="K142" i="7"/>
  <c r="J142" i="7"/>
  <c r="M141" i="7"/>
  <c r="L141" i="7"/>
  <c r="K141" i="7"/>
  <c r="J141" i="7"/>
  <c r="M140" i="7"/>
  <c r="L140" i="7"/>
  <c r="K140" i="7"/>
  <c r="J140" i="7"/>
  <c r="M139" i="7"/>
  <c r="L139" i="7"/>
  <c r="K139" i="7"/>
  <c r="J139" i="7"/>
  <c r="M138" i="7"/>
  <c r="L138" i="7"/>
  <c r="K138" i="7"/>
  <c r="J138" i="7"/>
  <c r="M137" i="7"/>
  <c r="L137" i="7"/>
  <c r="K137" i="7"/>
  <c r="J137" i="7"/>
  <c r="M136" i="7"/>
  <c r="L136" i="7"/>
  <c r="K136" i="7"/>
  <c r="J136" i="7"/>
  <c r="M135" i="7"/>
  <c r="L135" i="7"/>
  <c r="K135" i="7"/>
  <c r="J135" i="7"/>
  <c r="M134" i="7"/>
  <c r="L134" i="7"/>
  <c r="K134" i="7"/>
  <c r="J134" i="7"/>
  <c r="M133" i="7"/>
  <c r="L133" i="7"/>
  <c r="K133" i="7"/>
  <c r="J133" i="7"/>
  <c r="M132" i="7"/>
  <c r="L132" i="7"/>
  <c r="K132" i="7"/>
  <c r="J132" i="7"/>
  <c r="M131" i="7"/>
  <c r="K131" i="7"/>
  <c r="J131" i="7"/>
  <c r="M130" i="7"/>
  <c r="L130" i="7"/>
  <c r="K130" i="7"/>
  <c r="J130" i="7"/>
  <c r="M129" i="7"/>
  <c r="L129" i="7"/>
  <c r="K129" i="7"/>
  <c r="J129" i="7"/>
  <c r="M128" i="7"/>
  <c r="L128" i="7"/>
  <c r="K128" i="7"/>
  <c r="J128" i="7"/>
  <c r="M127" i="7"/>
  <c r="L127" i="7"/>
  <c r="K127" i="7"/>
  <c r="J127" i="7"/>
  <c r="M126" i="7"/>
  <c r="L126" i="7"/>
  <c r="K126" i="7"/>
  <c r="J126" i="7"/>
  <c r="M125" i="7"/>
  <c r="L125" i="7"/>
  <c r="K125" i="7"/>
  <c r="J125" i="7"/>
  <c r="M124" i="7"/>
  <c r="L124" i="7"/>
  <c r="K124" i="7"/>
  <c r="J124" i="7"/>
  <c r="M123" i="7"/>
  <c r="L123" i="7"/>
  <c r="K123" i="7"/>
  <c r="J123" i="7"/>
  <c r="M122" i="7"/>
  <c r="L122" i="7"/>
  <c r="K122" i="7"/>
  <c r="J122" i="7"/>
  <c r="M121" i="7"/>
  <c r="L121" i="7"/>
  <c r="K121" i="7"/>
  <c r="J121" i="7"/>
  <c r="M120" i="7"/>
  <c r="L120" i="7"/>
  <c r="K120" i="7"/>
  <c r="J120" i="7"/>
  <c r="M119" i="7"/>
  <c r="L119" i="7"/>
  <c r="K119" i="7"/>
  <c r="J119" i="7"/>
  <c r="M118" i="7"/>
  <c r="L118" i="7"/>
  <c r="K118" i="7"/>
  <c r="J118" i="7"/>
  <c r="M117" i="7"/>
  <c r="L117" i="7"/>
  <c r="K117" i="7"/>
  <c r="J117" i="7"/>
  <c r="M116" i="7"/>
  <c r="L116" i="7"/>
  <c r="K116" i="7"/>
  <c r="J116" i="7"/>
  <c r="M115" i="7"/>
  <c r="L115" i="7"/>
  <c r="K115" i="7"/>
  <c r="J115" i="7"/>
  <c r="M114" i="7"/>
  <c r="L114" i="7"/>
  <c r="K114" i="7"/>
  <c r="J114" i="7"/>
  <c r="M113" i="7"/>
  <c r="L113" i="7"/>
  <c r="K113" i="7"/>
  <c r="J113" i="7"/>
  <c r="M112" i="7"/>
  <c r="L112" i="7"/>
  <c r="K112" i="7"/>
  <c r="J112" i="7"/>
  <c r="M111" i="7"/>
  <c r="L111" i="7"/>
  <c r="K111" i="7"/>
  <c r="J111" i="7"/>
  <c r="M110" i="7"/>
  <c r="L110" i="7"/>
  <c r="K110" i="7"/>
  <c r="J110" i="7"/>
  <c r="M109" i="7"/>
  <c r="L109" i="7"/>
  <c r="K109" i="7"/>
  <c r="J109" i="7"/>
  <c r="M108" i="7"/>
  <c r="L108" i="7"/>
  <c r="K108" i="7"/>
  <c r="J108" i="7"/>
  <c r="M107" i="7"/>
  <c r="L107" i="7"/>
  <c r="K107" i="7"/>
  <c r="J107" i="7"/>
  <c r="M106" i="7"/>
  <c r="L106" i="7"/>
  <c r="K106" i="7"/>
  <c r="J106" i="7"/>
  <c r="M105" i="7"/>
  <c r="L105" i="7"/>
  <c r="K105" i="7"/>
  <c r="J105" i="7"/>
  <c r="M104" i="7"/>
  <c r="L104" i="7"/>
  <c r="K104" i="7"/>
  <c r="J104" i="7"/>
  <c r="M103" i="7"/>
  <c r="L103" i="7"/>
  <c r="K103" i="7"/>
  <c r="J103" i="7"/>
  <c r="M102" i="7"/>
  <c r="L102" i="7"/>
  <c r="K102" i="7"/>
  <c r="J102" i="7"/>
  <c r="M101" i="7"/>
  <c r="L101" i="7"/>
  <c r="K101" i="7"/>
  <c r="J101" i="7"/>
  <c r="M100" i="7"/>
  <c r="L100" i="7"/>
  <c r="K100" i="7"/>
  <c r="J100" i="7"/>
  <c r="M99" i="7"/>
  <c r="L99" i="7"/>
  <c r="K99" i="7"/>
  <c r="J99" i="7"/>
  <c r="M98" i="7"/>
  <c r="L98" i="7"/>
  <c r="K98" i="7"/>
  <c r="J98" i="7"/>
  <c r="M97" i="7"/>
  <c r="L97" i="7"/>
  <c r="K97" i="7"/>
  <c r="J97" i="7"/>
  <c r="M96" i="7"/>
  <c r="L96" i="7"/>
  <c r="K96" i="7"/>
  <c r="J96" i="7"/>
  <c r="M95" i="7"/>
  <c r="L95" i="7"/>
  <c r="K95" i="7"/>
  <c r="J95" i="7"/>
  <c r="M94" i="7"/>
  <c r="L94" i="7"/>
  <c r="K94" i="7"/>
  <c r="J94" i="7"/>
  <c r="M93" i="7"/>
  <c r="L93" i="7"/>
  <c r="K93" i="7"/>
  <c r="J93" i="7"/>
  <c r="M92" i="7"/>
  <c r="L92" i="7"/>
  <c r="K92" i="7"/>
  <c r="J92" i="7"/>
  <c r="M91" i="7"/>
  <c r="L91" i="7"/>
  <c r="K91" i="7"/>
  <c r="J91" i="7"/>
  <c r="M90" i="7"/>
  <c r="L90" i="7"/>
  <c r="K90" i="7"/>
  <c r="J90" i="7"/>
  <c r="M89" i="7"/>
  <c r="L89" i="7"/>
  <c r="K89" i="7"/>
  <c r="J89" i="7"/>
  <c r="M88" i="7"/>
  <c r="L88" i="7"/>
  <c r="K88" i="7"/>
  <c r="J88" i="7"/>
  <c r="M87" i="7"/>
  <c r="L87" i="7"/>
  <c r="K87" i="7"/>
  <c r="J87" i="7"/>
  <c r="M86" i="7"/>
  <c r="L86" i="7"/>
  <c r="K86" i="7"/>
  <c r="J86" i="7"/>
  <c r="M85" i="7"/>
  <c r="L85" i="7"/>
  <c r="K85" i="7"/>
  <c r="J85" i="7"/>
  <c r="M84" i="7"/>
  <c r="L84" i="7"/>
  <c r="K84" i="7"/>
  <c r="J84" i="7"/>
  <c r="M83" i="7"/>
  <c r="L83" i="7"/>
  <c r="K83" i="7"/>
  <c r="J83" i="7"/>
  <c r="M82" i="7"/>
  <c r="L82" i="7"/>
  <c r="K82" i="7"/>
  <c r="J82" i="7"/>
  <c r="M81" i="7"/>
  <c r="L81" i="7"/>
  <c r="K81" i="7"/>
  <c r="J81" i="7"/>
  <c r="M80" i="7"/>
  <c r="L80" i="7"/>
  <c r="K80" i="7"/>
  <c r="J80" i="7"/>
  <c r="M79" i="7"/>
  <c r="L79" i="7"/>
  <c r="K79" i="7"/>
  <c r="J79" i="7"/>
  <c r="M78" i="7"/>
  <c r="L78" i="7"/>
  <c r="K78" i="7"/>
  <c r="J78" i="7"/>
  <c r="M77" i="7"/>
  <c r="L77" i="7"/>
  <c r="K77" i="7"/>
  <c r="J77" i="7"/>
  <c r="M76" i="7"/>
  <c r="L76" i="7"/>
  <c r="K76" i="7"/>
  <c r="J76" i="7"/>
  <c r="M75" i="7"/>
  <c r="L75" i="7"/>
  <c r="K75" i="7"/>
  <c r="J75" i="7"/>
  <c r="M74" i="7"/>
  <c r="L74" i="7"/>
  <c r="K74" i="7"/>
  <c r="J74" i="7"/>
  <c r="M73" i="7"/>
  <c r="L73" i="7"/>
  <c r="K73" i="7"/>
  <c r="J73" i="7"/>
  <c r="M72" i="7"/>
  <c r="L72" i="7"/>
  <c r="K72" i="7"/>
  <c r="J72" i="7"/>
  <c r="M71" i="7"/>
  <c r="L71" i="7"/>
  <c r="K71" i="7"/>
  <c r="J71" i="7"/>
  <c r="M70" i="7"/>
  <c r="L70" i="7"/>
  <c r="K70" i="7"/>
  <c r="J70" i="7"/>
  <c r="M69" i="7"/>
  <c r="L69" i="7"/>
  <c r="K69" i="7"/>
  <c r="J69" i="7"/>
  <c r="M68" i="7"/>
  <c r="L68" i="7"/>
  <c r="K68" i="7"/>
  <c r="J68" i="7"/>
  <c r="M67" i="7"/>
  <c r="L67" i="7"/>
  <c r="K67" i="7"/>
  <c r="J67" i="7"/>
  <c r="M66" i="7"/>
  <c r="L66" i="7"/>
  <c r="K66" i="7"/>
  <c r="J66" i="7"/>
  <c r="M65" i="7"/>
  <c r="L65" i="7"/>
  <c r="K65" i="7"/>
  <c r="J65" i="7"/>
  <c r="M64" i="7"/>
  <c r="L64" i="7"/>
  <c r="K64" i="7"/>
  <c r="J64" i="7"/>
  <c r="M63" i="7"/>
  <c r="L63" i="7"/>
  <c r="K63" i="7"/>
  <c r="J63" i="7"/>
  <c r="M62" i="7"/>
  <c r="L62" i="7"/>
  <c r="K62" i="7"/>
  <c r="J62" i="7"/>
  <c r="M61" i="7"/>
  <c r="L61" i="7"/>
  <c r="K61" i="7"/>
  <c r="J61" i="7"/>
  <c r="M60" i="7"/>
  <c r="L60" i="7"/>
  <c r="K60" i="7"/>
  <c r="J60" i="7"/>
  <c r="M59" i="7"/>
  <c r="L59" i="7"/>
  <c r="K59" i="7"/>
  <c r="J59" i="7"/>
  <c r="M58" i="7"/>
  <c r="L58" i="7"/>
  <c r="K58" i="7"/>
  <c r="J58" i="7"/>
  <c r="M57" i="7"/>
  <c r="L57" i="7"/>
  <c r="K57" i="7"/>
  <c r="J57" i="7"/>
  <c r="M56" i="7"/>
  <c r="L56" i="7"/>
  <c r="K56" i="7"/>
  <c r="J56" i="7"/>
  <c r="M55" i="7"/>
  <c r="L55" i="7"/>
  <c r="K55" i="7"/>
  <c r="J55" i="7"/>
  <c r="M54" i="7"/>
  <c r="L54" i="7"/>
  <c r="K54" i="7"/>
  <c r="J54" i="7"/>
  <c r="M53" i="7"/>
  <c r="L53" i="7"/>
  <c r="K53" i="7"/>
  <c r="J53" i="7"/>
  <c r="M52" i="7"/>
  <c r="L52" i="7"/>
  <c r="K52" i="7"/>
  <c r="J52" i="7"/>
  <c r="M51" i="7"/>
  <c r="L51" i="7"/>
  <c r="K51" i="7"/>
  <c r="J51" i="7"/>
  <c r="M50" i="7"/>
  <c r="L50" i="7"/>
  <c r="K50" i="7"/>
  <c r="J50" i="7"/>
  <c r="M49" i="7"/>
  <c r="L49" i="7"/>
  <c r="K49" i="7"/>
  <c r="J49" i="7"/>
  <c r="M48" i="7"/>
  <c r="L48" i="7"/>
  <c r="K48" i="7"/>
  <c r="J48" i="7"/>
  <c r="M47" i="7"/>
  <c r="L47" i="7"/>
  <c r="K47" i="7"/>
  <c r="J47" i="7"/>
  <c r="M46" i="7"/>
  <c r="L46" i="7"/>
  <c r="K46" i="7"/>
  <c r="J46" i="7"/>
  <c r="M45" i="7"/>
  <c r="L45" i="7"/>
  <c r="K45" i="7"/>
  <c r="J45" i="7"/>
  <c r="M44" i="7"/>
  <c r="L44" i="7"/>
  <c r="K44" i="7"/>
  <c r="J44" i="7"/>
  <c r="M43" i="7"/>
  <c r="L43" i="7"/>
  <c r="K43" i="7"/>
  <c r="J43" i="7"/>
  <c r="M42" i="7"/>
  <c r="L42" i="7"/>
  <c r="K42" i="7"/>
  <c r="J42" i="7"/>
  <c r="M41" i="7"/>
  <c r="L41" i="7"/>
  <c r="K41" i="7"/>
  <c r="J41" i="7"/>
  <c r="M40" i="7"/>
  <c r="L40" i="7"/>
  <c r="K40" i="7"/>
  <c r="J40" i="7"/>
  <c r="M39" i="7"/>
  <c r="L39" i="7"/>
  <c r="K39" i="7"/>
  <c r="J39" i="7"/>
  <c r="M38" i="7"/>
  <c r="L38" i="7"/>
  <c r="K38" i="7"/>
  <c r="J38" i="7"/>
  <c r="M37" i="7"/>
  <c r="L37" i="7"/>
  <c r="K37" i="7"/>
  <c r="J37" i="7"/>
  <c r="M36" i="7"/>
  <c r="L36" i="7"/>
  <c r="K36" i="7"/>
  <c r="J36" i="7"/>
  <c r="M35" i="7"/>
  <c r="L35" i="7"/>
  <c r="K35" i="7"/>
  <c r="J35" i="7"/>
  <c r="M34" i="7"/>
  <c r="L34" i="7"/>
  <c r="K34" i="7"/>
  <c r="J34" i="7"/>
  <c r="M33" i="7"/>
  <c r="L33" i="7"/>
  <c r="K33" i="7"/>
  <c r="J33" i="7"/>
  <c r="M32" i="7"/>
  <c r="L32" i="7"/>
  <c r="K32" i="7"/>
  <c r="J32" i="7"/>
  <c r="M31" i="7"/>
  <c r="L31" i="7"/>
  <c r="K31" i="7"/>
  <c r="J31" i="7"/>
  <c r="M30" i="7"/>
  <c r="L30" i="7"/>
  <c r="K30" i="7"/>
  <c r="J30" i="7"/>
  <c r="M29" i="7"/>
  <c r="L29" i="7"/>
  <c r="K29" i="7"/>
  <c r="J29" i="7"/>
  <c r="M28" i="7"/>
  <c r="L28" i="7"/>
  <c r="K28" i="7"/>
  <c r="J28" i="7"/>
  <c r="M27" i="7"/>
  <c r="L27" i="7"/>
  <c r="K27" i="7"/>
  <c r="J27" i="7"/>
  <c r="M26" i="7"/>
  <c r="L26" i="7"/>
  <c r="K26" i="7"/>
  <c r="J26" i="7"/>
  <c r="M25" i="7"/>
  <c r="L25" i="7"/>
  <c r="K25" i="7"/>
  <c r="J25" i="7"/>
  <c r="M24" i="7"/>
  <c r="L24" i="7"/>
  <c r="K24" i="7"/>
  <c r="J24" i="7"/>
  <c r="M23" i="7"/>
  <c r="L23" i="7"/>
  <c r="K23" i="7"/>
  <c r="J23" i="7"/>
  <c r="M22" i="7"/>
  <c r="L22" i="7"/>
  <c r="K22" i="7"/>
  <c r="J22" i="7"/>
  <c r="M21" i="7"/>
  <c r="L21" i="7"/>
  <c r="K21" i="7"/>
  <c r="J21" i="7"/>
  <c r="M20" i="7"/>
  <c r="L20" i="7"/>
  <c r="K20" i="7"/>
  <c r="J20" i="7"/>
  <c r="M19" i="7"/>
  <c r="L19" i="7"/>
  <c r="K19" i="7"/>
  <c r="J19" i="7"/>
  <c r="M18" i="7"/>
  <c r="L18" i="7"/>
  <c r="K18" i="7"/>
  <c r="J18" i="7"/>
  <c r="M17" i="7"/>
  <c r="L17" i="7"/>
  <c r="K17" i="7"/>
  <c r="J17" i="7"/>
  <c r="M16" i="7"/>
  <c r="L16" i="7"/>
  <c r="K16" i="7"/>
  <c r="J16" i="7"/>
  <c r="M15" i="7"/>
  <c r="L15" i="7"/>
  <c r="K15" i="7"/>
  <c r="J15" i="7"/>
  <c r="M14" i="7"/>
  <c r="L14" i="7"/>
  <c r="K14" i="7"/>
  <c r="J14" i="7"/>
  <c r="M13" i="7"/>
  <c r="L13" i="7"/>
  <c r="K13" i="7"/>
  <c r="J13" i="7"/>
  <c r="M12" i="7"/>
  <c r="L12" i="7"/>
  <c r="K12" i="7"/>
  <c r="J12" i="7"/>
  <c r="M11" i="7"/>
  <c r="L11" i="7"/>
  <c r="K11" i="7"/>
  <c r="J11" i="7"/>
  <c r="M10" i="7"/>
  <c r="M202" i="7" s="1"/>
  <c r="L10" i="7"/>
  <c r="L202" i="7" s="1"/>
  <c r="L205" i="7" s="1"/>
  <c r="K10" i="7"/>
  <c r="K202" i="7" s="1"/>
  <c r="J10" i="7"/>
  <c r="J202" i="7" s="1"/>
  <c r="I202" i="6"/>
  <c r="H202" i="6"/>
  <c r="G202" i="6"/>
  <c r="F202" i="6"/>
  <c r="E202" i="6"/>
  <c r="D202" i="6"/>
  <c r="C202" i="6"/>
  <c r="B202" i="6"/>
  <c r="M201" i="6"/>
  <c r="L201" i="6"/>
  <c r="K201" i="6"/>
  <c r="J201" i="6"/>
  <c r="M200" i="6"/>
  <c r="L200" i="6"/>
  <c r="K200" i="6"/>
  <c r="J200" i="6"/>
  <c r="M199" i="6"/>
  <c r="L199" i="6"/>
  <c r="K199" i="6"/>
  <c r="J199" i="6"/>
  <c r="M198" i="6"/>
  <c r="L198" i="6"/>
  <c r="K198" i="6"/>
  <c r="J198" i="6"/>
  <c r="M197" i="6"/>
  <c r="L197" i="6"/>
  <c r="K197" i="6"/>
  <c r="J197" i="6"/>
  <c r="M196" i="6"/>
  <c r="L196" i="6"/>
  <c r="K196" i="6"/>
  <c r="J196" i="6"/>
  <c r="M195" i="6"/>
  <c r="L195" i="6"/>
  <c r="K195" i="6"/>
  <c r="J195" i="6"/>
  <c r="M194" i="6"/>
  <c r="L194" i="6"/>
  <c r="K194" i="6"/>
  <c r="J194" i="6"/>
  <c r="M193" i="6"/>
  <c r="L193" i="6"/>
  <c r="K193" i="6"/>
  <c r="J193" i="6"/>
  <c r="M192" i="6"/>
  <c r="L192" i="6"/>
  <c r="K192" i="6"/>
  <c r="J192" i="6"/>
  <c r="M191" i="6"/>
  <c r="L191" i="6"/>
  <c r="K191" i="6"/>
  <c r="J191" i="6"/>
  <c r="M190" i="6"/>
  <c r="L190" i="6"/>
  <c r="K190" i="6"/>
  <c r="J190" i="6"/>
  <c r="M189" i="6"/>
  <c r="L189" i="6"/>
  <c r="K189" i="6"/>
  <c r="J189" i="6"/>
  <c r="M188" i="6"/>
  <c r="L188" i="6"/>
  <c r="K188" i="6"/>
  <c r="J188" i="6"/>
  <c r="M187" i="6"/>
  <c r="L187" i="6"/>
  <c r="K187" i="6"/>
  <c r="J187" i="6"/>
  <c r="M186" i="6"/>
  <c r="L186" i="6"/>
  <c r="K186" i="6"/>
  <c r="J186" i="6"/>
  <c r="M185" i="6"/>
  <c r="L185" i="6"/>
  <c r="K185" i="6"/>
  <c r="J185" i="6"/>
  <c r="M184" i="6"/>
  <c r="L184" i="6"/>
  <c r="K184" i="6"/>
  <c r="J184" i="6"/>
  <c r="M183" i="6"/>
  <c r="L183" i="6"/>
  <c r="K183" i="6"/>
  <c r="J183" i="6"/>
  <c r="M182" i="6"/>
  <c r="L182" i="6"/>
  <c r="K182" i="6"/>
  <c r="J182" i="6"/>
  <c r="M181" i="6"/>
  <c r="L181" i="6"/>
  <c r="K181" i="6"/>
  <c r="J181" i="6"/>
  <c r="M180" i="6"/>
  <c r="L180" i="6"/>
  <c r="K180" i="6"/>
  <c r="J180" i="6"/>
  <c r="M179" i="6"/>
  <c r="L179" i="6"/>
  <c r="K179" i="6"/>
  <c r="J179" i="6"/>
  <c r="M178" i="6"/>
  <c r="L178" i="6"/>
  <c r="K178" i="6"/>
  <c r="J178" i="6"/>
  <c r="M177" i="6"/>
  <c r="L177" i="6"/>
  <c r="K177" i="6"/>
  <c r="J177" i="6"/>
  <c r="M176" i="6"/>
  <c r="L176" i="6"/>
  <c r="K176" i="6"/>
  <c r="J176" i="6"/>
  <c r="M175" i="6"/>
  <c r="L175" i="6"/>
  <c r="K175" i="6"/>
  <c r="J175" i="6"/>
  <c r="M174" i="6"/>
  <c r="L174" i="6"/>
  <c r="K174" i="6"/>
  <c r="J174" i="6"/>
  <c r="M173" i="6"/>
  <c r="L173" i="6"/>
  <c r="K173" i="6"/>
  <c r="J173" i="6"/>
  <c r="M172" i="6"/>
  <c r="L172" i="6"/>
  <c r="K172" i="6"/>
  <c r="J172" i="6"/>
  <c r="M171" i="6"/>
  <c r="L171" i="6"/>
  <c r="K171" i="6"/>
  <c r="J171" i="6"/>
  <c r="M170" i="6"/>
  <c r="L170" i="6"/>
  <c r="K170" i="6"/>
  <c r="J170" i="6"/>
  <c r="M169" i="6"/>
  <c r="L169" i="6"/>
  <c r="K169" i="6"/>
  <c r="J169" i="6"/>
  <c r="M168" i="6"/>
  <c r="L168" i="6"/>
  <c r="K168" i="6"/>
  <c r="J168" i="6"/>
  <c r="M167" i="6"/>
  <c r="L167" i="6"/>
  <c r="K167" i="6"/>
  <c r="J167" i="6"/>
  <c r="M166" i="6"/>
  <c r="L166" i="6"/>
  <c r="K166" i="6"/>
  <c r="J166" i="6"/>
  <c r="M165" i="6"/>
  <c r="L165" i="6"/>
  <c r="K165" i="6"/>
  <c r="J165" i="6"/>
  <c r="M164" i="6"/>
  <c r="L164" i="6"/>
  <c r="K164" i="6"/>
  <c r="J164" i="6"/>
  <c r="M163" i="6"/>
  <c r="L163" i="6"/>
  <c r="K163" i="6"/>
  <c r="J163" i="6"/>
  <c r="M162" i="6"/>
  <c r="L162" i="6"/>
  <c r="K162" i="6"/>
  <c r="J162" i="6"/>
  <c r="M161" i="6"/>
  <c r="L161" i="6"/>
  <c r="K161" i="6"/>
  <c r="J161" i="6"/>
  <c r="M160" i="6"/>
  <c r="L160" i="6"/>
  <c r="K160" i="6"/>
  <c r="J160" i="6"/>
  <c r="M159" i="6"/>
  <c r="L159" i="6"/>
  <c r="K159" i="6"/>
  <c r="J159" i="6"/>
  <c r="M158" i="6"/>
  <c r="L158" i="6"/>
  <c r="K158" i="6"/>
  <c r="J158" i="6"/>
  <c r="M157" i="6"/>
  <c r="L157" i="6"/>
  <c r="K157" i="6"/>
  <c r="J157" i="6"/>
  <c r="M156" i="6"/>
  <c r="L156" i="6"/>
  <c r="K156" i="6"/>
  <c r="J156" i="6"/>
  <c r="M155" i="6"/>
  <c r="L155" i="6"/>
  <c r="K155" i="6"/>
  <c r="J155" i="6"/>
  <c r="M154" i="6"/>
  <c r="L154" i="6"/>
  <c r="K154" i="6"/>
  <c r="J154" i="6"/>
  <c r="M153" i="6"/>
  <c r="L153" i="6"/>
  <c r="K153" i="6"/>
  <c r="J153" i="6"/>
  <c r="M152" i="6"/>
  <c r="L152" i="6"/>
  <c r="K152" i="6"/>
  <c r="J152" i="6"/>
  <c r="M151" i="6"/>
  <c r="L151" i="6"/>
  <c r="K151" i="6"/>
  <c r="J151" i="6"/>
  <c r="M150" i="6"/>
  <c r="L150" i="6"/>
  <c r="K150" i="6"/>
  <c r="J150" i="6"/>
  <c r="M149" i="6"/>
  <c r="L149" i="6"/>
  <c r="K149" i="6"/>
  <c r="J149" i="6"/>
  <c r="M148" i="6"/>
  <c r="L148" i="6"/>
  <c r="K148" i="6"/>
  <c r="J148" i="6"/>
  <c r="M147" i="6"/>
  <c r="L147" i="6"/>
  <c r="K147" i="6"/>
  <c r="J147" i="6"/>
  <c r="M146" i="6"/>
  <c r="L146" i="6"/>
  <c r="K146" i="6"/>
  <c r="J146" i="6"/>
  <c r="M145" i="6"/>
  <c r="L145" i="6"/>
  <c r="K145" i="6"/>
  <c r="J145" i="6"/>
  <c r="M144" i="6"/>
  <c r="L144" i="6"/>
  <c r="K144" i="6"/>
  <c r="J144" i="6"/>
  <c r="M143" i="6"/>
  <c r="L143" i="6"/>
  <c r="K143" i="6"/>
  <c r="J143" i="6"/>
  <c r="M142" i="6"/>
  <c r="L142" i="6"/>
  <c r="K142" i="6"/>
  <c r="J142" i="6"/>
  <c r="M141" i="6"/>
  <c r="L141" i="6"/>
  <c r="K141" i="6"/>
  <c r="J141" i="6"/>
  <c r="M140" i="6"/>
  <c r="L140" i="6"/>
  <c r="K140" i="6"/>
  <c r="J140" i="6"/>
  <c r="M139" i="6"/>
  <c r="L139" i="6"/>
  <c r="K139" i="6"/>
  <c r="J139" i="6"/>
  <c r="M138" i="6"/>
  <c r="L138" i="6"/>
  <c r="K138" i="6"/>
  <c r="J138" i="6"/>
  <c r="M137" i="6"/>
  <c r="L137" i="6"/>
  <c r="K137" i="6"/>
  <c r="J137" i="6"/>
  <c r="M136" i="6"/>
  <c r="L136" i="6"/>
  <c r="K136" i="6"/>
  <c r="J136" i="6"/>
  <c r="M135" i="6"/>
  <c r="L135" i="6"/>
  <c r="K135" i="6"/>
  <c r="J135" i="6"/>
  <c r="M134" i="6"/>
  <c r="L134" i="6"/>
  <c r="K134" i="6"/>
  <c r="J134" i="6"/>
  <c r="M133" i="6"/>
  <c r="L133" i="6"/>
  <c r="K133" i="6"/>
  <c r="J133" i="6"/>
  <c r="M132" i="6"/>
  <c r="L132" i="6"/>
  <c r="K132" i="6"/>
  <c r="J132" i="6"/>
  <c r="M131" i="6"/>
  <c r="L131" i="6"/>
  <c r="K131" i="6"/>
  <c r="J131" i="6"/>
  <c r="M130" i="6"/>
  <c r="L130" i="6"/>
  <c r="K130" i="6"/>
  <c r="J130" i="6"/>
  <c r="M129" i="6"/>
  <c r="L129" i="6"/>
  <c r="K129" i="6"/>
  <c r="J129" i="6"/>
  <c r="M128" i="6"/>
  <c r="L128" i="6"/>
  <c r="K128" i="6"/>
  <c r="J128" i="6"/>
  <c r="M127" i="6"/>
  <c r="L127" i="6"/>
  <c r="K127" i="6"/>
  <c r="J127" i="6"/>
  <c r="M126" i="6"/>
  <c r="L126" i="6"/>
  <c r="K126" i="6"/>
  <c r="J126" i="6"/>
  <c r="M125" i="6"/>
  <c r="L125" i="6"/>
  <c r="K125" i="6"/>
  <c r="J125" i="6"/>
  <c r="M124" i="6"/>
  <c r="L124" i="6"/>
  <c r="K124" i="6"/>
  <c r="J124" i="6"/>
  <c r="M123" i="6"/>
  <c r="L123" i="6"/>
  <c r="K123" i="6"/>
  <c r="J123" i="6"/>
  <c r="M122" i="6"/>
  <c r="L122" i="6"/>
  <c r="K122" i="6"/>
  <c r="J122" i="6"/>
  <c r="M121" i="6"/>
  <c r="L121" i="6"/>
  <c r="K121" i="6"/>
  <c r="J121" i="6"/>
  <c r="M120" i="6"/>
  <c r="L120" i="6"/>
  <c r="K120" i="6"/>
  <c r="J120" i="6"/>
  <c r="M119" i="6"/>
  <c r="L119" i="6"/>
  <c r="K119" i="6"/>
  <c r="J119" i="6"/>
  <c r="M118" i="6"/>
  <c r="L118" i="6"/>
  <c r="K118" i="6"/>
  <c r="J118" i="6"/>
  <c r="M117" i="6"/>
  <c r="L117" i="6"/>
  <c r="K117" i="6"/>
  <c r="J117" i="6"/>
  <c r="M116" i="6"/>
  <c r="L116" i="6"/>
  <c r="K116" i="6"/>
  <c r="J116" i="6"/>
  <c r="M115" i="6"/>
  <c r="L115" i="6"/>
  <c r="K115" i="6"/>
  <c r="J115" i="6"/>
  <c r="M114" i="6"/>
  <c r="L114" i="6"/>
  <c r="K114" i="6"/>
  <c r="J114" i="6"/>
  <c r="M113" i="6"/>
  <c r="L113" i="6"/>
  <c r="K113" i="6"/>
  <c r="J113" i="6"/>
  <c r="M112" i="6"/>
  <c r="L112" i="6"/>
  <c r="K112" i="6"/>
  <c r="J112" i="6"/>
  <c r="M111" i="6"/>
  <c r="L111" i="6"/>
  <c r="K111" i="6"/>
  <c r="J111" i="6"/>
  <c r="M110" i="6"/>
  <c r="L110" i="6"/>
  <c r="K110" i="6"/>
  <c r="J110" i="6"/>
  <c r="M109" i="6"/>
  <c r="L109" i="6"/>
  <c r="K109" i="6"/>
  <c r="J109" i="6"/>
  <c r="M108" i="6"/>
  <c r="L108" i="6"/>
  <c r="K108" i="6"/>
  <c r="J108" i="6"/>
  <c r="M107" i="6"/>
  <c r="L107" i="6"/>
  <c r="K107" i="6"/>
  <c r="J107" i="6"/>
  <c r="M106" i="6"/>
  <c r="L106" i="6"/>
  <c r="K106" i="6"/>
  <c r="J106" i="6"/>
  <c r="M105" i="6"/>
  <c r="L105" i="6"/>
  <c r="K105" i="6"/>
  <c r="J105" i="6"/>
  <c r="M104" i="6"/>
  <c r="L104" i="6"/>
  <c r="K104" i="6"/>
  <c r="J104" i="6"/>
  <c r="M103" i="6"/>
  <c r="L103" i="6"/>
  <c r="K103" i="6"/>
  <c r="J103" i="6"/>
  <c r="M102" i="6"/>
  <c r="L102" i="6"/>
  <c r="K102" i="6"/>
  <c r="J102" i="6"/>
  <c r="M101" i="6"/>
  <c r="L101" i="6"/>
  <c r="K101" i="6"/>
  <c r="J101" i="6"/>
  <c r="M100" i="6"/>
  <c r="L100" i="6"/>
  <c r="K100" i="6"/>
  <c r="J100" i="6"/>
  <c r="M99" i="6"/>
  <c r="L99" i="6"/>
  <c r="K99" i="6"/>
  <c r="J99" i="6"/>
  <c r="M98" i="6"/>
  <c r="L98" i="6"/>
  <c r="K98" i="6"/>
  <c r="J98" i="6"/>
  <c r="M97" i="6"/>
  <c r="L97" i="6"/>
  <c r="K97" i="6"/>
  <c r="J97" i="6"/>
  <c r="M96" i="6"/>
  <c r="L96" i="6"/>
  <c r="K96" i="6"/>
  <c r="J96" i="6"/>
  <c r="M95" i="6"/>
  <c r="L95" i="6"/>
  <c r="K95" i="6"/>
  <c r="J95" i="6"/>
  <c r="M94" i="6"/>
  <c r="L94" i="6"/>
  <c r="K94" i="6"/>
  <c r="J94" i="6"/>
  <c r="M93" i="6"/>
  <c r="L93" i="6"/>
  <c r="K93" i="6"/>
  <c r="J93" i="6"/>
  <c r="M92" i="6"/>
  <c r="L92" i="6"/>
  <c r="K92" i="6"/>
  <c r="J92" i="6"/>
  <c r="M91" i="6"/>
  <c r="L91" i="6"/>
  <c r="K91" i="6"/>
  <c r="J91" i="6"/>
  <c r="M90" i="6"/>
  <c r="L90" i="6"/>
  <c r="K90" i="6"/>
  <c r="J90" i="6"/>
  <c r="M89" i="6"/>
  <c r="L89" i="6"/>
  <c r="K89" i="6"/>
  <c r="J89" i="6"/>
  <c r="M88" i="6"/>
  <c r="L88" i="6"/>
  <c r="K88" i="6"/>
  <c r="J88" i="6"/>
  <c r="M87" i="6"/>
  <c r="L87" i="6"/>
  <c r="K87" i="6"/>
  <c r="J87" i="6"/>
  <c r="M86" i="6"/>
  <c r="L86" i="6"/>
  <c r="K86" i="6"/>
  <c r="J86" i="6"/>
  <c r="M85" i="6"/>
  <c r="L85" i="6"/>
  <c r="K85" i="6"/>
  <c r="J85" i="6"/>
  <c r="M84" i="6"/>
  <c r="L84" i="6"/>
  <c r="K84" i="6"/>
  <c r="J84" i="6"/>
  <c r="M83" i="6"/>
  <c r="L83" i="6"/>
  <c r="K83" i="6"/>
  <c r="J83" i="6"/>
  <c r="M82" i="6"/>
  <c r="L82" i="6"/>
  <c r="K82" i="6"/>
  <c r="J82" i="6"/>
  <c r="M81" i="6"/>
  <c r="L81" i="6"/>
  <c r="K81" i="6"/>
  <c r="J81" i="6"/>
  <c r="M80" i="6"/>
  <c r="L80" i="6"/>
  <c r="K80" i="6"/>
  <c r="J80" i="6"/>
  <c r="M79" i="6"/>
  <c r="L79" i="6"/>
  <c r="K79" i="6"/>
  <c r="J79" i="6"/>
  <c r="M78" i="6"/>
  <c r="L78" i="6"/>
  <c r="K78" i="6"/>
  <c r="J78" i="6"/>
  <c r="M77" i="6"/>
  <c r="L77" i="6"/>
  <c r="K77" i="6"/>
  <c r="J77" i="6"/>
  <c r="M76" i="6"/>
  <c r="L76" i="6"/>
  <c r="K76" i="6"/>
  <c r="J76" i="6"/>
  <c r="M75" i="6"/>
  <c r="L75" i="6"/>
  <c r="K75" i="6"/>
  <c r="J75" i="6"/>
  <c r="M74" i="6"/>
  <c r="L74" i="6"/>
  <c r="K74" i="6"/>
  <c r="J74" i="6"/>
  <c r="M73" i="6"/>
  <c r="L73" i="6"/>
  <c r="K73" i="6"/>
  <c r="J73" i="6"/>
  <c r="M72" i="6"/>
  <c r="L72" i="6"/>
  <c r="K72" i="6"/>
  <c r="J72" i="6"/>
  <c r="M71" i="6"/>
  <c r="L71" i="6"/>
  <c r="K71" i="6"/>
  <c r="J71" i="6"/>
  <c r="M70" i="6"/>
  <c r="L70" i="6"/>
  <c r="K70" i="6"/>
  <c r="J70" i="6"/>
  <c r="M69" i="6"/>
  <c r="L69" i="6"/>
  <c r="K69" i="6"/>
  <c r="J69" i="6"/>
  <c r="M68" i="6"/>
  <c r="L68" i="6"/>
  <c r="K68" i="6"/>
  <c r="J68" i="6"/>
  <c r="M67" i="6"/>
  <c r="L67" i="6"/>
  <c r="K67" i="6"/>
  <c r="J67" i="6"/>
  <c r="M66" i="6"/>
  <c r="L66" i="6"/>
  <c r="K66" i="6"/>
  <c r="J66" i="6"/>
  <c r="M65" i="6"/>
  <c r="L65" i="6"/>
  <c r="K65" i="6"/>
  <c r="J65" i="6"/>
  <c r="M64" i="6"/>
  <c r="L64" i="6"/>
  <c r="K64" i="6"/>
  <c r="J64" i="6"/>
  <c r="M63" i="6"/>
  <c r="L63" i="6"/>
  <c r="K63" i="6"/>
  <c r="J63" i="6"/>
  <c r="M62" i="6"/>
  <c r="L62" i="6"/>
  <c r="K62" i="6"/>
  <c r="J62" i="6"/>
  <c r="M61" i="6"/>
  <c r="L61" i="6"/>
  <c r="K61" i="6"/>
  <c r="J61" i="6"/>
  <c r="M60" i="6"/>
  <c r="L60" i="6"/>
  <c r="K60" i="6"/>
  <c r="J60" i="6"/>
  <c r="M59" i="6"/>
  <c r="L59" i="6"/>
  <c r="K59" i="6"/>
  <c r="J59" i="6"/>
  <c r="M58" i="6"/>
  <c r="L58" i="6"/>
  <c r="K58" i="6"/>
  <c r="J58" i="6"/>
  <c r="M57" i="6"/>
  <c r="L57" i="6"/>
  <c r="K57" i="6"/>
  <c r="J57" i="6"/>
  <c r="M56" i="6"/>
  <c r="L56" i="6"/>
  <c r="K56" i="6"/>
  <c r="J56" i="6"/>
  <c r="M55" i="6"/>
  <c r="L55" i="6"/>
  <c r="K55" i="6"/>
  <c r="J55" i="6"/>
  <c r="M54" i="6"/>
  <c r="L54" i="6"/>
  <c r="K54" i="6"/>
  <c r="J54" i="6"/>
  <c r="M53" i="6"/>
  <c r="L53" i="6"/>
  <c r="K53" i="6"/>
  <c r="J53" i="6"/>
  <c r="M52" i="6"/>
  <c r="L52" i="6"/>
  <c r="K52" i="6"/>
  <c r="J52" i="6"/>
  <c r="M51" i="6"/>
  <c r="L51" i="6"/>
  <c r="K51" i="6"/>
  <c r="J51" i="6"/>
  <c r="M50" i="6"/>
  <c r="L50" i="6"/>
  <c r="K50" i="6"/>
  <c r="J50" i="6"/>
  <c r="M49" i="6"/>
  <c r="L49" i="6"/>
  <c r="K49" i="6"/>
  <c r="J49" i="6"/>
  <c r="M48" i="6"/>
  <c r="L48" i="6"/>
  <c r="K48" i="6"/>
  <c r="J48" i="6"/>
  <c r="M47" i="6"/>
  <c r="L47" i="6"/>
  <c r="K47" i="6"/>
  <c r="J47" i="6"/>
  <c r="M46" i="6"/>
  <c r="L46" i="6"/>
  <c r="K46" i="6"/>
  <c r="J46" i="6"/>
  <c r="M45" i="6"/>
  <c r="L45" i="6"/>
  <c r="K45" i="6"/>
  <c r="J45" i="6"/>
  <c r="M44" i="6"/>
  <c r="L44" i="6"/>
  <c r="K44" i="6"/>
  <c r="J44" i="6"/>
  <c r="M43" i="6"/>
  <c r="L43" i="6"/>
  <c r="K43" i="6"/>
  <c r="J43" i="6"/>
  <c r="M42" i="6"/>
  <c r="L42" i="6"/>
  <c r="K42" i="6"/>
  <c r="J42" i="6"/>
  <c r="M41" i="6"/>
  <c r="L41" i="6"/>
  <c r="K41" i="6"/>
  <c r="J41" i="6"/>
  <c r="M40" i="6"/>
  <c r="L40" i="6"/>
  <c r="K40" i="6"/>
  <c r="J40" i="6"/>
  <c r="M39" i="6"/>
  <c r="L39" i="6"/>
  <c r="K39" i="6"/>
  <c r="J39" i="6"/>
  <c r="M38" i="6"/>
  <c r="L38" i="6"/>
  <c r="K38" i="6"/>
  <c r="J38" i="6"/>
  <c r="M37" i="6"/>
  <c r="L37" i="6"/>
  <c r="K37" i="6"/>
  <c r="J37" i="6"/>
  <c r="M36" i="6"/>
  <c r="L36" i="6"/>
  <c r="K36" i="6"/>
  <c r="J36" i="6"/>
  <c r="M35" i="6"/>
  <c r="L35" i="6"/>
  <c r="K35" i="6"/>
  <c r="J35" i="6"/>
  <c r="M34" i="6"/>
  <c r="L34" i="6"/>
  <c r="K34" i="6"/>
  <c r="J34" i="6"/>
  <c r="M33" i="6"/>
  <c r="L33" i="6"/>
  <c r="K33" i="6"/>
  <c r="J33" i="6"/>
  <c r="M32" i="6"/>
  <c r="L32" i="6"/>
  <c r="K32" i="6"/>
  <c r="J32" i="6"/>
  <c r="M31" i="6"/>
  <c r="L31" i="6"/>
  <c r="K31" i="6"/>
  <c r="J31" i="6"/>
  <c r="M30" i="6"/>
  <c r="L30" i="6"/>
  <c r="K30" i="6"/>
  <c r="J30" i="6"/>
  <c r="M29" i="6"/>
  <c r="L29" i="6"/>
  <c r="K29" i="6"/>
  <c r="J29" i="6"/>
  <c r="M28" i="6"/>
  <c r="L28" i="6"/>
  <c r="K28" i="6"/>
  <c r="J28" i="6"/>
  <c r="M27" i="6"/>
  <c r="L27" i="6"/>
  <c r="K27" i="6"/>
  <c r="J27" i="6"/>
  <c r="M26" i="6"/>
  <c r="L26" i="6"/>
  <c r="K26" i="6"/>
  <c r="J26" i="6"/>
  <c r="M25" i="6"/>
  <c r="L25" i="6"/>
  <c r="K25" i="6"/>
  <c r="J25" i="6"/>
  <c r="M24" i="6"/>
  <c r="L24" i="6"/>
  <c r="K24" i="6"/>
  <c r="J24" i="6"/>
  <c r="M23" i="6"/>
  <c r="L23" i="6"/>
  <c r="K23" i="6"/>
  <c r="J23" i="6"/>
  <c r="M22" i="6"/>
  <c r="L22" i="6"/>
  <c r="K22" i="6"/>
  <c r="J22" i="6"/>
  <c r="M21" i="6"/>
  <c r="L21" i="6"/>
  <c r="K21" i="6"/>
  <c r="J21" i="6"/>
  <c r="M20" i="6"/>
  <c r="L20" i="6"/>
  <c r="K20" i="6"/>
  <c r="J20" i="6"/>
  <c r="M19" i="6"/>
  <c r="L19" i="6"/>
  <c r="K19" i="6"/>
  <c r="J19" i="6"/>
  <c r="M18" i="6"/>
  <c r="L18" i="6"/>
  <c r="K18" i="6"/>
  <c r="J18" i="6"/>
  <c r="M17" i="6"/>
  <c r="L17" i="6"/>
  <c r="K17" i="6"/>
  <c r="J17" i="6"/>
  <c r="M16" i="6"/>
  <c r="L16" i="6"/>
  <c r="K16" i="6"/>
  <c r="J16" i="6"/>
  <c r="M15" i="6"/>
  <c r="L15" i="6"/>
  <c r="K15" i="6"/>
  <c r="J15" i="6"/>
  <c r="M14" i="6"/>
  <c r="L14" i="6"/>
  <c r="K14" i="6"/>
  <c r="J14" i="6"/>
  <c r="M13" i="6"/>
  <c r="L13" i="6"/>
  <c r="K13" i="6"/>
  <c r="J13" i="6"/>
  <c r="M12" i="6"/>
  <c r="L12" i="6"/>
  <c r="K12" i="6"/>
  <c r="J12" i="6"/>
  <c r="M11" i="6"/>
  <c r="L11" i="6"/>
  <c r="K11" i="6"/>
  <c r="J11" i="6"/>
  <c r="M10" i="6"/>
  <c r="M202" i="6" s="1"/>
  <c r="L10" i="6"/>
  <c r="L202" i="6" s="1"/>
  <c r="K10" i="6"/>
  <c r="K202" i="6" s="1"/>
  <c r="J10" i="6"/>
  <c r="J202" i="6" s="1"/>
  <c r="L202" i="5"/>
  <c r="I202" i="5"/>
  <c r="H202" i="5"/>
  <c r="K202" i="5" s="1"/>
  <c r="G202" i="5"/>
  <c r="F202" i="5"/>
  <c r="E202" i="5"/>
  <c r="D202" i="5"/>
  <c r="J202" i="5" s="1"/>
  <c r="C202" i="5"/>
  <c r="M202" i="5" s="1"/>
  <c r="B202" i="5"/>
  <c r="M201" i="5"/>
  <c r="L201" i="5"/>
  <c r="K201" i="5"/>
  <c r="J201" i="5"/>
  <c r="M200" i="5"/>
  <c r="L200" i="5"/>
  <c r="K200" i="5"/>
  <c r="J200" i="5"/>
  <c r="M199" i="5"/>
  <c r="L199" i="5"/>
  <c r="K199" i="5"/>
  <c r="J199" i="5"/>
  <c r="M198" i="5"/>
  <c r="L198" i="5"/>
  <c r="K198" i="5"/>
  <c r="J198" i="5"/>
  <c r="M197" i="5"/>
  <c r="L197" i="5"/>
  <c r="K197" i="5"/>
  <c r="J197" i="5"/>
  <c r="M196" i="5"/>
  <c r="L196" i="5"/>
  <c r="K196" i="5"/>
  <c r="J196" i="5"/>
  <c r="M195" i="5"/>
  <c r="L195" i="5"/>
  <c r="K195" i="5"/>
  <c r="J195" i="5"/>
  <c r="M194" i="5"/>
  <c r="L194" i="5"/>
  <c r="K194" i="5"/>
  <c r="J194" i="5"/>
  <c r="M193" i="5"/>
  <c r="L193" i="5"/>
  <c r="K193" i="5"/>
  <c r="J193" i="5"/>
  <c r="M192" i="5"/>
  <c r="L192" i="5"/>
  <c r="K192" i="5"/>
  <c r="J192" i="5"/>
  <c r="M191" i="5"/>
  <c r="L191" i="5"/>
  <c r="K191" i="5"/>
  <c r="J191" i="5"/>
  <c r="M190" i="5"/>
  <c r="L190" i="5"/>
  <c r="K190" i="5"/>
  <c r="J190" i="5"/>
  <c r="M189" i="5"/>
  <c r="L189" i="5"/>
  <c r="K189" i="5"/>
  <c r="J189" i="5"/>
  <c r="M188" i="5"/>
  <c r="L188" i="5"/>
  <c r="K188" i="5"/>
  <c r="J188" i="5"/>
  <c r="M187" i="5"/>
  <c r="L187" i="5"/>
  <c r="K187" i="5"/>
  <c r="J187" i="5"/>
  <c r="M186" i="5"/>
  <c r="L186" i="5"/>
  <c r="K186" i="5"/>
  <c r="J186" i="5"/>
  <c r="M185" i="5"/>
  <c r="L185" i="5"/>
  <c r="K185" i="5"/>
  <c r="J185" i="5"/>
  <c r="M184" i="5"/>
  <c r="L184" i="5"/>
  <c r="K184" i="5"/>
  <c r="J184" i="5"/>
  <c r="M183" i="5"/>
  <c r="L183" i="5"/>
  <c r="K183" i="5"/>
  <c r="J183" i="5"/>
  <c r="M182" i="5"/>
  <c r="L182" i="5"/>
  <c r="K182" i="5"/>
  <c r="J182" i="5"/>
  <c r="M181" i="5"/>
  <c r="L181" i="5"/>
  <c r="K181" i="5"/>
  <c r="J181" i="5"/>
  <c r="M180" i="5"/>
  <c r="L180" i="5"/>
  <c r="K180" i="5"/>
  <c r="J180" i="5"/>
  <c r="M179" i="5"/>
  <c r="L179" i="5"/>
  <c r="K179" i="5"/>
  <c r="J179" i="5"/>
  <c r="M178" i="5"/>
  <c r="L178" i="5"/>
  <c r="K178" i="5"/>
  <c r="J178" i="5"/>
  <c r="M177" i="5"/>
  <c r="L177" i="5"/>
  <c r="K177" i="5"/>
  <c r="J177" i="5"/>
  <c r="M176" i="5"/>
  <c r="L176" i="5"/>
  <c r="K176" i="5"/>
  <c r="J176" i="5"/>
  <c r="M175" i="5"/>
  <c r="L175" i="5"/>
  <c r="K175" i="5"/>
  <c r="J175" i="5"/>
  <c r="M174" i="5"/>
  <c r="L174" i="5"/>
  <c r="K174" i="5"/>
  <c r="J174" i="5"/>
  <c r="M173" i="5"/>
  <c r="L173" i="5"/>
  <c r="K173" i="5"/>
  <c r="J173" i="5"/>
  <c r="M172" i="5"/>
  <c r="L172" i="5"/>
  <c r="K172" i="5"/>
  <c r="J172" i="5"/>
  <c r="M171" i="5"/>
  <c r="L171" i="5"/>
  <c r="K171" i="5"/>
  <c r="J171" i="5"/>
  <c r="M170" i="5"/>
  <c r="L170" i="5"/>
  <c r="K170" i="5"/>
  <c r="J170" i="5"/>
  <c r="M169" i="5"/>
  <c r="L169" i="5"/>
  <c r="K169" i="5"/>
  <c r="J169" i="5"/>
  <c r="M168" i="5"/>
  <c r="L168" i="5"/>
  <c r="K168" i="5"/>
  <c r="J168" i="5"/>
  <c r="M167" i="5"/>
  <c r="L167" i="5"/>
  <c r="K167" i="5"/>
  <c r="J167" i="5"/>
  <c r="M166" i="5"/>
  <c r="L166" i="5"/>
  <c r="K166" i="5"/>
  <c r="J166" i="5"/>
  <c r="M165" i="5"/>
  <c r="L165" i="5"/>
  <c r="K165" i="5"/>
  <c r="J165" i="5"/>
  <c r="M164" i="5"/>
  <c r="L164" i="5"/>
  <c r="K164" i="5"/>
  <c r="J164" i="5"/>
  <c r="M163" i="5"/>
  <c r="L163" i="5"/>
  <c r="K163" i="5"/>
  <c r="J163" i="5"/>
  <c r="M162" i="5"/>
  <c r="L162" i="5"/>
  <c r="K162" i="5"/>
  <c r="J162" i="5"/>
  <c r="M161" i="5"/>
  <c r="L161" i="5"/>
  <c r="K161" i="5"/>
  <c r="J161" i="5"/>
  <c r="M160" i="5"/>
  <c r="L160" i="5"/>
  <c r="K160" i="5"/>
  <c r="J160" i="5"/>
  <c r="M159" i="5"/>
  <c r="L159" i="5"/>
  <c r="K159" i="5"/>
  <c r="J159" i="5"/>
  <c r="M158" i="5"/>
  <c r="L158" i="5"/>
  <c r="K158" i="5"/>
  <c r="J158" i="5"/>
  <c r="M157" i="5"/>
  <c r="L157" i="5"/>
  <c r="K157" i="5"/>
  <c r="J157" i="5"/>
  <c r="M156" i="5"/>
  <c r="L156" i="5"/>
  <c r="K156" i="5"/>
  <c r="J156" i="5"/>
  <c r="M155" i="5"/>
  <c r="L155" i="5"/>
  <c r="K155" i="5"/>
  <c r="J155" i="5"/>
  <c r="M154" i="5"/>
  <c r="L154" i="5"/>
  <c r="K154" i="5"/>
  <c r="J154" i="5"/>
  <c r="M153" i="5"/>
  <c r="L153" i="5"/>
  <c r="K153" i="5"/>
  <c r="J153" i="5"/>
  <c r="M152" i="5"/>
  <c r="L152" i="5"/>
  <c r="K152" i="5"/>
  <c r="J152" i="5"/>
  <c r="M151" i="5"/>
  <c r="L151" i="5"/>
  <c r="K151" i="5"/>
  <c r="J151" i="5"/>
  <c r="M150" i="5"/>
  <c r="L150" i="5"/>
  <c r="K150" i="5"/>
  <c r="J150" i="5"/>
  <c r="M149" i="5"/>
  <c r="L149" i="5"/>
  <c r="K149" i="5"/>
  <c r="J149" i="5"/>
  <c r="M148" i="5"/>
  <c r="L148" i="5"/>
  <c r="K148" i="5"/>
  <c r="J148" i="5"/>
  <c r="M147" i="5"/>
  <c r="L147" i="5"/>
  <c r="K147" i="5"/>
  <c r="J147" i="5"/>
  <c r="M146" i="5"/>
  <c r="L146" i="5"/>
  <c r="K146" i="5"/>
  <c r="J146" i="5"/>
  <c r="M145" i="5"/>
  <c r="L145" i="5"/>
  <c r="K145" i="5"/>
  <c r="J145" i="5"/>
  <c r="M144" i="5"/>
  <c r="L144" i="5"/>
  <c r="K144" i="5"/>
  <c r="J144" i="5"/>
  <c r="M143" i="5"/>
  <c r="L143" i="5"/>
  <c r="K143" i="5"/>
  <c r="J143" i="5"/>
  <c r="M142" i="5"/>
  <c r="L142" i="5"/>
  <c r="K142" i="5"/>
  <c r="J142" i="5"/>
  <c r="M141" i="5"/>
  <c r="L141" i="5"/>
  <c r="K141" i="5"/>
  <c r="J141" i="5"/>
  <c r="M140" i="5"/>
  <c r="L140" i="5"/>
  <c r="K140" i="5"/>
  <c r="J140" i="5"/>
  <c r="M139" i="5"/>
  <c r="L139" i="5"/>
  <c r="K139" i="5"/>
  <c r="J139" i="5"/>
  <c r="M138" i="5"/>
  <c r="L138" i="5"/>
  <c r="K138" i="5"/>
  <c r="J138" i="5"/>
  <c r="M137" i="5"/>
  <c r="L137" i="5"/>
  <c r="K137" i="5"/>
  <c r="J137" i="5"/>
  <c r="M136" i="5"/>
  <c r="L136" i="5"/>
  <c r="K136" i="5"/>
  <c r="J136" i="5"/>
  <c r="M135" i="5"/>
  <c r="L135" i="5"/>
  <c r="K135" i="5"/>
  <c r="J135" i="5"/>
  <c r="M134" i="5"/>
  <c r="L134" i="5"/>
  <c r="K134" i="5"/>
  <c r="J134" i="5"/>
  <c r="M133" i="5"/>
  <c r="L133" i="5"/>
  <c r="K133" i="5"/>
  <c r="J133" i="5"/>
  <c r="M132" i="5"/>
  <c r="L132" i="5"/>
  <c r="K132" i="5"/>
  <c r="J132" i="5"/>
  <c r="M131" i="5"/>
  <c r="L131" i="5"/>
  <c r="K131" i="5"/>
  <c r="J131" i="5"/>
  <c r="M130" i="5"/>
  <c r="L130" i="5"/>
  <c r="K130" i="5"/>
  <c r="J130" i="5"/>
  <c r="M129" i="5"/>
  <c r="L129" i="5"/>
  <c r="K129" i="5"/>
  <c r="J129" i="5"/>
  <c r="M128" i="5"/>
  <c r="L128" i="5"/>
  <c r="K128" i="5"/>
  <c r="J128" i="5"/>
  <c r="M127" i="5"/>
  <c r="L127" i="5"/>
  <c r="K127" i="5"/>
  <c r="J127" i="5"/>
  <c r="M126" i="5"/>
  <c r="L126" i="5"/>
  <c r="K126" i="5"/>
  <c r="J126" i="5"/>
  <c r="M125" i="5"/>
  <c r="L125" i="5"/>
  <c r="K125" i="5"/>
  <c r="J125" i="5"/>
  <c r="M124" i="5"/>
  <c r="L124" i="5"/>
  <c r="K124" i="5"/>
  <c r="J124" i="5"/>
  <c r="M123" i="5"/>
  <c r="L123" i="5"/>
  <c r="K123" i="5"/>
  <c r="J123" i="5"/>
  <c r="M122" i="5"/>
  <c r="L122" i="5"/>
  <c r="K122" i="5"/>
  <c r="J122" i="5"/>
  <c r="M121" i="5"/>
  <c r="L121" i="5"/>
  <c r="K121" i="5"/>
  <c r="J121" i="5"/>
  <c r="M120" i="5"/>
  <c r="L120" i="5"/>
  <c r="K120" i="5"/>
  <c r="J120" i="5"/>
  <c r="M119" i="5"/>
  <c r="L119" i="5"/>
  <c r="K119" i="5"/>
  <c r="J119" i="5"/>
  <c r="M118" i="5"/>
  <c r="L118" i="5"/>
  <c r="K118" i="5"/>
  <c r="J118" i="5"/>
  <c r="M117" i="5"/>
  <c r="L117" i="5"/>
  <c r="K117" i="5"/>
  <c r="J117" i="5"/>
  <c r="M116" i="5"/>
  <c r="L116" i="5"/>
  <c r="K116" i="5"/>
  <c r="J116" i="5"/>
  <c r="M115" i="5"/>
  <c r="L115" i="5"/>
  <c r="K115" i="5"/>
  <c r="J115" i="5"/>
  <c r="M114" i="5"/>
  <c r="L114" i="5"/>
  <c r="K114" i="5"/>
  <c r="J114" i="5"/>
  <c r="M113" i="5"/>
  <c r="L113" i="5"/>
  <c r="K113" i="5"/>
  <c r="J113" i="5"/>
  <c r="M112" i="5"/>
  <c r="L112" i="5"/>
  <c r="K112" i="5"/>
  <c r="J112" i="5"/>
  <c r="M111" i="5"/>
  <c r="L111" i="5"/>
  <c r="K111" i="5"/>
  <c r="J111" i="5"/>
  <c r="M110" i="5"/>
  <c r="L110" i="5"/>
  <c r="K110" i="5"/>
  <c r="J110" i="5"/>
  <c r="M109" i="5"/>
  <c r="L109" i="5"/>
  <c r="K109" i="5"/>
  <c r="J109" i="5"/>
  <c r="M108" i="5"/>
  <c r="L108" i="5"/>
  <c r="K108" i="5"/>
  <c r="J108" i="5"/>
  <c r="M107" i="5"/>
  <c r="L107" i="5"/>
  <c r="K107" i="5"/>
  <c r="J107" i="5"/>
  <c r="M106" i="5"/>
  <c r="L106" i="5"/>
  <c r="K106" i="5"/>
  <c r="J106" i="5"/>
  <c r="M105" i="5"/>
  <c r="L105" i="5"/>
  <c r="K105" i="5"/>
  <c r="J105" i="5"/>
  <c r="M104" i="5"/>
  <c r="L104" i="5"/>
  <c r="K104" i="5"/>
  <c r="J104" i="5"/>
  <c r="M103" i="5"/>
  <c r="L103" i="5"/>
  <c r="K103" i="5"/>
  <c r="J103" i="5"/>
  <c r="M102" i="5"/>
  <c r="L102" i="5"/>
  <c r="K102" i="5"/>
  <c r="J102" i="5"/>
  <c r="M101" i="5"/>
  <c r="L101" i="5"/>
  <c r="K101" i="5"/>
  <c r="J101" i="5"/>
  <c r="M100" i="5"/>
  <c r="L100" i="5"/>
  <c r="K100" i="5"/>
  <c r="J100" i="5"/>
  <c r="M99" i="5"/>
  <c r="L99" i="5"/>
  <c r="K99" i="5"/>
  <c r="J99" i="5"/>
  <c r="M98" i="5"/>
  <c r="L98" i="5"/>
  <c r="K98" i="5"/>
  <c r="J98" i="5"/>
  <c r="M97" i="5"/>
  <c r="L97" i="5"/>
  <c r="K97" i="5"/>
  <c r="J97" i="5"/>
  <c r="M96" i="5"/>
  <c r="L96" i="5"/>
  <c r="K96" i="5"/>
  <c r="J96" i="5"/>
  <c r="M95" i="5"/>
  <c r="L95" i="5"/>
  <c r="K95" i="5"/>
  <c r="J95" i="5"/>
  <c r="M94" i="5"/>
  <c r="L94" i="5"/>
  <c r="K94" i="5"/>
  <c r="J94" i="5"/>
  <c r="M93" i="5"/>
  <c r="L93" i="5"/>
  <c r="K93" i="5"/>
  <c r="J93" i="5"/>
  <c r="M92" i="5"/>
  <c r="L92" i="5"/>
  <c r="K92" i="5"/>
  <c r="J92" i="5"/>
  <c r="M91" i="5"/>
  <c r="L91" i="5"/>
  <c r="K91" i="5"/>
  <c r="J91" i="5"/>
  <c r="M90" i="5"/>
  <c r="L90" i="5"/>
  <c r="K90" i="5"/>
  <c r="J90" i="5"/>
  <c r="M89" i="5"/>
  <c r="L89" i="5"/>
  <c r="K89" i="5"/>
  <c r="J89" i="5"/>
  <c r="M88" i="5"/>
  <c r="L88" i="5"/>
  <c r="K88" i="5"/>
  <c r="J88" i="5"/>
  <c r="M87" i="5"/>
  <c r="L87" i="5"/>
  <c r="K87" i="5"/>
  <c r="J87" i="5"/>
  <c r="M86" i="5"/>
  <c r="L86" i="5"/>
  <c r="K86" i="5"/>
  <c r="J86" i="5"/>
  <c r="M85" i="5"/>
  <c r="L85" i="5"/>
  <c r="K85" i="5"/>
  <c r="J85" i="5"/>
  <c r="M84" i="5"/>
  <c r="L84" i="5"/>
  <c r="K84" i="5"/>
  <c r="J84" i="5"/>
  <c r="M83" i="5"/>
  <c r="L83" i="5"/>
  <c r="K83" i="5"/>
  <c r="J83" i="5"/>
  <c r="M82" i="5"/>
  <c r="L82" i="5"/>
  <c r="K82" i="5"/>
  <c r="J82" i="5"/>
  <c r="M81" i="5"/>
  <c r="L81" i="5"/>
  <c r="K81" i="5"/>
  <c r="J81" i="5"/>
  <c r="M80" i="5"/>
  <c r="L80" i="5"/>
  <c r="K80" i="5"/>
  <c r="J80" i="5"/>
  <c r="M79" i="5"/>
  <c r="L79" i="5"/>
  <c r="K79" i="5"/>
  <c r="J79" i="5"/>
  <c r="M78" i="5"/>
  <c r="L78" i="5"/>
  <c r="K78" i="5"/>
  <c r="J78" i="5"/>
  <c r="M77" i="5"/>
  <c r="L77" i="5"/>
  <c r="K77" i="5"/>
  <c r="J77" i="5"/>
  <c r="M76" i="5"/>
  <c r="L76" i="5"/>
  <c r="K76" i="5"/>
  <c r="J76" i="5"/>
  <c r="M75" i="5"/>
  <c r="L75" i="5"/>
  <c r="K75" i="5"/>
  <c r="J75" i="5"/>
  <c r="M74" i="5"/>
  <c r="L74" i="5"/>
  <c r="K74" i="5"/>
  <c r="J74" i="5"/>
  <c r="M73" i="5"/>
  <c r="L73" i="5"/>
  <c r="K73" i="5"/>
  <c r="J73" i="5"/>
  <c r="M72" i="5"/>
  <c r="L72" i="5"/>
  <c r="K72" i="5"/>
  <c r="J72" i="5"/>
  <c r="M71" i="5"/>
  <c r="L71" i="5"/>
  <c r="K71" i="5"/>
  <c r="J71" i="5"/>
  <c r="M70" i="5"/>
  <c r="L70" i="5"/>
  <c r="K70" i="5"/>
  <c r="J70" i="5"/>
  <c r="M69" i="5"/>
  <c r="L69" i="5"/>
  <c r="K69" i="5"/>
  <c r="J69" i="5"/>
  <c r="M68" i="5"/>
  <c r="L68" i="5"/>
  <c r="K68" i="5"/>
  <c r="J68" i="5"/>
  <c r="M67" i="5"/>
  <c r="L67" i="5"/>
  <c r="K67" i="5"/>
  <c r="J67" i="5"/>
  <c r="M66" i="5"/>
  <c r="L66" i="5"/>
  <c r="K66" i="5"/>
  <c r="J66" i="5"/>
  <c r="M65" i="5"/>
  <c r="L65" i="5"/>
  <c r="K65" i="5"/>
  <c r="J65" i="5"/>
  <c r="M64" i="5"/>
  <c r="L64" i="5"/>
  <c r="K64" i="5"/>
  <c r="J64" i="5"/>
  <c r="M63" i="5"/>
  <c r="L63" i="5"/>
  <c r="K63" i="5"/>
  <c r="J63" i="5"/>
  <c r="M62" i="5"/>
  <c r="L62" i="5"/>
  <c r="K62" i="5"/>
  <c r="J62" i="5"/>
  <c r="M61" i="5"/>
  <c r="L61" i="5"/>
  <c r="K61" i="5"/>
  <c r="J61" i="5"/>
  <c r="M60" i="5"/>
  <c r="L60" i="5"/>
  <c r="K60" i="5"/>
  <c r="J60" i="5"/>
  <c r="M59" i="5"/>
  <c r="L59" i="5"/>
  <c r="K59" i="5"/>
  <c r="J59" i="5"/>
  <c r="M58" i="5"/>
  <c r="L58" i="5"/>
  <c r="K58" i="5"/>
  <c r="J58" i="5"/>
  <c r="M57" i="5"/>
  <c r="L57" i="5"/>
  <c r="K57" i="5"/>
  <c r="J57" i="5"/>
  <c r="M56" i="5"/>
  <c r="L56" i="5"/>
  <c r="K56" i="5"/>
  <c r="J56" i="5"/>
  <c r="M55" i="5"/>
  <c r="L55" i="5"/>
  <c r="K55" i="5"/>
  <c r="J55" i="5"/>
  <c r="M54" i="5"/>
  <c r="L54" i="5"/>
  <c r="K54" i="5"/>
  <c r="J54" i="5"/>
  <c r="M53" i="5"/>
  <c r="L53" i="5"/>
  <c r="K53" i="5"/>
  <c r="J53" i="5"/>
  <c r="M52" i="5"/>
  <c r="L52" i="5"/>
  <c r="K52" i="5"/>
  <c r="J52" i="5"/>
  <c r="M51" i="5"/>
  <c r="L51" i="5"/>
  <c r="K51" i="5"/>
  <c r="J51" i="5"/>
  <c r="M50" i="5"/>
  <c r="L50" i="5"/>
  <c r="K50" i="5"/>
  <c r="J50" i="5"/>
  <c r="M49" i="5"/>
  <c r="L49" i="5"/>
  <c r="K49" i="5"/>
  <c r="J49" i="5"/>
  <c r="M48" i="5"/>
  <c r="L48" i="5"/>
  <c r="K48" i="5"/>
  <c r="J48" i="5"/>
  <c r="M47" i="5"/>
  <c r="L47" i="5"/>
  <c r="K47" i="5"/>
  <c r="J47" i="5"/>
  <c r="M46" i="5"/>
  <c r="L46" i="5"/>
  <c r="K46" i="5"/>
  <c r="J46" i="5"/>
  <c r="M45" i="5"/>
  <c r="L45" i="5"/>
  <c r="K45" i="5"/>
  <c r="J45" i="5"/>
  <c r="M44" i="5"/>
  <c r="L44" i="5"/>
  <c r="K44" i="5"/>
  <c r="J44" i="5"/>
  <c r="M43" i="5"/>
  <c r="L43" i="5"/>
  <c r="K43" i="5"/>
  <c r="J43" i="5"/>
  <c r="M42" i="5"/>
  <c r="L42" i="5"/>
  <c r="K42" i="5"/>
  <c r="J42" i="5"/>
  <c r="M41" i="5"/>
  <c r="L41" i="5"/>
  <c r="K41" i="5"/>
  <c r="J41" i="5"/>
  <c r="M40" i="5"/>
  <c r="L40" i="5"/>
  <c r="K40" i="5"/>
  <c r="J40" i="5"/>
  <c r="M39" i="5"/>
  <c r="L39" i="5"/>
  <c r="K39" i="5"/>
  <c r="J39" i="5"/>
  <c r="M38" i="5"/>
  <c r="L38" i="5"/>
  <c r="K38" i="5"/>
  <c r="J38" i="5"/>
  <c r="M37" i="5"/>
  <c r="L37" i="5"/>
  <c r="K37" i="5"/>
  <c r="J37" i="5"/>
  <c r="M36" i="5"/>
  <c r="L36" i="5"/>
  <c r="K36" i="5"/>
  <c r="J36" i="5"/>
  <c r="M35" i="5"/>
  <c r="L35" i="5"/>
  <c r="K35" i="5"/>
  <c r="J35" i="5"/>
  <c r="M34" i="5"/>
  <c r="L34" i="5"/>
  <c r="K34" i="5"/>
  <c r="J34" i="5"/>
  <c r="M33" i="5"/>
  <c r="L33" i="5"/>
  <c r="K33" i="5"/>
  <c r="J33" i="5"/>
  <c r="M32" i="5"/>
  <c r="L32" i="5"/>
  <c r="K32" i="5"/>
  <c r="J32" i="5"/>
  <c r="M31" i="5"/>
  <c r="L31" i="5"/>
  <c r="K31" i="5"/>
  <c r="J31" i="5"/>
  <c r="M30" i="5"/>
  <c r="L30" i="5"/>
  <c r="K30" i="5"/>
  <c r="J30" i="5"/>
  <c r="M29" i="5"/>
  <c r="L29" i="5"/>
  <c r="K29" i="5"/>
  <c r="J29" i="5"/>
  <c r="M28" i="5"/>
  <c r="L28" i="5"/>
  <c r="K28" i="5"/>
  <c r="J28" i="5"/>
  <c r="M27" i="5"/>
  <c r="L27" i="5"/>
  <c r="K27" i="5"/>
  <c r="J27" i="5"/>
  <c r="M26" i="5"/>
  <c r="L26" i="5"/>
  <c r="K26" i="5"/>
  <c r="J26" i="5"/>
  <c r="M25" i="5"/>
  <c r="L25" i="5"/>
  <c r="K25" i="5"/>
  <c r="J25" i="5"/>
  <c r="M24" i="5"/>
  <c r="L24" i="5"/>
  <c r="K24" i="5"/>
  <c r="J24" i="5"/>
  <c r="M23" i="5"/>
  <c r="L23" i="5"/>
  <c r="K23" i="5"/>
  <c r="J23" i="5"/>
  <c r="M22" i="5"/>
  <c r="L22" i="5"/>
  <c r="K22" i="5"/>
  <c r="J22" i="5"/>
  <c r="M21" i="5"/>
  <c r="L21" i="5"/>
  <c r="K21" i="5"/>
  <c r="J21" i="5"/>
  <c r="M20" i="5"/>
  <c r="L20" i="5"/>
  <c r="K20" i="5"/>
  <c r="J20" i="5"/>
  <c r="M19" i="5"/>
  <c r="L19" i="5"/>
  <c r="K19" i="5"/>
  <c r="J19" i="5"/>
  <c r="M18" i="5"/>
  <c r="L18" i="5"/>
  <c r="K18" i="5"/>
  <c r="J18" i="5"/>
  <c r="M17" i="5"/>
  <c r="L17" i="5"/>
  <c r="K17" i="5"/>
  <c r="J17" i="5"/>
  <c r="M16" i="5"/>
  <c r="L16" i="5"/>
  <c r="K16" i="5"/>
  <c r="J16" i="5"/>
  <c r="M15" i="5"/>
  <c r="L15" i="5"/>
  <c r="K15" i="5"/>
  <c r="J15" i="5"/>
  <c r="M14" i="5"/>
  <c r="L14" i="5"/>
  <c r="K14" i="5"/>
  <c r="J14" i="5"/>
  <c r="M13" i="5"/>
  <c r="L13" i="5"/>
  <c r="K13" i="5"/>
  <c r="J13" i="5"/>
  <c r="M12" i="5"/>
  <c r="L12" i="5"/>
  <c r="K12" i="5"/>
  <c r="J12" i="5"/>
  <c r="M11" i="5"/>
  <c r="L11" i="5"/>
  <c r="K11" i="5"/>
  <c r="J11" i="5"/>
  <c r="M10" i="5"/>
  <c r="L10" i="5"/>
  <c r="K10" i="5"/>
  <c r="J10" i="5"/>
  <c r="M201" i="4"/>
  <c r="L201" i="4"/>
  <c r="K201" i="4"/>
  <c r="J201" i="4"/>
  <c r="M200" i="4"/>
  <c r="L200" i="4"/>
  <c r="K200" i="4"/>
  <c r="J200" i="4"/>
  <c r="M199" i="4"/>
  <c r="L199" i="4"/>
  <c r="K199" i="4"/>
  <c r="J199" i="4"/>
  <c r="M198" i="4"/>
  <c r="L198" i="4"/>
  <c r="K198" i="4"/>
  <c r="J198" i="4"/>
  <c r="M197" i="4"/>
  <c r="L197" i="4"/>
  <c r="K197" i="4"/>
  <c r="J197" i="4"/>
  <c r="M196" i="4"/>
  <c r="L196" i="4"/>
  <c r="K196" i="4"/>
  <c r="J196" i="4"/>
  <c r="M195" i="4"/>
  <c r="L195" i="4"/>
  <c r="K195" i="4"/>
  <c r="J195" i="4"/>
  <c r="M194" i="4"/>
  <c r="L194" i="4"/>
  <c r="K194" i="4"/>
  <c r="J194" i="4"/>
  <c r="M193" i="4"/>
  <c r="L193" i="4"/>
  <c r="K193" i="4"/>
  <c r="J193" i="4"/>
  <c r="M192" i="4"/>
  <c r="L192" i="4"/>
  <c r="K192" i="4"/>
  <c r="J192" i="4"/>
  <c r="M191" i="4"/>
  <c r="L191" i="4"/>
  <c r="K191" i="4"/>
  <c r="J191" i="4"/>
  <c r="M190" i="4"/>
  <c r="L190" i="4"/>
  <c r="K190" i="4"/>
  <c r="J190" i="4"/>
  <c r="M189" i="4"/>
  <c r="L189" i="4"/>
  <c r="K189" i="4"/>
  <c r="J189" i="4"/>
  <c r="M188" i="4"/>
  <c r="L188" i="4"/>
  <c r="K188" i="4"/>
  <c r="J188" i="4"/>
  <c r="M187" i="4"/>
  <c r="L187" i="4"/>
  <c r="K187" i="4"/>
  <c r="J187" i="4"/>
  <c r="M186" i="4"/>
  <c r="L186" i="4"/>
  <c r="K186" i="4"/>
  <c r="J186" i="4"/>
  <c r="M185" i="4"/>
  <c r="L185" i="4"/>
  <c r="K185" i="4"/>
  <c r="J185" i="4"/>
  <c r="M184" i="4"/>
  <c r="L184" i="4"/>
  <c r="K184" i="4"/>
  <c r="J184" i="4"/>
  <c r="M183" i="4"/>
  <c r="L183" i="4"/>
  <c r="K183" i="4"/>
  <c r="J183" i="4"/>
  <c r="M182" i="4"/>
  <c r="L182" i="4"/>
  <c r="K182" i="4"/>
  <c r="J182" i="4"/>
  <c r="M181" i="4"/>
  <c r="L181" i="4"/>
  <c r="K181" i="4"/>
  <c r="J181" i="4"/>
  <c r="M180" i="4"/>
  <c r="L180" i="4"/>
  <c r="K180" i="4"/>
  <c r="J180" i="4"/>
  <c r="M179" i="4"/>
  <c r="L179" i="4"/>
  <c r="K179" i="4"/>
  <c r="J179" i="4"/>
  <c r="M178" i="4"/>
  <c r="L178" i="4"/>
  <c r="K178" i="4"/>
  <c r="J178" i="4"/>
  <c r="M177" i="4"/>
  <c r="L177" i="4"/>
  <c r="K177" i="4"/>
  <c r="J177" i="4"/>
  <c r="M176" i="4"/>
  <c r="L176" i="4"/>
  <c r="K176" i="4"/>
  <c r="J176" i="4"/>
  <c r="M175" i="4"/>
  <c r="L175" i="4"/>
  <c r="K175" i="4"/>
  <c r="J175" i="4"/>
  <c r="M174" i="4"/>
  <c r="L174" i="4"/>
  <c r="K174" i="4"/>
  <c r="J174" i="4"/>
  <c r="M173" i="4"/>
  <c r="L173" i="4"/>
  <c r="K173" i="4"/>
  <c r="J173" i="4"/>
  <c r="M172" i="4"/>
  <c r="L172" i="4"/>
  <c r="K172" i="4"/>
  <c r="J172" i="4"/>
  <c r="M171" i="4"/>
  <c r="L171" i="4"/>
  <c r="K171" i="4"/>
  <c r="J171" i="4"/>
  <c r="M170" i="4"/>
  <c r="L170" i="4"/>
  <c r="K170" i="4"/>
  <c r="J170" i="4"/>
  <c r="M169" i="4"/>
  <c r="L169" i="4"/>
  <c r="K169" i="4"/>
  <c r="J169" i="4"/>
  <c r="M168" i="4"/>
  <c r="L168" i="4"/>
  <c r="K168" i="4"/>
  <c r="J168" i="4"/>
  <c r="M167" i="4"/>
  <c r="L167" i="4"/>
  <c r="K167" i="4"/>
  <c r="J167" i="4"/>
  <c r="M166" i="4"/>
  <c r="L166" i="4"/>
  <c r="K166" i="4"/>
  <c r="J166" i="4"/>
  <c r="M165" i="4"/>
  <c r="L165" i="4"/>
  <c r="K165" i="4"/>
  <c r="J165" i="4"/>
  <c r="M164" i="4"/>
  <c r="L164" i="4"/>
  <c r="K164" i="4"/>
  <c r="J164" i="4"/>
  <c r="M163" i="4"/>
  <c r="L163" i="4"/>
  <c r="K163" i="4"/>
  <c r="J163" i="4"/>
  <c r="M162" i="4"/>
  <c r="L162" i="4"/>
  <c r="K162" i="4"/>
  <c r="J162" i="4"/>
  <c r="M161" i="4"/>
  <c r="L161" i="4"/>
  <c r="K161" i="4"/>
  <c r="J161" i="4"/>
  <c r="M160" i="4"/>
  <c r="L160" i="4"/>
  <c r="K160" i="4"/>
  <c r="J160" i="4"/>
  <c r="M159" i="4"/>
  <c r="L159" i="4"/>
  <c r="K159" i="4"/>
  <c r="J159" i="4"/>
  <c r="M158" i="4"/>
  <c r="L158" i="4"/>
  <c r="K158" i="4"/>
  <c r="J158" i="4"/>
  <c r="M157" i="4"/>
  <c r="L157" i="4"/>
  <c r="K157" i="4"/>
  <c r="J157" i="4"/>
  <c r="M156" i="4"/>
  <c r="L156" i="4"/>
  <c r="K156" i="4"/>
  <c r="J156" i="4"/>
  <c r="M155" i="4"/>
  <c r="L155" i="4"/>
  <c r="K155" i="4"/>
  <c r="J155" i="4"/>
  <c r="M154" i="4"/>
  <c r="L154" i="4"/>
  <c r="K154" i="4"/>
  <c r="J154" i="4"/>
  <c r="M153" i="4"/>
  <c r="L153" i="4"/>
  <c r="K153" i="4"/>
  <c r="J153" i="4"/>
  <c r="M152" i="4"/>
  <c r="L152" i="4"/>
  <c r="K152" i="4"/>
  <c r="J152" i="4"/>
  <c r="M151" i="4"/>
  <c r="L151" i="4"/>
  <c r="K151" i="4"/>
  <c r="J151" i="4"/>
  <c r="M150" i="4"/>
  <c r="L150" i="4"/>
  <c r="K150" i="4"/>
  <c r="J150" i="4"/>
  <c r="M149" i="4"/>
  <c r="L149" i="4"/>
  <c r="K149" i="4"/>
  <c r="J149" i="4"/>
  <c r="M148" i="4"/>
  <c r="L148" i="4"/>
  <c r="K148" i="4"/>
  <c r="J148" i="4"/>
  <c r="M147" i="4"/>
  <c r="L147" i="4"/>
  <c r="K147" i="4"/>
  <c r="J147" i="4"/>
  <c r="M146" i="4"/>
  <c r="L146" i="4"/>
  <c r="K146" i="4"/>
  <c r="J146" i="4"/>
  <c r="M145" i="4"/>
  <c r="L145" i="4"/>
  <c r="K145" i="4"/>
  <c r="J145" i="4"/>
  <c r="M144" i="4"/>
  <c r="L144" i="4"/>
  <c r="K144" i="4"/>
  <c r="J144" i="4"/>
  <c r="M143" i="4"/>
  <c r="L143" i="4"/>
  <c r="K143" i="4"/>
  <c r="J143" i="4"/>
  <c r="M142" i="4"/>
  <c r="L142" i="4"/>
  <c r="K142" i="4"/>
  <c r="J142" i="4"/>
  <c r="M141" i="4"/>
  <c r="L141" i="4"/>
  <c r="K141" i="4"/>
  <c r="J141" i="4"/>
  <c r="M140" i="4"/>
  <c r="L140" i="4"/>
  <c r="K140" i="4"/>
  <c r="J140" i="4"/>
  <c r="M139" i="4"/>
  <c r="L139" i="4"/>
  <c r="K139" i="4"/>
  <c r="J139" i="4"/>
  <c r="M138" i="4"/>
  <c r="L138" i="4"/>
  <c r="K138" i="4"/>
  <c r="J138" i="4"/>
  <c r="M137" i="4"/>
  <c r="L137" i="4"/>
  <c r="K137" i="4"/>
  <c r="J137" i="4"/>
  <c r="M136" i="4"/>
  <c r="L136" i="4"/>
  <c r="K136" i="4"/>
  <c r="J136" i="4"/>
  <c r="M135" i="4"/>
  <c r="L135" i="4"/>
  <c r="K135" i="4"/>
  <c r="J135" i="4"/>
  <c r="M134" i="4"/>
  <c r="L134" i="4"/>
  <c r="K134" i="4"/>
  <c r="J134" i="4"/>
  <c r="M133" i="4"/>
  <c r="L133" i="4"/>
  <c r="K133" i="4"/>
  <c r="J133" i="4"/>
  <c r="M132" i="4"/>
  <c r="L132" i="4"/>
  <c r="K132" i="4"/>
  <c r="J132" i="4"/>
  <c r="M131" i="4"/>
  <c r="L131" i="4"/>
  <c r="K131" i="4"/>
  <c r="J131" i="4"/>
  <c r="M130" i="4"/>
  <c r="L130" i="4"/>
  <c r="K130" i="4"/>
  <c r="J130" i="4"/>
  <c r="M129" i="4"/>
  <c r="L129" i="4"/>
  <c r="K129" i="4"/>
  <c r="J129" i="4"/>
  <c r="M128" i="4"/>
  <c r="L128" i="4"/>
  <c r="K128" i="4"/>
  <c r="J128" i="4"/>
  <c r="M127" i="4"/>
  <c r="L127" i="4"/>
  <c r="K127" i="4"/>
  <c r="J127" i="4"/>
  <c r="M126" i="4"/>
  <c r="L126" i="4"/>
  <c r="K126" i="4"/>
  <c r="J126" i="4"/>
  <c r="M125" i="4"/>
  <c r="L125" i="4"/>
  <c r="K125" i="4"/>
  <c r="J125" i="4"/>
  <c r="M124" i="4"/>
  <c r="L124" i="4"/>
  <c r="K124" i="4"/>
  <c r="J124" i="4"/>
  <c r="M123" i="4"/>
  <c r="L123" i="4"/>
  <c r="K123" i="4"/>
  <c r="J123" i="4"/>
  <c r="M122" i="4"/>
  <c r="L122" i="4"/>
  <c r="K122" i="4"/>
  <c r="J122" i="4"/>
  <c r="M121" i="4"/>
  <c r="L121" i="4"/>
  <c r="K121" i="4"/>
  <c r="J121" i="4"/>
  <c r="M120" i="4"/>
  <c r="L120" i="4"/>
  <c r="K120" i="4"/>
  <c r="J120" i="4"/>
  <c r="M119" i="4"/>
  <c r="L119" i="4"/>
  <c r="K119" i="4"/>
  <c r="J119" i="4"/>
  <c r="M118" i="4"/>
  <c r="L118" i="4"/>
  <c r="K118" i="4"/>
  <c r="J118" i="4"/>
  <c r="M117" i="4"/>
  <c r="L117" i="4"/>
  <c r="K117" i="4"/>
  <c r="J117" i="4"/>
  <c r="M116" i="4"/>
  <c r="L116" i="4"/>
  <c r="K116" i="4"/>
  <c r="J116" i="4"/>
  <c r="M115" i="4"/>
  <c r="L115" i="4"/>
  <c r="K115" i="4"/>
  <c r="J115" i="4"/>
  <c r="M114" i="4"/>
  <c r="L114" i="4"/>
  <c r="K114" i="4"/>
  <c r="J114" i="4"/>
  <c r="M113" i="4"/>
  <c r="L113" i="4"/>
  <c r="K113" i="4"/>
  <c r="J113" i="4"/>
  <c r="M112" i="4"/>
  <c r="L112" i="4"/>
  <c r="K112" i="4"/>
  <c r="J112" i="4"/>
  <c r="M111" i="4"/>
  <c r="L111" i="4"/>
  <c r="K111" i="4"/>
  <c r="J111" i="4"/>
  <c r="M110" i="4"/>
  <c r="L110" i="4"/>
  <c r="K110" i="4"/>
  <c r="J110" i="4"/>
  <c r="M109" i="4"/>
  <c r="L109" i="4"/>
  <c r="K109" i="4"/>
  <c r="J109" i="4"/>
  <c r="M108" i="4"/>
  <c r="L108" i="4"/>
  <c r="K108" i="4"/>
  <c r="J108" i="4"/>
  <c r="M107" i="4"/>
  <c r="L107" i="4"/>
  <c r="K107" i="4"/>
  <c r="J107" i="4"/>
  <c r="M106" i="4"/>
  <c r="L106" i="4"/>
  <c r="K106" i="4"/>
  <c r="J106" i="4"/>
  <c r="M105" i="4"/>
  <c r="L105" i="4"/>
  <c r="K105" i="4"/>
  <c r="J105" i="4"/>
  <c r="M104" i="4"/>
  <c r="L104" i="4"/>
  <c r="K104" i="4"/>
  <c r="J104" i="4"/>
  <c r="M103" i="4"/>
  <c r="L103" i="4"/>
  <c r="K103" i="4"/>
  <c r="J103" i="4"/>
  <c r="M102" i="4"/>
  <c r="L102" i="4"/>
  <c r="K102" i="4"/>
  <c r="J102" i="4"/>
  <c r="M101" i="4"/>
  <c r="L101" i="4"/>
  <c r="K101" i="4"/>
  <c r="J101" i="4"/>
  <c r="M100" i="4"/>
  <c r="L100" i="4"/>
  <c r="K100" i="4"/>
  <c r="J100" i="4"/>
  <c r="M99" i="4"/>
  <c r="L99" i="4"/>
  <c r="K99" i="4"/>
  <c r="J99" i="4"/>
  <c r="M98" i="4"/>
  <c r="L98" i="4"/>
  <c r="K98" i="4"/>
  <c r="J98" i="4"/>
  <c r="M97" i="4"/>
  <c r="L97" i="4"/>
  <c r="K97" i="4"/>
  <c r="J97" i="4"/>
  <c r="M96" i="4"/>
  <c r="L96" i="4"/>
  <c r="K96" i="4"/>
  <c r="J96" i="4"/>
  <c r="M95" i="4"/>
  <c r="L95" i="4"/>
  <c r="K95" i="4"/>
  <c r="J95" i="4"/>
  <c r="M94" i="4"/>
  <c r="L94" i="4"/>
  <c r="K94" i="4"/>
  <c r="J94" i="4"/>
  <c r="M93" i="4"/>
  <c r="L93" i="4"/>
  <c r="K93" i="4"/>
  <c r="J93" i="4"/>
  <c r="M92" i="4"/>
  <c r="L92" i="4"/>
  <c r="K92" i="4"/>
  <c r="J92" i="4"/>
  <c r="M91" i="4"/>
  <c r="L91" i="4"/>
  <c r="K91" i="4"/>
  <c r="J91" i="4"/>
  <c r="M90" i="4"/>
  <c r="L90" i="4"/>
  <c r="K90" i="4"/>
  <c r="J90" i="4"/>
  <c r="M89" i="4"/>
  <c r="L89" i="4"/>
  <c r="K89" i="4"/>
  <c r="J89" i="4"/>
  <c r="M88" i="4"/>
  <c r="L88" i="4"/>
  <c r="K88" i="4"/>
  <c r="J88" i="4"/>
  <c r="M87" i="4"/>
  <c r="L87" i="4"/>
  <c r="K87" i="4"/>
  <c r="J87" i="4"/>
  <c r="M86" i="4"/>
  <c r="L86" i="4"/>
  <c r="K86" i="4"/>
  <c r="J86" i="4"/>
  <c r="M85" i="4"/>
  <c r="L85" i="4"/>
  <c r="K85" i="4"/>
  <c r="J85" i="4"/>
  <c r="M84" i="4"/>
  <c r="L84" i="4"/>
  <c r="K84" i="4"/>
  <c r="J84" i="4"/>
  <c r="M83" i="4"/>
  <c r="L83" i="4"/>
  <c r="K83" i="4"/>
  <c r="J83" i="4"/>
  <c r="M82" i="4"/>
  <c r="L82" i="4"/>
  <c r="K82" i="4"/>
  <c r="J82" i="4"/>
  <c r="M81" i="4"/>
  <c r="L81" i="4"/>
  <c r="K81" i="4"/>
  <c r="J81" i="4"/>
  <c r="M80" i="4"/>
  <c r="L80" i="4"/>
  <c r="K80" i="4"/>
  <c r="J80" i="4"/>
  <c r="M79" i="4"/>
  <c r="L79" i="4"/>
  <c r="K79" i="4"/>
  <c r="J79" i="4"/>
  <c r="M78" i="4"/>
  <c r="L78" i="4"/>
  <c r="K78" i="4"/>
  <c r="J78" i="4"/>
  <c r="M77" i="4"/>
  <c r="L77" i="4"/>
  <c r="K77" i="4"/>
  <c r="J77" i="4"/>
  <c r="M76" i="4"/>
  <c r="L76" i="4"/>
  <c r="K76" i="4"/>
  <c r="J76" i="4"/>
  <c r="M75" i="4"/>
  <c r="L75" i="4"/>
  <c r="K75" i="4"/>
  <c r="J75" i="4"/>
  <c r="M74" i="4"/>
  <c r="L74" i="4"/>
  <c r="K74" i="4"/>
  <c r="J74" i="4"/>
  <c r="M73" i="4"/>
  <c r="L73" i="4"/>
  <c r="K73" i="4"/>
  <c r="J73" i="4"/>
  <c r="M72" i="4"/>
  <c r="L72" i="4"/>
  <c r="K72" i="4"/>
  <c r="J72" i="4"/>
  <c r="M71" i="4"/>
  <c r="L71" i="4"/>
  <c r="K71" i="4"/>
  <c r="J71" i="4"/>
  <c r="M70" i="4"/>
  <c r="L70" i="4"/>
  <c r="K70" i="4"/>
  <c r="J70" i="4"/>
  <c r="M69" i="4"/>
  <c r="L69" i="4"/>
  <c r="K69" i="4"/>
  <c r="J69" i="4"/>
  <c r="M68" i="4"/>
  <c r="L68" i="4"/>
  <c r="K68" i="4"/>
  <c r="J68" i="4"/>
  <c r="M67" i="4"/>
  <c r="L67" i="4"/>
  <c r="K67" i="4"/>
  <c r="J67" i="4"/>
  <c r="M66" i="4"/>
  <c r="L66" i="4"/>
  <c r="K66" i="4"/>
  <c r="J66" i="4"/>
  <c r="M65" i="4"/>
  <c r="L65" i="4"/>
  <c r="K65" i="4"/>
  <c r="J65" i="4"/>
  <c r="M64" i="4"/>
  <c r="L64" i="4"/>
  <c r="K64" i="4"/>
  <c r="J64" i="4"/>
  <c r="M63" i="4"/>
  <c r="L63" i="4"/>
  <c r="K63" i="4"/>
  <c r="J63" i="4"/>
  <c r="M62" i="4"/>
  <c r="L62" i="4"/>
  <c r="K62" i="4"/>
  <c r="J62" i="4"/>
  <c r="M61" i="4"/>
  <c r="L61" i="4"/>
  <c r="K61" i="4"/>
  <c r="J61" i="4"/>
  <c r="M60" i="4"/>
  <c r="L60" i="4"/>
  <c r="K60" i="4"/>
  <c r="J60" i="4"/>
  <c r="M59" i="4"/>
  <c r="L59" i="4"/>
  <c r="K59" i="4"/>
  <c r="J59" i="4"/>
  <c r="M58" i="4"/>
  <c r="L58" i="4"/>
  <c r="K58" i="4"/>
  <c r="J58" i="4"/>
  <c r="M57" i="4"/>
  <c r="L57" i="4"/>
  <c r="K57" i="4"/>
  <c r="J57" i="4"/>
  <c r="M56" i="4"/>
  <c r="L56" i="4"/>
  <c r="K56" i="4"/>
  <c r="J56" i="4"/>
  <c r="M55" i="4"/>
  <c r="L55" i="4"/>
  <c r="K55" i="4"/>
  <c r="J55" i="4"/>
  <c r="M54" i="4"/>
  <c r="L54" i="4"/>
  <c r="K54" i="4"/>
  <c r="J54" i="4"/>
  <c r="M53" i="4"/>
  <c r="L53" i="4"/>
  <c r="K53" i="4"/>
  <c r="J53" i="4"/>
  <c r="M52" i="4"/>
  <c r="L52" i="4"/>
  <c r="K52" i="4"/>
  <c r="J52" i="4"/>
  <c r="M51" i="4"/>
  <c r="L51" i="4"/>
  <c r="K51" i="4"/>
  <c r="J51" i="4"/>
  <c r="M50" i="4"/>
  <c r="L50" i="4"/>
  <c r="K50" i="4"/>
  <c r="J50" i="4"/>
  <c r="M49" i="4"/>
  <c r="L49" i="4"/>
  <c r="K49" i="4"/>
  <c r="J49" i="4"/>
  <c r="M48" i="4"/>
  <c r="L48" i="4"/>
  <c r="K48" i="4"/>
  <c r="J48" i="4"/>
  <c r="M47" i="4"/>
  <c r="L47" i="4"/>
  <c r="K47" i="4"/>
  <c r="J47" i="4"/>
  <c r="M46" i="4"/>
  <c r="L46" i="4"/>
  <c r="K46" i="4"/>
  <c r="J46" i="4"/>
  <c r="M45" i="4"/>
  <c r="L45" i="4"/>
  <c r="K45" i="4"/>
  <c r="J45" i="4"/>
  <c r="M44" i="4"/>
  <c r="L44" i="4"/>
  <c r="K44" i="4"/>
  <c r="J44" i="4"/>
  <c r="M43" i="4"/>
  <c r="L43" i="4"/>
  <c r="K43" i="4"/>
  <c r="J43" i="4"/>
  <c r="M42" i="4"/>
  <c r="L42" i="4"/>
  <c r="K42" i="4"/>
  <c r="J42" i="4"/>
  <c r="M41" i="4"/>
  <c r="L41" i="4"/>
  <c r="K41" i="4"/>
  <c r="J41" i="4"/>
  <c r="M40" i="4"/>
  <c r="L40" i="4"/>
  <c r="K40" i="4"/>
  <c r="J40" i="4"/>
  <c r="M39" i="4"/>
  <c r="L39" i="4"/>
  <c r="K39" i="4"/>
  <c r="J39" i="4"/>
  <c r="M38" i="4"/>
  <c r="L38" i="4"/>
  <c r="K38" i="4"/>
  <c r="J38" i="4"/>
  <c r="M37" i="4"/>
  <c r="L37" i="4"/>
  <c r="K37" i="4"/>
  <c r="J37" i="4"/>
  <c r="M36" i="4"/>
  <c r="L36" i="4"/>
  <c r="K36" i="4"/>
  <c r="J36" i="4"/>
  <c r="M35" i="4"/>
  <c r="L35" i="4"/>
  <c r="K35" i="4"/>
  <c r="J35" i="4"/>
  <c r="M34" i="4"/>
  <c r="L34" i="4"/>
  <c r="K34" i="4"/>
  <c r="J34" i="4"/>
  <c r="M33" i="4"/>
  <c r="L33" i="4"/>
  <c r="K33" i="4"/>
  <c r="J33" i="4"/>
  <c r="M32" i="4"/>
  <c r="L32" i="4"/>
  <c r="K32" i="4"/>
  <c r="J32" i="4"/>
  <c r="M31" i="4"/>
  <c r="L31" i="4"/>
  <c r="K31" i="4"/>
  <c r="J31" i="4"/>
  <c r="M30" i="4"/>
  <c r="L30" i="4"/>
  <c r="K30" i="4"/>
  <c r="J30" i="4"/>
  <c r="M29" i="4"/>
  <c r="L29" i="4"/>
  <c r="K29" i="4"/>
  <c r="J29" i="4"/>
  <c r="M28" i="4"/>
  <c r="L28" i="4"/>
  <c r="K28" i="4"/>
  <c r="J28" i="4"/>
  <c r="M27" i="4"/>
  <c r="L27" i="4"/>
  <c r="K27" i="4"/>
  <c r="J27" i="4"/>
  <c r="M26" i="4"/>
  <c r="L26" i="4"/>
  <c r="K26" i="4"/>
  <c r="J26" i="4"/>
  <c r="M25" i="4"/>
  <c r="L25" i="4"/>
  <c r="K25" i="4"/>
  <c r="J25" i="4"/>
  <c r="M24" i="4"/>
  <c r="L24" i="4"/>
  <c r="K24" i="4"/>
  <c r="J24" i="4"/>
  <c r="M23" i="4"/>
  <c r="L23" i="4"/>
  <c r="K23" i="4"/>
  <c r="J23" i="4"/>
  <c r="M22" i="4"/>
  <c r="L22" i="4"/>
  <c r="K22" i="4"/>
  <c r="J22" i="4"/>
  <c r="M21" i="4"/>
  <c r="L21" i="4"/>
  <c r="K21" i="4"/>
  <c r="J21" i="4"/>
  <c r="M20" i="4"/>
  <c r="L20" i="4"/>
  <c r="K20" i="4"/>
  <c r="J20" i="4"/>
  <c r="M19" i="4"/>
  <c r="L19" i="4"/>
  <c r="K19" i="4"/>
  <c r="J19" i="4"/>
  <c r="M18" i="4"/>
  <c r="L18" i="4"/>
  <c r="K18" i="4"/>
  <c r="J18" i="4"/>
  <c r="M17" i="4"/>
  <c r="L17" i="4"/>
  <c r="K17" i="4"/>
  <c r="J17" i="4"/>
  <c r="M16" i="4"/>
  <c r="L16" i="4"/>
  <c r="K16" i="4"/>
  <c r="J16" i="4"/>
  <c r="M15" i="4"/>
  <c r="L15" i="4"/>
  <c r="K15" i="4"/>
  <c r="J15" i="4"/>
  <c r="M14" i="4"/>
  <c r="L14" i="4"/>
  <c r="K14" i="4"/>
  <c r="J14" i="4"/>
  <c r="M13" i="4"/>
  <c r="L13" i="4"/>
  <c r="K13" i="4"/>
  <c r="J13" i="4"/>
  <c r="M12" i="4"/>
  <c r="L12" i="4"/>
  <c r="K12" i="4"/>
  <c r="J12" i="4"/>
  <c r="M11" i="4"/>
  <c r="L11" i="4"/>
  <c r="K11" i="4"/>
  <c r="J11" i="4"/>
  <c r="M10" i="4"/>
  <c r="L10" i="4"/>
  <c r="K10" i="4"/>
  <c r="J10" i="4"/>
  <c r="I202" i="4"/>
  <c r="H202" i="4"/>
  <c r="G202" i="4"/>
  <c r="J202" i="4" s="1"/>
  <c r="F202" i="4"/>
  <c r="E202" i="4"/>
  <c r="D202" i="4"/>
  <c r="L202" i="4" s="1"/>
  <c r="C202" i="4"/>
  <c r="K202" i="4" s="1"/>
  <c r="B202" i="4"/>
  <c r="M202" i="4" s="1"/>
  <c r="I201" i="3"/>
  <c r="H201" i="3"/>
  <c r="G201" i="3"/>
  <c r="F201" i="3"/>
  <c r="E201" i="3"/>
  <c r="D201" i="3"/>
  <c r="C201" i="3"/>
  <c r="B201" i="3"/>
  <c r="M200" i="3"/>
  <c r="L200" i="3"/>
  <c r="K200" i="3"/>
  <c r="J200" i="3"/>
  <c r="M199" i="3"/>
  <c r="L199" i="3"/>
  <c r="K199" i="3"/>
  <c r="J199" i="3"/>
  <c r="M198" i="3"/>
  <c r="L198" i="3"/>
  <c r="K198" i="3"/>
  <c r="J198" i="3"/>
  <c r="M197" i="3"/>
  <c r="L197" i="3"/>
  <c r="K197" i="3"/>
  <c r="J197" i="3"/>
  <c r="M196" i="3"/>
  <c r="L196" i="3"/>
  <c r="K196" i="3"/>
  <c r="J196" i="3"/>
  <c r="M195" i="3"/>
  <c r="L195" i="3"/>
  <c r="K195" i="3"/>
  <c r="J195" i="3"/>
  <c r="M194" i="3"/>
  <c r="L194" i="3"/>
  <c r="K194" i="3"/>
  <c r="J194" i="3"/>
  <c r="M193" i="3"/>
  <c r="L193" i="3"/>
  <c r="K193" i="3"/>
  <c r="J193" i="3"/>
  <c r="M192" i="3"/>
  <c r="L192" i="3"/>
  <c r="K192" i="3"/>
  <c r="J192" i="3"/>
  <c r="M191" i="3"/>
  <c r="L191" i="3"/>
  <c r="K191" i="3"/>
  <c r="J191" i="3"/>
  <c r="M190" i="3"/>
  <c r="L190" i="3"/>
  <c r="K190" i="3"/>
  <c r="J190" i="3"/>
  <c r="M189" i="3"/>
  <c r="L189" i="3"/>
  <c r="K189" i="3"/>
  <c r="J189" i="3"/>
  <c r="M188" i="3"/>
  <c r="L188" i="3"/>
  <c r="K188" i="3"/>
  <c r="J188" i="3"/>
  <c r="M187" i="3"/>
  <c r="L187" i="3"/>
  <c r="K187" i="3"/>
  <c r="J187" i="3"/>
  <c r="M186" i="3"/>
  <c r="L186" i="3"/>
  <c r="K186" i="3"/>
  <c r="J186" i="3"/>
  <c r="M185" i="3"/>
  <c r="L185" i="3"/>
  <c r="K185" i="3"/>
  <c r="J185" i="3"/>
  <c r="M184" i="3"/>
  <c r="L184" i="3"/>
  <c r="K184" i="3"/>
  <c r="J184" i="3"/>
  <c r="M183" i="3"/>
  <c r="L183" i="3"/>
  <c r="K183" i="3"/>
  <c r="J183" i="3"/>
  <c r="M182" i="3"/>
  <c r="L182" i="3"/>
  <c r="K182" i="3"/>
  <c r="J182" i="3"/>
  <c r="M181" i="3"/>
  <c r="L181" i="3"/>
  <c r="K181" i="3"/>
  <c r="J181" i="3"/>
  <c r="M180" i="3"/>
  <c r="L180" i="3"/>
  <c r="K180" i="3"/>
  <c r="J180" i="3"/>
  <c r="M179" i="3"/>
  <c r="L179" i="3"/>
  <c r="K179" i="3"/>
  <c r="J179" i="3"/>
  <c r="M178" i="3"/>
  <c r="L178" i="3"/>
  <c r="K178" i="3"/>
  <c r="J178" i="3"/>
  <c r="M177" i="3"/>
  <c r="L177" i="3"/>
  <c r="K177" i="3"/>
  <c r="J177" i="3"/>
  <c r="M176" i="3"/>
  <c r="L176" i="3"/>
  <c r="K176" i="3"/>
  <c r="J176" i="3"/>
  <c r="M175" i="3"/>
  <c r="L175" i="3"/>
  <c r="K175" i="3"/>
  <c r="J175" i="3"/>
  <c r="M174" i="3"/>
  <c r="L174" i="3"/>
  <c r="K174" i="3"/>
  <c r="J174" i="3"/>
  <c r="M173" i="3"/>
  <c r="L173" i="3"/>
  <c r="K173" i="3"/>
  <c r="J173" i="3"/>
  <c r="M172" i="3"/>
  <c r="L172" i="3"/>
  <c r="K172" i="3"/>
  <c r="J172" i="3"/>
  <c r="M171" i="3"/>
  <c r="L171" i="3"/>
  <c r="K171" i="3"/>
  <c r="J171" i="3"/>
  <c r="M170" i="3"/>
  <c r="L170" i="3"/>
  <c r="K170" i="3"/>
  <c r="J170" i="3"/>
  <c r="M169" i="3"/>
  <c r="L169" i="3"/>
  <c r="K169" i="3"/>
  <c r="J169" i="3"/>
  <c r="M168" i="3"/>
  <c r="L168" i="3"/>
  <c r="K168" i="3"/>
  <c r="J168" i="3"/>
  <c r="M167" i="3"/>
  <c r="L167" i="3"/>
  <c r="K167" i="3"/>
  <c r="J167" i="3"/>
  <c r="M166" i="3"/>
  <c r="L166" i="3"/>
  <c r="K166" i="3"/>
  <c r="J166" i="3"/>
  <c r="M165" i="3"/>
  <c r="L165" i="3"/>
  <c r="K165" i="3"/>
  <c r="J165" i="3"/>
  <c r="M164" i="3"/>
  <c r="L164" i="3"/>
  <c r="K164" i="3"/>
  <c r="J164" i="3"/>
  <c r="M163" i="3"/>
  <c r="L163" i="3"/>
  <c r="K163" i="3"/>
  <c r="J163" i="3"/>
  <c r="M162" i="3"/>
  <c r="L162" i="3"/>
  <c r="K162" i="3"/>
  <c r="J162" i="3"/>
  <c r="M161" i="3"/>
  <c r="L161" i="3"/>
  <c r="K161" i="3"/>
  <c r="J161" i="3"/>
  <c r="M160" i="3"/>
  <c r="L160" i="3"/>
  <c r="K160" i="3"/>
  <c r="J160" i="3"/>
  <c r="M159" i="3"/>
  <c r="L159" i="3"/>
  <c r="K159" i="3"/>
  <c r="J159" i="3"/>
  <c r="M158" i="3"/>
  <c r="L158" i="3"/>
  <c r="K158" i="3"/>
  <c r="J158" i="3"/>
  <c r="M157" i="3"/>
  <c r="L157" i="3"/>
  <c r="K157" i="3"/>
  <c r="J157" i="3"/>
  <c r="M156" i="3"/>
  <c r="L156" i="3"/>
  <c r="K156" i="3"/>
  <c r="J156" i="3"/>
  <c r="M155" i="3"/>
  <c r="L155" i="3"/>
  <c r="K155" i="3"/>
  <c r="J155" i="3"/>
  <c r="M154" i="3"/>
  <c r="L154" i="3"/>
  <c r="K154" i="3"/>
  <c r="J154" i="3"/>
  <c r="M153" i="3"/>
  <c r="L153" i="3"/>
  <c r="K153" i="3"/>
  <c r="J153" i="3"/>
  <c r="M152" i="3"/>
  <c r="L152" i="3"/>
  <c r="K152" i="3"/>
  <c r="J152" i="3"/>
  <c r="M151" i="3"/>
  <c r="L151" i="3"/>
  <c r="K151" i="3"/>
  <c r="J151" i="3"/>
  <c r="M150" i="3"/>
  <c r="L150" i="3"/>
  <c r="K150" i="3"/>
  <c r="J150" i="3"/>
  <c r="M149" i="3"/>
  <c r="L149" i="3"/>
  <c r="K149" i="3"/>
  <c r="J149" i="3"/>
  <c r="M148" i="3"/>
  <c r="L148" i="3"/>
  <c r="K148" i="3"/>
  <c r="J148" i="3"/>
  <c r="M147" i="3"/>
  <c r="L147" i="3"/>
  <c r="K147" i="3"/>
  <c r="J147" i="3"/>
  <c r="M146" i="3"/>
  <c r="L146" i="3"/>
  <c r="K146" i="3"/>
  <c r="J146" i="3"/>
  <c r="M145" i="3"/>
  <c r="L145" i="3"/>
  <c r="K145" i="3"/>
  <c r="J145" i="3"/>
  <c r="M144" i="3"/>
  <c r="L144" i="3"/>
  <c r="K144" i="3"/>
  <c r="J144" i="3"/>
  <c r="M143" i="3"/>
  <c r="L143" i="3"/>
  <c r="K143" i="3"/>
  <c r="J143" i="3"/>
  <c r="M142" i="3"/>
  <c r="L142" i="3"/>
  <c r="K142" i="3"/>
  <c r="J142" i="3"/>
  <c r="M141" i="3"/>
  <c r="L141" i="3"/>
  <c r="K141" i="3"/>
  <c r="J141" i="3"/>
  <c r="M140" i="3"/>
  <c r="L140" i="3"/>
  <c r="K140" i="3"/>
  <c r="J140" i="3"/>
  <c r="M139" i="3"/>
  <c r="L139" i="3"/>
  <c r="K139" i="3"/>
  <c r="J139" i="3"/>
  <c r="M138" i="3"/>
  <c r="L138" i="3"/>
  <c r="K138" i="3"/>
  <c r="J138" i="3"/>
  <c r="M137" i="3"/>
  <c r="L137" i="3"/>
  <c r="K137" i="3"/>
  <c r="J137" i="3"/>
  <c r="M136" i="3"/>
  <c r="L136" i="3"/>
  <c r="K136" i="3"/>
  <c r="J136" i="3"/>
  <c r="M135" i="3"/>
  <c r="L135" i="3"/>
  <c r="K135" i="3"/>
  <c r="J135" i="3"/>
  <c r="M134" i="3"/>
  <c r="L134" i="3"/>
  <c r="K134" i="3"/>
  <c r="J134" i="3"/>
  <c r="M133" i="3"/>
  <c r="L133" i="3"/>
  <c r="K133" i="3"/>
  <c r="J133" i="3"/>
  <c r="M132" i="3"/>
  <c r="L132" i="3"/>
  <c r="K132" i="3"/>
  <c r="J132" i="3"/>
  <c r="M131" i="3"/>
  <c r="L131" i="3"/>
  <c r="K131" i="3"/>
  <c r="J131" i="3"/>
  <c r="M130" i="3"/>
  <c r="K130" i="3"/>
  <c r="J130" i="3"/>
  <c r="M129" i="3"/>
  <c r="L129" i="3"/>
  <c r="K129" i="3"/>
  <c r="J129" i="3"/>
  <c r="M128" i="3"/>
  <c r="L128" i="3"/>
  <c r="K128" i="3"/>
  <c r="J128" i="3"/>
  <c r="M127" i="3"/>
  <c r="L127" i="3"/>
  <c r="K127" i="3"/>
  <c r="J127" i="3"/>
  <c r="M126" i="3"/>
  <c r="L126" i="3"/>
  <c r="K126" i="3"/>
  <c r="J126" i="3"/>
  <c r="M125" i="3"/>
  <c r="L125" i="3"/>
  <c r="K125" i="3"/>
  <c r="J125" i="3"/>
  <c r="M124" i="3"/>
  <c r="L124" i="3"/>
  <c r="K124" i="3"/>
  <c r="J124" i="3"/>
  <c r="M123" i="3"/>
  <c r="L123" i="3"/>
  <c r="K123" i="3"/>
  <c r="J123" i="3"/>
  <c r="M122" i="3"/>
  <c r="L122" i="3"/>
  <c r="K122" i="3"/>
  <c r="J122" i="3"/>
  <c r="M121" i="3"/>
  <c r="L121" i="3"/>
  <c r="K121" i="3"/>
  <c r="J121" i="3"/>
  <c r="M120" i="3"/>
  <c r="L120" i="3"/>
  <c r="K120" i="3"/>
  <c r="J120" i="3"/>
  <c r="M119" i="3"/>
  <c r="L119" i="3"/>
  <c r="K119" i="3"/>
  <c r="J119" i="3"/>
  <c r="M118" i="3"/>
  <c r="L118" i="3"/>
  <c r="K118" i="3"/>
  <c r="J118" i="3"/>
  <c r="M117" i="3"/>
  <c r="L117" i="3"/>
  <c r="K117" i="3"/>
  <c r="J117" i="3"/>
  <c r="M116" i="3"/>
  <c r="L116" i="3"/>
  <c r="K116" i="3"/>
  <c r="J116" i="3"/>
  <c r="M115" i="3"/>
  <c r="L115" i="3"/>
  <c r="K115" i="3"/>
  <c r="J115" i="3"/>
  <c r="M114" i="3"/>
  <c r="L114" i="3"/>
  <c r="K114" i="3"/>
  <c r="J114" i="3"/>
  <c r="M113" i="3"/>
  <c r="L113" i="3"/>
  <c r="K113" i="3"/>
  <c r="J113" i="3"/>
  <c r="M112" i="3"/>
  <c r="L112" i="3"/>
  <c r="K112" i="3"/>
  <c r="J112" i="3"/>
  <c r="M111" i="3"/>
  <c r="L111" i="3"/>
  <c r="K111" i="3"/>
  <c r="J111" i="3"/>
  <c r="M110" i="3"/>
  <c r="L110" i="3"/>
  <c r="K110" i="3"/>
  <c r="J110" i="3"/>
  <c r="M109" i="3"/>
  <c r="L109" i="3"/>
  <c r="K109" i="3"/>
  <c r="J109" i="3"/>
  <c r="M108" i="3"/>
  <c r="L108" i="3"/>
  <c r="K108" i="3"/>
  <c r="J108" i="3"/>
  <c r="M107" i="3"/>
  <c r="L107" i="3"/>
  <c r="K107" i="3"/>
  <c r="J107" i="3"/>
  <c r="M106" i="3"/>
  <c r="L106" i="3"/>
  <c r="K106" i="3"/>
  <c r="J106" i="3"/>
  <c r="M105" i="3"/>
  <c r="L105" i="3"/>
  <c r="K105" i="3"/>
  <c r="J105" i="3"/>
  <c r="M104" i="3"/>
  <c r="L104" i="3"/>
  <c r="K104" i="3"/>
  <c r="J104" i="3"/>
  <c r="M103" i="3"/>
  <c r="L103" i="3"/>
  <c r="K103" i="3"/>
  <c r="J103" i="3"/>
  <c r="M102" i="3"/>
  <c r="L102" i="3"/>
  <c r="K102" i="3"/>
  <c r="J102" i="3"/>
  <c r="M101" i="3"/>
  <c r="L101" i="3"/>
  <c r="K101" i="3"/>
  <c r="J101" i="3"/>
  <c r="M100" i="3"/>
  <c r="L100" i="3"/>
  <c r="K100" i="3"/>
  <c r="J100" i="3"/>
  <c r="M99" i="3"/>
  <c r="L99" i="3"/>
  <c r="K99" i="3"/>
  <c r="J99" i="3"/>
  <c r="M98" i="3"/>
  <c r="L98" i="3"/>
  <c r="K98" i="3"/>
  <c r="J98" i="3"/>
  <c r="M97" i="3"/>
  <c r="L97" i="3"/>
  <c r="K97" i="3"/>
  <c r="J97" i="3"/>
  <c r="M96" i="3"/>
  <c r="L96" i="3"/>
  <c r="K96" i="3"/>
  <c r="J96" i="3"/>
  <c r="M95" i="3"/>
  <c r="L95" i="3"/>
  <c r="K95" i="3"/>
  <c r="J95" i="3"/>
  <c r="M94" i="3"/>
  <c r="L94" i="3"/>
  <c r="K94" i="3"/>
  <c r="J94" i="3"/>
  <c r="M93" i="3"/>
  <c r="L93" i="3"/>
  <c r="K93" i="3"/>
  <c r="J93" i="3"/>
  <c r="M92" i="3"/>
  <c r="L92" i="3"/>
  <c r="K92" i="3"/>
  <c r="J92" i="3"/>
  <c r="M91" i="3"/>
  <c r="L91" i="3"/>
  <c r="K91" i="3"/>
  <c r="J91" i="3"/>
  <c r="M90" i="3"/>
  <c r="L90" i="3"/>
  <c r="K90" i="3"/>
  <c r="J90" i="3"/>
  <c r="M89" i="3"/>
  <c r="L89" i="3"/>
  <c r="K89" i="3"/>
  <c r="J89" i="3"/>
  <c r="M88" i="3"/>
  <c r="L88" i="3"/>
  <c r="K88" i="3"/>
  <c r="J88" i="3"/>
  <c r="M87" i="3"/>
  <c r="L87" i="3"/>
  <c r="K87" i="3"/>
  <c r="J87" i="3"/>
  <c r="M86" i="3"/>
  <c r="L86" i="3"/>
  <c r="K86" i="3"/>
  <c r="J86" i="3"/>
  <c r="M85" i="3"/>
  <c r="L85" i="3"/>
  <c r="K85" i="3"/>
  <c r="J85" i="3"/>
  <c r="M84" i="3"/>
  <c r="L84" i="3"/>
  <c r="K84" i="3"/>
  <c r="J84" i="3"/>
  <c r="M83" i="3"/>
  <c r="L83" i="3"/>
  <c r="K83" i="3"/>
  <c r="J83" i="3"/>
  <c r="M82" i="3"/>
  <c r="L82" i="3"/>
  <c r="K82" i="3"/>
  <c r="J82" i="3"/>
  <c r="M81" i="3"/>
  <c r="L81" i="3"/>
  <c r="K81" i="3"/>
  <c r="J81" i="3"/>
  <c r="M80" i="3"/>
  <c r="L80" i="3"/>
  <c r="K80" i="3"/>
  <c r="J80" i="3"/>
  <c r="M79" i="3"/>
  <c r="L79" i="3"/>
  <c r="K79" i="3"/>
  <c r="J79" i="3"/>
  <c r="M78" i="3"/>
  <c r="L78" i="3"/>
  <c r="K78" i="3"/>
  <c r="J78" i="3"/>
  <c r="M77" i="3"/>
  <c r="L77" i="3"/>
  <c r="K77" i="3"/>
  <c r="J77" i="3"/>
  <c r="M76" i="3"/>
  <c r="L76" i="3"/>
  <c r="K76" i="3"/>
  <c r="J76" i="3"/>
  <c r="M75" i="3"/>
  <c r="L75" i="3"/>
  <c r="K75" i="3"/>
  <c r="J75" i="3"/>
  <c r="M74" i="3"/>
  <c r="L74" i="3"/>
  <c r="K74" i="3"/>
  <c r="J74" i="3"/>
  <c r="M73" i="3"/>
  <c r="L73" i="3"/>
  <c r="K73" i="3"/>
  <c r="J73" i="3"/>
  <c r="M72" i="3"/>
  <c r="L72" i="3"/>
  <c r="K72" i="3"/>
  <c r="J72" i="3"/>
  <c r="M71" i="3"/>
  <c r="L71" i="3"/>
  <c r="K71" i="3"/>
  <c r="J71" i="3"/>
  <c r="M70" i="3"/>
  <c r="L70" i="3"/>
  <c r="K70" i="3"/>
  <c r="J70" i="3"/>
  <c r="M69" i="3"/>
  <c r="L69" i="3"/>
  <c r="K69" i="3"/>
  <c r="J69" i="3"/>
  <c r="M68" i="3"/>
  <c r="L68" i="3"/>
  <c r="K68" i="3"/>
  <c r="J68" i="3"/>
  <c r="M67" i="3"/>
  <c r="L67" i="3"/>
  <c r="K67" i="3"/>
  <c r="J67" i="3"/>
  <c r="M66" i="3"/>
  <c r="L66" i="3"/>
  <c r="K66" i="3"/>
  <c r="J66" i="3"/>
  <c r="M65" i="3"/>
  <c r="L65" i="3"/>
  <c r="K65" i="3"/>
  <c r="J65" i="3"/>
  <c r="M64" i="3"/>
  <c r="L64" i="3"/>
  <c r="K64" i="3"/>
  <c r="J64" i="3"/>
  <c r="M63" i="3"/>
  <c r="L63" i="3"/>
  <c r="K63" i="3"/>
  <c r="J63" i="3"/>
  <c r="M62" i="3"/>
  <c r="L62" i="3"/>
  <c r="K62" i="3"/>
  <c r="J62" i="3"/>
  <c r="M61" i="3"/>
  <c r="L61" i="3"/>
  <c r="K61" i="3"/>
  <c r="J61" i="3"/>
  <c r="M60" i="3"/>
  <c r="L60" i="3"/>
  <c r="K60" i="3"/>
  <c r="J60" i="3"/>
  <c r="M59" i="3"/>
  <c r="L59" i="3"/>
  <c r="K59" i="3"/>
  <c r="J59" i="3"/>
  <c r="M58" i="3"/>
  <c r="L58" i="3"/>
  <c r="K58" i="3"/>
  <c r="J58" i="3"/>
  <c r="M57" i="3"/>
  <c r="L57" i="3"/>
  <c r="K57" i="3"/>
  <c r="J57" i="3"/>
  <c r="M56" i="3"/>
  <c r="L56" i="3"/>
  <c r="K56" i="3"/>
  <c r="J56" i="3"/>
  <c r="M55" i="3"/>
  <c r="L55" i="3"/>
  <c r="K55" i="3"/>
  <c r="J55" i="3"/>
  <c r="M54" i="3"/>
  <c r="L54" i="3"/>
  <c r="K54" i="3"/>
  <c r="J54" i="3"/>
  <c r="M53" i="3"/>
  <c r="L53" i="3"/>
  <c r="K53" i="3"/>
  <c r="J53" i="3"/>
  <c r="M52" i="3"/>
  <c r="L52" i="3"/>
  <c r="K52" i="3"/>
  <c r="J52" i="3"/>
  <c r="M51" i="3"/>
  <c r="L51" i="3"/>
  <c r="K51" i="3"/>
  <c r="J51" i="3"/>
  <c r="M50" i="3"/>
  <c r="L50" i="3"/>
  <c r="K50" i="3"/>
  <c r="J50" i="3"/>
  <c r="M49" i="3"/>
  <c r="L49" i="3"/>
  <c r="K49" i="3"/>
  <c r="J49" i="3"/>
  <c r="M48" i="3"/>
  <c r="L48" i="3"/>
  <c r="K48" i="3"/>
  <c r="J48" i="3"/>
  <c r="M47" i="3"/>
  <c r="L47" i="3"/>
  <c r="K47" i="3"/>
  <c r="J47" i="3"/>
  <c r="M46" i="3"/>
  <c r="L46" i="3"/>
  <c r="K46" i="3"/>
  <c r="J46" i="3"/>
  <c r="M45" i="3"/>
  <c r="L45" i="3"/>
  <c r="K45" i="3"/>
  <c r="J45" i="3"/>
  <c r="M44" i="3"/>
  <c r="L44" i="3"/>
  <c r="K44" i="3"/>
  <c r="J44" i="3"/>
  <c r="M43" i="3"/>
  <c r="L43" i="3"/>
  <c r="K43" i="3"/>
  <c r="J43" i="3"/>
  <c r="M42" i="3"/>
  <c r="L42" i="3"/>
  <c r="K42" i="3"/>
  <c r="J42" i="3"/>
  <c r="M41" i="3"/>
  <c r="L41" i="3"/>
  <c r="K41" i="3"/>
  <c r="J41" i="3"/>
  <c r="M40" i="3"/>
  <c r="L40" i="3"/>
  <c r="K40" i="3"/>
  <c r="J40" i="3"/>
  <c r="M39" i="3"/>
  <c r="L39" i="3"/>
  <c r="K39" i="3"/>
  <c r="J39" i="3"/>
  <c r="M38" i="3"/>
  <c r="L38" i="3"/>
  <c r="K38" i="3"/>
  <c r="J38" i="3"/>
  <c r="M37" i="3"/>
  <c r="L37" i="3"/>
  <c r="K37" i="3"/>
  <c r="J37" i="3"/>
  <c r="M36" i="3"/>
  <c r="L36" i="3"/>
  <c r="K36" i="3"/>
  <c r="J36" i="3"/>
  <c r="M35" i="3"/>
  <c r="L35" i="3"/>
  <c r="K35" i="3"/>
  <c r="J35" i="3"/>
  <c r="M34" i="3"/>
  <c r="L34" i="3"/>
  <c r="K34" i="3"/>
  <c r="J34" i="3"/>
  <c r="M33" i="3"/>
  <c r="L33" i="3"/>
  <c r="K33" i="3"/>
  <c r="J33" i="3"/>
  <c r="M32" i="3"/>
  <c r="L32" i="3"/>
  <c r="K32" i="3"/>
  <c r="J32" i="3"/>
  <c r="M31" i="3"/>
  <c r="L31" i="3"/>
  <c r="K31" i="3"/>
  <c r="J31" i="3"/>
  <c r="M30" i="3"/>
  <c r="L30" i="3"/>
  <c r="K30" i="3"/>
  <c r="J30" i="3"/>
  <c r="M29" i="3"/>
  <c r="L29" i="3"/>
  <c r="K29" i="3"/>
  <c r="J29" i="3"/>
  <c r="M28" i="3"/>
  <c r="L28" i="3"/>
  <c r="K28" i="3"/>
  <c r="J28" i="3"/>
  <c r="M27" i="3"/>
  <c r="L27" i="3"/>
  <c r="K27" i="3"/>
  <c r="J27" i="3"/>
  <c r="M26" i="3"/>
  <c r="L26" i="3"/>
  <c r="K26" i="3"/>
  <c r="J26" i="3"/>
  <c r="M25" i="3"/>
  <c r="L25" i="3"/>
  <c r="K25" i="3"/>
  <c r="J25" i="3"/>
  <c r="M24" i="3"/>
  <c r="L24" i="3"/>
  <c r="K24" i="3"/>
  <c r="J24" i="3"/>
  <c r="M23" i="3"/>
  <c r="L23" i="3"/>
  <c r="K23" i="3"/>
  <c r="J23" i="3"/>
  <c r="M22" i="3"/>
  <c r="L22" i="3"/>
  <c r="K22" i="3"/>
  <c r="J22" i="3"/>
  <c r="M21" i="3"/>
  <c r="L21" i="3"/>
  <c r="K21" i="3"/>
  <c r="J21" i="3"/>
  <c r="M20" i="3"/>
  <c r="L20" i="3"/>
  <c r="K20" i="3"/>
  <c r="J20" i="3"/>
  <c r="M19" i="3"/>
  <c r="L19" i="3"/>
  <c r="K19" i="3"/>
  <c r="J19" i="3"/>
  <c r="M18" i="3"/>
  <c r="L18" i="3"/>
  <c r="K18" i="3"/>
  <c r="J18" i="3"/>
  <c r="M17" i="3"/>
  <c r="L17" i="3"/>
  <c r="K17" i="3"/>
  <c r="J17" i="3"/>
  <c r="M16" i="3"/>
  <c r="L16" i="3"/>
  <c r="K16" i="3"/>
  <c r="J16" i="3"/>
  <c r="M15" i="3"/>
  <c r="L15" i="3"/>
  <c r="K15" i="3"/>
  <c r="J15" i="3"/>
  <c r="M14" i="3"/>
  <c r="L14" i="3"/>
  <c r="K14" i="3"/>
  <c r="J14" i="3"/>
  <c r="M13" i="3"/>
  <c r="L13" i="3"/>
  <c r="K13" i="3"/>
  <c r="J13" i="3"/>
  <c r="M12" i="3"/>
  <c r="L12" i="3"/>
  <c r="K12" i="3"/>
  <c r="J12" i="3"/>
  <c r="M11" i="3"/>
  <c r="L11" i="3"/>
  <c r="K11" i="3"/>
  <c r="J11" i="3"/>
  <c r="M10" i="3"/>
  <c r="L10" i="3"/>
  <c r="K10" i="3"/>
  <c r="J10" i="3"/>
  <c r="M9" i="3"/>
  <c r="M201" i="3" s="1"/>
  <c r="L9" i="3"/>
  <c r="L201" i="3" s="1"/>
  <c r="L204" i="3" s="1"/>
  <c r="K9" i="3"/>
  <c r="K201" i="3" s="1"/>
  <c r="J9" i="3"/>
  <c r="J201" i="3" s="1"/>
  <c r="J199" i="2"/>
  <c r="I199" i="2"/>
  <c r="H199" i="2"/>
  <c r="G199" i="2"/>
  <c r="F199" i="2"/>
  <c r="E199" i="2"/>
  <c r="D199" i="2"/>
  <c r="C199" i="2"/>
  <c r="N198" i="2"/>
  <c r="M198" i="2"/>
  <c r="L198" i="2"/>
  <c r="K198" i="2"/>
  <c r="N197" i="2"/>
  <c r="M197" i="2"/>
  <c r="L197" i="2"/>
  <c r="K197" i="2"/>
  <c r="N196" i="2"/>
  <c r="M196" i="2"/>
  <c r="L196" i="2"/>
  <c r="K196" i="2"/>
  <c r="N195" i="2"/>
  <c r="M195" i="2"/>
  <c r="L195" i="2"/>
  <c r="K195" i="2"/>
  <c r="N194" i="2"/>
  <c r="M194" i="2"/>
  <c r="L194" i="2"/>
  <c r="K194" i="2"/>
  <c r="N193" i="2"/>
  <c r="M193" i="2"/>
  <c r="L193" i="2"/>
  <c r="K193" i="2"/>
  <c r="N192" i="2"/>
  <c r="M192" i="2"/>
  <c r="L192" i="2"/>
  <c r="K192" i="2"/>
  <c r="N191" i="2"/>
  <c r="M191" i="2"/>
  <c r="L191" i="2"/>
  <c r="K191" i="2"/>
  <c r="N190" i="2"/>
  <c r="M190" i="2"/>
  <c r="L190" i="2"/>
  <c r="K190" i="2"/>
  <c r="N189" i="2"/>
  <c r="M189" i="2"/>
  <c r="L189" i="2"/>
  <c r="K189" i="2"/>
  <c r="N188" i="2"/>
  <c r="M188" i="2"/>
  <c r="L188" i="2"/>
  <c r="K188" i="2"/>
  <c r="N187" i="2"/>
  <c r="M187" i="2"/>
  <c r="L187" i="2"/>
  <c r="K187" i="2"/>
  <c r="N186" i="2"/>
  <c r="M186" i="2"/>
  <c r="L186" i="2"/>
  <c r="K186" i="2"/>
  <c r="N185" i="2"/>
  <c r="M185" i="2"/>
  <c r="L185" i="2"/>
  <c r="K185" i="2"/>
  <c r="N184" i="2"/>
  <c r="M184" i="2"/>
  <c r="L184" i="2"/>
  <c r="K184" i="2"/>
  <c r="N183" i="2"/>
  <c r="M183" i="2"/>
  <c r="L183" i="2"/>
  <c r="K183" i="2"/>
  <c r="N182" i="2"/>
  <c r="M182" i="2"/>
  <c r="L182" i="2"/>
  <c r="K182" i="2"/>
  <c r="N181" i="2"/>
  <c r="M181" i="2"/>
  <c r="L181" i="2"/>
  <c r="K181" i="2"/>
  <c r="N180" i="2"/>
  <c r="M180" i="2"/>
  <c r="L180" i="2"/>
  <c r="K180" i="2"/>
  <c r="N179" i="2"/>
  <c r="M179" i="2"/>
  <c r="L179" i="2"/>
  <c r="K179" i="2"/>
  <c r="N178" i="2"/>
  <c r="M178" i="2"/>
  <c r="L178" i="2"/>
  <c r="K178" i="2"/>
  <c r="N177" i="2"/>
  <c r="M177" i="2"/>
  <c r="L177" i="2"/>
  <c r="K177" i="2"/>
  <c r="N176" i="2"/>
  <c r="M176" i="2"/>
  <c r="L176" i="2"/>
  <c r="K176" i="2"/>
  <c r="N175" i="2"/>
  <c r="M175" i="2"/>
  <c r="L175" i="2"/>
  <c r="K175" i="2"/>
  <c r="N174" i="2"/>
  <c r="M174" i="2"/>
  <c r="L174" i="2"/>
  <c r="K174" i="2"/>
  <c r="N173" i="2"/>
  <c r="M173" i="2"/>
  <c r="L173" i="2"/>
  <c r="K173" i="2"/>
  <c r="N172" i="2"/>
  <c r="M172" i="2"/>
  <c r="L172" i="2"/>
  <c r="K172" i="2"/>
  <c r="N171" i="2"/>
  <c r="M171" i="2"/>
  <c r="L171" i="2"/>
  <c r="K171" i="2"/>
  <c r="N170" i="2"/>
  <c r="M170" i="2"/>
  <c r="L170" i="2"/>
  <c r="K170" i="2"/>
  <c r="N169" i="2"/>
  <c r="M169" i="2"/>
  <c r="L169" i="2"/>
  <c r="K169" i="2"/>
  <c r="N168" i="2"/>
  <c r="M168" i="2"/>
  <c r="L168" i="2"/>
  <c r="K168" i="2"/>
  <c r="N167" i="2"/>
  <c r="M167" i="2"/>
  <c r="L167" i="2"/>
  <c r="K167" i="2"/>
  <c r="N166" i="2"/>
  <c r="M166" i="2"/>
  <c r="L166" i="2"/>
  <c r="K166" i="2"/>
  <c r="N165" i="2"/>
  <c r="M165" i="2"/>
  <c r="L165" i="2"/>
  <c r="K165" i="2"/>
  <c r="N164" i="2"/>
  <c r="M164" i="2"/>
  <c r="L164" i="2"/>
  <c r="K164" i="2"/>
  <c r="N163" i="2"/>
  <c r="M163" i="2"/>
  <c r="L163" i="2"/>
  <c r="K163" i="2"/>
  <c r="N162" i="2"/>
  <c r="M162" i="2"/>
  <c r="L162" i="2"/>
  <c r="K162" i="2"/>
  <c r="N161" i="2"/>
  <c r="M161" i="2"/>
  <c r="L161" i="2"/>
  <c r="K161" i="2"/>
  <c r="N160" i="2"/>
  <c r="M160" i="2"/>
  <c r="L160" i="2"/>
  <c r="K160" i="2"/>
  <c r="N159" i="2"/>
  <c r="M159" i="2"/>
  <c r="L159" i="2"/>
  <c r="K159" i="2"/>
  <c r="N158" i="2"/>
  <c r="M158" i="2"/>
  <c r="L158" i="2"/>
  <c r="K158" i="2"/>
  <c r="N157" i="2"/>
  <c r="M157" i="2"/>
  <c r="L157" i="2"/>
  <c r="K157" i="2"/>
  <c r="N156" i="2"/>
  <c r="M156" i="2"/>
  <c r="L156" i="2"/>
  <c r="K156" i="2"/>
  <c r="N155" i="2"/>
  <c r="M155" i="2"/>
  <c r="L155" i="2"/>
  <c r="K155" i="2"/>
  <c r="N154" i="2"/>
  <c r="M154" i="2"/>
  <c r="L154" i="2"/>
  <c r="K154" i="2"/>
  <c r="N153" i="2"/>
  <c r="M153" i="2"/>
  <c r="L153" i="2"/>
  <c r="K153" i="2"/>
  <c r="N152" i="2"/>
  <c r="M152" i="2"/>
  <c r="L152" i="2"/>
  <c r="K152" i="2"/>
  <c r="N151" i="2"/>
  <c r="M151" i="2"/>
  <c r="L151" i="2"/>
  <c r="K151" i="2"/>
  <c r="N150" i="2"/>
  <c r="M150" i="2"/>
  <c r="L150" i="2"/>
  <c r="K150" i="2"/>
  <c r="N149" i="2"/>
  <c r="M149" i="2"/>
  <c r="L149" i="2"/>
  <c r="K149" i="2"/>
  <c r="N148" i="2"/>
  <c r="M148" i="2"/>
  <c r="L148" i="2"/>
  <c r="K148" i="2"/>
  <c r="N147" i="2"/>
  <c r="M147" i="2"/>
  <c r="L147" i="2"/>
  <c r="K147" i="2"/>
  <c r="N146" i="2"/>
  <c r="M146" i="2"/>
  <c r="L146" i="2"/>
  <c r="K146" i="2"/>
  <c r="N145" i="2"/>
  <c r="M145" i="2"/>
  <c r="L145" i="2"/>
  <c r="K145" i="2"/>
  <c r="N144" i="2"/>
  <c r="M144" i="2"/>
  <c r="L144" i="2"/>
  <c r="K144" i="2"/>
  <c r="N143" i="2"/>
  <c r="M143" i="2"/>
  <c r="L143" i="2"/>
  <c r="K143" i="2"/>
  <c r="N142" i="2"/>
  <c r="M142" i="2"/>
  <c r="L142" i="2"/>
  <c r="K142" i="2"/>
  <c r="N141" i="2"/>
  <c r="M141" i="2"/>
  <c r="L141" i="2"/>
  <c r="K141" i="2"/>
  <c r="N140" i="2"/>
  <c r="M140" i="2"/>
  <c r="L140" i="2"/>
  <c r="K140" i="2"/>
  <c r="N139" i="2"/>
  <c r="M139" i="2"/>
  <c r="L139" i="2"/>
  <c r="K139" i="2"/>
  <c r="N138" i="2"/>
  <c r="M138" i="2"/>
  <c r="L138" i="2"/>
  <c r="K138" i="2"/>
  <c r="N137" i="2"/>
  <c r="M137" i="2"/>
  <c r="L137" i="2"/>
  <c r="K137" i="2"/>
  <c r="N136" i="2"/>
  <c r="M136" i="2"/>
  <c r="L136" i="2"/>
  <c r="K136" i="2"/>
  <c r="N135" i="2"/>
  <c r="M135" i="2"/>
  <c r="L135" i="2"/>
  <c r="K135" i="2"/>
  <c r="N134" i="2"/>
  <c r="M134" i="2"/>
  <c r="L134" i="2"/>
  <c r="K134" i="2"/>
  <c r="N133" i="2"/>
  <c r="M133" i="2"/>
  <c r="L133" i="2"/>
  <c r="K133" i="2"/>
  <c r="N132" i="2"/>
  <c r="M132" i="2"/>
  <c r="L132" i="2"/>
  <c r="K132" i="2"/>
  <c r="N131" i="2"/>
  <c r="M131" i="2"/>
  <c r="L131" i="2"/>
  <c r="K131" i="2"/>
  <c r="N130" i="2"/>
  <c r="M130" i="2"/>
  <c r="L130" i="2"/>
  <c r="K130" i="2"/>
  <c r="N129" i="2"/>
  <c r="M129" i="2"/>
  <c r="L129" i="2"/>
  <c r="K129" i="2"/>
  <c r="N128" i="2"/>
  <c r="M128" i="2"/>
  <c r="L128" i="2"/>
  <c r="K128" i="2"/>
  <c r="N127" i="2"/>
  <c r="M127" i="2"/>
  <c r="L127" i="2"/>
  <c r="K127" i="2"/>
  <c r="N126" i="2"/>
  <c r="M126" i="2"/>
  <c r="L126" i="2"/>
  <c r="K126" i="2"/>
  <c r="N125" i="2"/>
  <c r="M125" i="2"/>
  <c r="L125" i="2"/>
  <c r="K125" i="2"/>
  <c r="N124" i="2"/>
  <c r="M124" i="2"/>
  <c r="L124" i="2"/>
  <c r="K124" i="2"/>
  <c r="N123" i="2"/>
  <c r="M123" i="2"/>
  <c r="L123" i="2"/>
  <c r="K123" i="2"/>
  <c r="N122" i="2"/>
  <c r="M122" i="2"/>
  <c r="L122" i="2"/>
  <c r="K122" i="2"/>
  <c r="N121" i="2"/>
  <c r="M121" i="2"/>
  <c r="L121" i="2"/>
  <c r="K121" i="2"/>
  <c r="N120" i="2"/>
  <c r="M120" i="2"/>
  <c r="L120" i="2"/>
  <c r="K120" i="2"/>
  <c r="N119" i="2"/>
  <c r="M119" i="2"/>
  <c r="L119" i="2"/>
  <c r="K119" i="2"/>
  <c r="N118" i="2"/>
  <c r="M118" i="2"/>
  <c r="L118" i="2"/>
  <c r="K118" i="2"/>
  <c r="N117" i="2"/>
  <c r="M117" i="2"/>
  <c r="L117" i="2"/>
  <c r="K117" i="2"/>
  <c r="N116" i="2"/>
  <c r="M116" i="2"/>
  <c r="L116" i="2"/>
  <c r="K116" i="2"/>
  <c r="N115" i="2"/>
  <c r="M115" i="2"/>
  <c r="L115" i="2"/>
  <c r="K115" i="2"/>
  <c r="N114" i="2"/>
  <c r="M114" i="2"/>
  <c r="L114" i="2"/>
  <c r="K114" i="2"/>
  <c r="N113" i="2"/>
  <c r="M113" i="2"/>
  <c r="L113" i="2"/>
  <c r="K113" i="2"/>
  <c r="N112" i="2"/>
  <c r="M112" i="2"/>
  <c r="L112" i="2"/>
  <c r="K112" i="2"/>
  <c r="N111" i="2"/>
  <c r="M111" i="2"/>
  <c r="L111" i="2"/>
  <c r="K111" i="2"/>
  <c r="N110" i="2"/>
  <c r="M110" i="2"/>
  <c r="L110" i="2"/>
  <c r="K110" i="2"/>
  <c r="N109" i="2"/>
  <c r="M109" i="2"/>
  <c r="L109" i="2"/>
  <c r="K109" i="2"/>
  <c r="N108" i="2"/>
  <c r="M108" i="2"/>
  <c r="L108" i="2"/>
  <c r="K108" i="2"/>
  <c r="N107" i="2"/>
  <c r="M107" i="2"/>
  <c r="L107" i="2"/>
  <c r="K107" i="2"/>
  <c r="N106" i="2"/>
  <c r="M106" i="2"/>
  <c r="L106" i="2"/>
  <c r="K106" i="2"/>
  <c r="N105" i="2"/>
  <c r="M105" i="2"/>
  <c r="L105" i="2"/>
  <c r="K105" i="2"/>
  <c r="N104" i="2"/>
  <c r="M104" i="2"/>
  <c r="L104" i="2"/>
  <c r="K104" i="2"/>
  <c r="N103" i="2"/>
  <c r="M103" i="2"/>
  <c r="L103" i="2"/>
  <c r="K103" i="2"/>
  <c r="N102" i="2"/>
  <c r="M102" i="2"/>
  <c r="L102" i="2"/>
  <c r="K102" i="2"/>
  <c r="N101" i="2"/>
  <c r="M101" i="2"/>
  <c r="L101" i="2"/>
  <c r="K101" i="2"/>
  <c r="N100" i="2"/>
  <c r="M100" i="2"/>
  <c r="L100" i="2"/>
  <c r="K100" i="2"/>
  <c r="N99" i="2"/>
  <c r="M99" i="2"/>
  <c r="L99" i="2"/>
  <c r="K99" i="2"/>
  <c r="N98" i="2"/>
  <c r="M98" i="2"/>
  <c r="L98" i="2"/>
  <c r="K98" i="2"/>
  <c r="N97" i="2"/>
  <c r="M97" i="2"/>
  <c r="L97" i="2"/>
  <c r="K97" i="2"/>
  <c r="N96" i="2"/>
  <c r="M96" i="2"/>
  <c r="L96" i="2"/>
  <c r="K96" i="2"/>
  <c r="N95" i="2"/>
  <c r="M95" i="2"/>
  <c r="L95" i="2"/>
  <c r="K95" i="2"/>
  <c r="N94" i="2"/>
  <c r="M94" i="2"/>
  <c r="L94" i="2"/>
  <c r="K94" i="2"/>
  <c r="N93" i="2"/>
  <c r="M93" i="2"/>
  <c r="L93" i="2"/>
  <c r="K93" i="2"/>
  <c r="N92" i="2"/>
  <c r="M92" i="2"/>
  <c r="L92" i="2"/>
  <c r="K92" i="2"/>
  <c r="N91" i="2"/>
  <c r="M91" i="2"/>
  <c r="L91" i="2"/>
  <c r="K91" i="2"/>
  <c r="N90" i="2"/>
  <c r="M90" i="2"/>
  <c r="L90" i="2"/>
  <c r="K90" i="2"/>
  <c r="N89" i="2"/>
  <c r="M89" i="2"/>
  <c r="L89" i="2"/>
  <c r="K89" i="2"/>
  <c r="N88" i="2"/>
  <c r="M88" i="2"/>
  <c r="L88" i="2"/>
  <c r="K88" i="2"/>
  <c r="N87" i="2"/>
  <c r="M87" i="2"/>
  <c r="L87" i="2"/>
  <c r="K87" i="2"/>
  <c r="N86" i="2"/>
  <c r="M86" i="2"/>
  <c r="L86" i="2"/>
  <c r="K86" i="2"/>
  <c r="N85" i="2"/>
  <c r="M85" i="2"/>
  <c r="L85" i="2"/>
  <c r="K85" i="2"/>
  <c r="N84" i="2"/>
  <c r="M84" i="2"/>
  <c r="L84" i="2"/>
  <c r="K84" i="2"/>
  <c r="N83" i="2"/>
  <c r="M83" i="2"/>
  <c r="L83" i="2"/>
  <c r="K83" i="2"/>
  <c r="N82" i="2"/>
  <c r="M82" i="2"/>
  <c r="L82" i="2"/>
  <c r="K82" i="2"/>
  <c r="N81" i="2"/>
  <c r="M81" i="2"/>
  <c r="L81" i="2"/>
  <c r="K81" i="2"/>
  <c r="N80" i="2"/>
  <c r="M80" i="2"/>
  <c r="L80" i="2"/>
  <c r="K80" i="2"/>
  <c r="N79" i="2"/>
  <c r="M79" i="2"/>
  <c r="L79" i="2"/>
  <c r="K79" i="2"/>
  <c r="N78" i="2"/>
  <c r="M78" i="2"/>
  <c r="L78" i="2"/>
  <c r="K78" i="2"/>
  <c r="N77" i="2"/>
  <c r="M77" i="2"/>
  <c r="L77" i="2"/>
  <c r="K77" i="2"/>
  <c r="N76" i="2"/>
  <c r="M76" i="2"/>
  <c r="L76" i="2"/>
  <c r="K76" i="2"/>
  <c r="N75" i="2"/>
  <c r="M75" i="2"/>
  <c r="L75" i="2"/>
  <c r="K75" i="2"/>
  <c r="N74" i="2"/>
  <c r="M74" i="2"/>
  <c r="L74" i="2"/>
  <c r="K74" i="2"/>
  <c r="N73" i="2"/>
  <c r="M73" i="2"/>
  <c r="L73" i="2"/>
  <c r="K73" i="2"/>
  <c r="N72" i="2"/>
  <c r="M72" i="2"/>
  <c r="L72" i="2"/>
  <c r="K72" i="2"/>
  <c r="N71" i="2"/>
  <c r="M71" i="2"/>
  <c r="L71" i="2"/>
  <c r="K71" i="2"/>
  <c r="N70" i="2"/>
  <c r="M70" i="2"/>
  <c r="L70" i="2"/>
  <c r="K70" i="2"/>
  <c r="N69" i="2"/>
  <c r="M69" i="2"/>
  <c r="L69" i="2"/>
  <c r="K69" i="2"/>
  <c r="N68" i="2"/>
  <c r="M68" i="2"/>
  <c r="L68" i="2"/>
  <c r="K68" i="2"/>
  <c r="N67" i="2"/>
  <c r="M67" i="2"/>
  <c r="L67" i="2"/>
  <c r="K67" i="2"/>
  <c r="N66" i="2"/>
  <c r="M66" i="2"/>
  <c r="L66" i="2"/>
  <c r="K66" i="2"/>
  <c r="N65" i="2"/>
  <c r="M65" i="2"/>
  <c r="L65" i="2"/>
  <c r="K65" i="2"/>
  <c r="N64" i="2"/>
  <c r="M64" i="2"/>
  <c r="L64" i="2"/>
  <c r="K64" i="2"/>
  <c r="N63" i="2"/>
  <c r="M63" i="2"/>
  <c r="L63" i="2"/>
  <c r="K63" i="2"/>
  <c r="N62" i="2"/>
  <c r="M62" i="2"/>
  <c r="L62" i="2"/>
  <c r="K62" i="2"/>
  <c r="N61" i="2"/>
  <c r="M61" i="2"/>
  <c r="L61" i="2"/>
  <c r="K61" i="2"/>
  <c r="N60" i="2"/>
  <c r="M60" i="2"/>
  <c r="L60" i="2"/>
  <c r="K60" i="2"/>
  <c r="N59" i="2"/>
  <c r="M59" i="2"/>
  <c r="L59" i="2"/>
  <c r="K59" i="2"/>
  <c r="N58" i="2"/>
  <c r="M58" i="2"/>
  <c r="L58" i="2"/>
  <c r="K58" i="2"/>
  <c r="N57" i="2"/>
  <c r="M57" i="2"/>
  <c r="L57" i="2"/>
  <c r="K57" i="2"/>
  <c r="N56" i="2"/>
  <c r="M56" i="2"/>
  <c r="L56" i="2"/>
  <c r="K56" i="2"/>
  <c r="N55" i="2"/>
  <c r="M55" i="2"/>
  <c r="L55" i="2"/>
  <c r="K55" i="2"/>
  <c r="N54" i="2"/>
  <c r="M54" i="2"/>
  <c r="L54" i="2"/>
  <c r="K54" i="2"/>
  <c r="N53" i="2"/>
  <c r="M53" i="2"/>
  <c r="L53" i="2"/>
  <c r="K53" i="2"/>
  <c r="N52" i="2"/>
  <c r="M52" i="2"/>
  <c r="L52" i="2"/>
  <c r="K52" i="2"/>
  <c r="N51" i="2"/>
  <c r="M51" i="2"/>
  <c r="L51" i="2"/>
  <c r="K51" i="2"/>
  <c r="N50" i="2"/>
  <c r="M50" i="2"/>
  <c r="L50" i="2"/>
  <c r="K50" i="2"/>
  <c r="N49" i="2"/>
  <c r="M49" i="2"/>
  <c r="L49" i="2"/>
  <c r="K49" i="2"/>
  <c r="N48" i="2"/>
  <c r="M48" i="2"/>
  <c r="L48" i="2"/>
  <c r="K48" i="2"/>
  <c r="N47" i="2"/>
  <c r="M47" i="2"/>
  <c r="L47" i="2"/>
  <c r="K47" i="2"/>
  <c r="N46" i="2"/>
  <c r="M46" i="2"/>
  <c r="L46" i="2"/>
  <c r="K46" i="2"/>
  <c r="N45" i="2"/>
  <c r="M45" i="2"/>
  <c r="L45" i="2"/>
  <c r="K45" i="2"/>
  <c r="N44" i="2"/>
  <c r="M44" i="2"/>
  <c r="L44" i="2"/>
  <c r="K44" i="2"/>
  <c r="N43" i="2"/>
  <c r="M43" i="2"/>
  <c r="L43" i="2"/>
  <c r="K43" i="2"/>
  <c r="N42" i="2"/>
  <c r="M42" i="2"/>
  <c r="L42" i="2"/>
  <c r="K42" i="2"/>
  <c r="N41" i="2"/>
  <c r="M41" i="2"/>
  <c r="L41" i="2"/>
  <c r="K41" i="2"/>
  <c r="N40" i="2"/>
  <c r="M40" i="2"/>
  <c r="L40" i="2"/>
  <c r="K40" i="2"/>
  <c r="N39" i="2"/>
  <c r="M39" i="2"/>
  <c r="L39" i="2"/>
  <c r="K39" i="2"/>
  <c r="N38" i="2"/>
  <c r="M38" i="2"/>
  <c r="L38" i="2"/>
  <c r="K38" i="2"/>
  <c r="N37" i="2"/>
  <c r="M37" i="2"/>
  <c r="L37" i="2"/>
  <c r="K37" i="2"/>
  <c r="N36" i="2"/>
  <c r="M36" i="2"/>
  <c r="L36" i="2"/>
  <c r="K36" i="2"/>
  <c r="N35" i="2"/>
  <c r="M35" i="2"/>
  <c r="L35" i="2"/>
  <c r="K35" i="2"/>
  <c r="N34" i="2"/>
  <c r="M34" i="2"/>
  <c r="L34" i="2"/>
  <c r="K34" i="2"/>
  <c r="N33" i="2"/>
  <c r="M33" i="2"/>
  <c r="L33" i="2"/>
  <c r="K33" i="2"/>
  <c r="N32" i="2"/>
  <c r="M32" i="2"/>
  <c r="L32" i="2"/>
  <c r="K32" i="2"/>
  <c r="N31" i="2"/>
  <c r="M31" i="2"/>
  <c r="L31" i="2"/>
  <c r="K31" i="2"/>
  <c r="N30" i="2"/>
  <c r="M30" i="2"/>
  <c r="L30" i="2"/>
  <c r="K30" i="2"/>
  <c r="N29" i="2"/>
  <c r="M29" i="2"/>
  <c r="L29" i="2"/>
  <c r="K29" i="2"/>
  <c r="N28" i="2"/>
  <c r="M28" i="2"/>
  <c r="L28" i="2"/>
  <c r="K28" i="2"/>
  <c r="N27" i="2"/>
  <c r="M27" i="2"/>
  <c r="L27" i="2"/>
  <c r="K27" i="2"/>
  <c r="N26" i="2"/>
  <c r="M26" i="2"/>
  <c r="L26" i="2"/>
  <c r="K26" i="2"/>
  <c r="N25" i="2"/>
  <c r="M25" i="2"/>
  <c r="L25" i="2"/>
  <c r="K25" i="2"/>
  <c r="N24" i="2"/>
  <c r="M24" i="2"/>
  <c r="L24" i="2"/>
  <c r="K24" i="2"/>
  <c r="N23" i="2"/>
  <c r="M23" i="2"/>
  <c r="L23" i="2"/>
  <c r="K23" i="2"/>
  <c r="N22" i="2"/>
  <c r="M22" i="2"/>
  <c r="L22" i="2"/>
  <c r="K22" i="2"/>
  <c r="N21" i="2"/>
  <c r="M21" i="2"/>
  <c r="L21" i="2"/>
  <c r="K21" i="2"/>
  <c r="N20" i="2"/>
  <c r="M20" i="2"/>
  <c r="L20" i="2"/>
  <c r="K20" i="2"/>
  <c r="N19" i="2"/>
  <c r="M19" i="2"/>
  <c r="L19" i="2"/>
  <c r="K19" i="2"/>
  <c r="N18" i="2"/>
  <c r="M18" i="2"/>
  <c r="L18" i="2"/>
  <c r="K18" i="2"/>
  <c r="N17" i="2"/>
  <c r="M17" i="2"/>
  <c r="L17" i="2"/>
  <c r="K17" i="2"/>
  <c r="N16" i="2"/>
  <c r="M16" i="2"/>
  <c r="L16" i="2"/>
  <c r="K16" i="2"/>
  <c r="N15" i="2"/>
  <c r="M15" i="2"/>
  <c r="L15" i="2"/>
  <c r="K15" i="2"/>
  <c r="N14" i="2"/>
  <c r="M14" i="2"/>
  <c r="L14" i="2"/>
  <c r="K14" i="2"/>
  <c r="N13" i="2"/>
  <c r="M13" i="2"/>
  <c r="L13" i="2"/>
  <c r="K13" i="2"/>
  <c r="N12" i="2"/>
  <c r="M12" i="2"/>
  <c r="L12" i="2"/>
  <c r="K12" i="2"/>
  <c r="N11" i="2"/>
  <c r="M11" i="2"/>
  <c r="L11" i="2"/>
  <c r="K11" i="2"/>
  <c r="N10" i="2"/>
  <c r="M10" i="2"/>
  <c r="L10" i="2"/>
  <c r="K10" i="2"/>
  <c r="N9" i="2"/>
  <c r="M9" i="2"/>
  <c r="L9" i="2"/>
  <c r="K9" i="2"/>
  <c r="N8" i="2"/>
  <c r="M8" i="2"/>
  <c r="L8" i="2"/>
  <c r="K8" i="2"/>
  <c r="N7" i="2"/>
  <c r="M7" i="2"/>
  <c r="L7" i="2"/>
  <c r="K7" i="2"/>
  <c r="O31" i="4" l="1"/>
  <c r="O46" i="4"/>
  <c r="O58" i="4"/>
  <c r="O67" i="4"/>
  <c r="O76" i="4"/>
  <c r="O79" i="4"/>
  <c r="O82" i="4"/>
  <c r="O85" i="4"/>
  <c r="O88" i="4"/>
  <c r="O91" i="4"/>
  <c r="O94" i="4"/>
  <c r="O97" i="4"/>
  <c r="O100" i="4"/>
  <c r="O112" i="4"/>
  <c r="O115" i="4"/>
  <c r="O118" i="4"/>
  <c r="O121" i="4"/>
  <c r="O124" i="4"/>
  <c r="O127" i="4"/>
  <c r="O130" i="4"/>
  <c r="O133" i="4"/>
  <c r="O136" i="4"/>
  <c r="O139" i="4"/>
  <c r="O142" i="4"/>
  <c r="O145" i="4"/>
  <c r="O148" i="4"/>
  <c r="O151" i="4"/>
  <c r="O154" i="4"/>
  <c r="O157" i="4"/>
  <c r="O160" i="4"/>
  <c r="O163" i="4"/>
  <c r="O166" i="4"/>
  <c r="O169" i="4"/>
  <c r="O172" i="4"/>
  <c r="O175" i="4"/>
  <c r="O178" i="4"/>
  <c r="O181" i="4"/>
  <c r="O184" i="4"/>
  <c r="O187" i="4"/>
  <c r="O190" i="4"/>
  <c r="O193" i="4"/>
  <c r="O196" i="4"/>
  <c r="O199" i="4"/>
  <c r="O22" i="4"/>
  <c r="O43" i="4"/>
  <c r="O55" i="4"/>
  <c r="O70" i="4"/>
  <c r="O109" i="4"/>
  <c r="O28" i="4"/>
  <c r="O49" i="4"/>
  <c r="O64" i="4"/>
  <c r="O106" i="4"/>
  <c r="L204" i="4"/>
  <c r="L205" i="4" s="1"/>
  <c r="O19" i="4"/>
  <c r="O34" i="4"/>
  <c r="O52" i="4"/>
  <c r="O61" i="4"/>
  <c r="O73" i="4"/>
  <c r="O103" i="4"/>
  <c r="O25" i="4"/>
  <c r="O14" i="4"/>
  <c r="O17" i="4"/>
  <c r="O20" i="4"/>
  <c r="O23" i="4"/>
  <c r="O26" i="4"/>
  <c r="O29" i="4"/>
  <c r="O32" i="4"/>
  <c r="O35" i="4"/>
  <c r="O38" i="4"/>
  <c r="O41" i="4"/>
  <c r="O44" i="4"/>
  <c r="O47" i="4"/>
  <c r="O50" i="4"/>
  <c r="O53" i="4"/>
  <c r="O56" i="4"/>
  <c r="O59" i="4"/>
  <c r="O62" i="4"/>
  <c r="O65" i="4"/>
  <c r="O68" i="4"/>
  <c r="O71" i="4"/>
  <c r="O74" i="4"/>
  <c r="O77" i="4"/>
  <c r="O80" i="4"/>
  <c r="P83" i="4"/>
  <c r="P205" i="4" s="1"/>
  <c r="O83" i="4"/>
  <c r="O86" i="4"/>
  <c r="O89" i="4"/>
  <c r="O92" i="4"/>
  <c r="O95" i="4"/>
  <c r="O98" i="4"/>
  <c r="O101" i="4"/>
  <c r="O104" i="4"/>
  <c r="O107" i="4"/>
  <c r="O110" i="4"/>
  <c r="O113" i="4"/>
  <c r="O116" i="4"/>
  <c r="O119" i="4"/>
  <c r="O122" i="4"/>
  <c r="O125" i="4"/>
  <c r="O128" i="4"/>
  <c r="O131" i="4"/>
  <c r="O134" i="4"/>
  <c r="O137" i="4"/>
  <c r="O140" i="4"/>
  <c r="O143" i="4"/>
  <c r="O146" i="4"/>
  <c r="O149" i="4"/>
  <c r="O152" i="4"/>
  <c r="O155" i="4"/>
  <c r="O158" i="4"/>
  <c r="O161" i="4"/>
  <c r="O164" i="4"/>
  <c r="O167" i="4"/>
  <c r="O170" i="4"/>
  <c r="O173" i="4"/>
  <c r="O176" i="4"/>
  <c r="P179" i="4"/>
  <c r="O179" i="4"/>
  <c r="O182" i="4"/>
  <c r="O185" i="4"/>
  <c r="O188" i="4"/>
  <c r="O191" i="4"/>
  <c r="O194" i="4"/>
  <c r="O197" i="4"/>
  <c r="O200" i="4"/>
  <c r="O37" i="4"/>
  <c r="O40" i="4"/>
  <c r="O16" i="4"/>
  <c r="O15" i="4"/>
  <c r="O18" i="4"/>
  <c r="O21" i="4"/>
  <c r="O24" i="4"/>
  <c r="O27" i="4"/>
  <c r="O30" i="4"/>
  <c r="O33" i="4"/>
  <c r="O36" i="4"/>
  <c r="O39" i="4"/>
  <c r="O42" i="4"/>
  <c r="P45" i="4"/>
  <c r="P204" i="4" s="1"/>
  <c r="O45" i="4"/>
  <c r="O48" i="4"/>
  <c r="O51" i="4"/>
  <c r="O54" i="4"/>
  <c r="O57" i="4"/>
  <c r="O60" i="4"/>
  <c r="O63" i="4"/>
  <c r="O66" i="4"/>
  <c r="O69" i="4"/>
  <c r="O72" i="4"/>
  <c r="O75" i="4"/>
  <c r="O78" i="4"/>
  <c r="O81" i="4"/>
  <c r="O84" i="4"/>
  <c r="O87" i="4"/>
  <c r="O90" i="4"/>
  <c r="O93" i="4"/>
  <c r="O96" i="4"/>
  <c r="O99" i="4"/>
  <c r="O102" i="4"/>
  <c r="O105" i="4"/>
  <c r="O108" i="4"/>
  <c r="O111" i="4"/>
  <c r="O114" i="4"/>
  <c r="O117" i="4"/>
  <c r="O120" i="4"/>
  <c r="O123" i="4"/>
  <c r="O126" i="4"/>
  <c r="O129" i="4"/>
  <c r="O132" i="4"/>
  <c r="O135" i="4"/>
  <c r="O138" i="4"/>
  <c r="P141" i="4"/>
  <c r="O141" i="4"/>
  <c r="O144" i="4"/>
  <c r="O147" i="4"/>
  <c r="O150" i="4"/>
  <c r="O153" i="4"/>
  <c r="O156" i="4"/>
  <c r="O159" i="4"/>
  <c r="O162" i="4"/>
  <c r="O165" i="4"/>
  <c r="O168" i="4"/>
  <c r="O171" i="4"/>
  <c r="O174" i="4"/>
  <c r="O177" i="4"/>
  <c r="O180" i="4"/>
  <c r="O183" i="4"/>
  <c r="O186" i="4"/>
  <c r="O189" i="4"/>
  <c r="O192" i="4"/>
  <c r="O195" i="4"/>
  <c r="O198" i="4"/>
  <c r="O201" i="4"/>
  <c r="K199" i="2"/>
  <c r="M199" i="2"/>
  <c r="L199" i="2"/>
  <c r="N199" i="2"/>
  <c r="O202" i="4" l="1"/>
  <c r="Q204" i="4"/>
  <c r="R204" i="4"/>
  <c r="R205" i="4"/>
  <c r="Q205" i="4"/>
</calcChain>
</file>

<file path=xl/sharedStrings.xml><?xml version="1.0" encoding="utf-8"?>
<sst xmlns="http://schemas.openxmlformats.org/spreadsheetml/2006/main" count="4710" uniqueCount="240">
  <si>
    <t>Study Name</t>
  </si>
  <si>
    <t>Winter Park Road</t>
  </si>
  <si>
    <t>Start Date</t>
  </si>
  <si>
    <t>05/01/2019</t>
  </si>
  <si>
    <t>Start Time</t>
  </si>
  <si>
    <t>12:00 AM</t>
  </si>
  <si>
    <t>Site Code</t>
  </si>
  <si>
    <t/>
  </si>
  <si>
    <t>Channel</t>
  </si>
  <si>
    <t>NB Sidewalk</t>
  </si>
  <si>
    <t>NB Travel Lane</t>
  </si>
  <si>
    <t>SB Sidewalk</t>
  </si>
  <si>
    <t>SB Travel Lane</t>
  </si>
  <si>
    <t>Direction</t>
  </si>
  <si>
    <t>Southbound</t>
  </si>
  <si>
    <t>Northbound</t>
  </si>
  <si>
    <t>12:15 AM</t>
  </si>
  <si>
    <t>12:30 AM</t>
  </si>
  <si>
    <t>12:45 AM</t>
  </si>
  <si>
    <t>1:00 AM</t>
  </si>
  <si>
    <t>1:15 AM</t>
  </si>
  <si>
    <t>1:30 AM</t>
  </si>
  <si>
    <t>1:45 AM</t>
  </si>
  <si>
    <t>2:00 AM</t>
  </si>
  <si>
    <t>2:15 AM</t>
  </si>
  <si>
    <t>2:30 AM</t>
  </si>
  <si>
    <t>2:45 AM</t>
  </si>
  <si>
    <t>3:00 AM</t>
  </si>
  <si>
    <t>3:15 AM</t>
  </si>
  <si>
    <t>3:30 AM</t>
  </si>
  <si>
    <t>3:45 AM</t>
  </si>
  <si>
    <t>4:00 AM</t>
  </si>
  <si>
    <t>4:15 AM</t>
  </si>
  <si>
    <t>4:30 AM</t>
  </si>
  <si>
    <t>4:45 AM</t>
  </si>
  <si>
    <t>5:00 AM</t>
  </si>
  <si>
    <t>5:15 AM</t>
  </si>
  <si>
    <t>5:30 AM</t>
  </si>
  <si>
    <t>5:45 AM</t>
  </si>
  <si>
    <t>6:00 AM</t>
  </si>
  <si>
    <t>6:15 AM</t>
  </si>
  <si>
    <t>6:30 AM</t>
  </si>
  <si>
    <t>6:45 AM</t>
  </si>
  <si>
    <t>7:00 AM</t>
  </si>
  <si>
    <t>7:15 AM</t>
  </si>
  <si>
    <t>7:30 AM</t>
  </si>
  <si>
    <t>7:45 AM</t>
  </si>
  <si>
    <t>8:00 AM</t>
  </si>
  <si>
    <t>8:15 AM</t>
  </si>
  <si>
    <t>8:30 AM</t>
  </si>
  <si>
    <t>8:45 AM</t>
  </si>
  <si>
    <t>9:00 AM</t>
  </si>
  <si>
    <t>9:15 AM</t>
  </si>
  <si>
    <t>9:30 AM</t>
  </si>
  <si>
    <t>9:45 AM</t>
  </si>
  <si>
    <t>10:00 AM</t>
  </si>
  <si>
    <t>10:15 AM</t>
  </si>
  <si>
    <t>10:30 AM</t>
  </si>
  <si>
    <t>10:45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</si>
  <si>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</si>
  <si>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</si>
  <si>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</si>
  <si>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</si>
  <si>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</si>
  <si>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</si>
  <si>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</si>
  <si>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</si>
  <si>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1:00 PM</t>
  </si>
  <si>
    <t>1:15 PM</t>
  </si>
  <si>
    <t>1:30 PM</t>
  </si>
  <si>
    <t>1:45 PM</t>
  </si>
  <si>
    <t>2:00 PM</t>
  </si>
  <si>
    <t>2:15 PM</t>
  </si>
  <si>
    <t>2:30 PM</t>
  </si>
  <si>
    <t>2:45 PM</t>
  </si>
  <si>
    <t>3:00 PM</t>
  </si>
  <si>
    <t>3:15 PM</t>
  </si>
  <si>
    <t>3:30 PM</t>
  </si>
  <si>
    <t>3:45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</si>
  <si>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</si>
  <si>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</si>
  <si>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</si>
  <si>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</si>
  <si>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</si>
  <si>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</si>
  <si>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</si>
  <si>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</si>
  <si>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6:00 PM</t>
  </si>
  <si>
    <t>6:15 PM</t>
  </si>
  <si>
    <t>6:30 PM</t>
  </si>
  <si>
    <t>6:45 PM</t>
  </si>
  <si>
    <t>7:00 PM</t>
  </si>
  <si>
    <t>7:15 PM</t>
  </si>
  <si>
    <t>7:30 PM</t>
  </si>
  <si>
    <t>7:45 PM</t>
  </si>
  <si>
    <t>8:00 PM</t>
  </si>
  <si>
    <t>8:15 PM</t>
  </si>
  <si>
    <t>8:30 PM</t>
  </si>
  <si>
    <t>8:45 PM</t>
  </si>
  <si>
    <t>9:00 PM</t>
  </si>
  <si>
    <t>9:15 PM</t>
  </si>
  <si>
    <t>9:30 PM</t>
  </si>
  <si>
    <t>9:45 PM</t>
  </si>
  <si>
    <t>10:00 PM</t>
  </si>
  <si>
    <t>10:15 PM</t>
  </si>
  <si>
    <t>10:30 PM</t>
  </si>
  <si>
    <t>10:45 PM</t>
  </si>
  <si>
    <t>11:00 PM</t>
  </si>
  <si>
    <t>11:15 PM</t>
  </si>
  <si>
    <t>11:30 PM</t>
  </si>
  <si>
    <t>11:45 PM</t>
  </si>
  <si>
    <t>Sidewalk Facing</t>
  </si>
  <si>
    <t>Travel Lane Facing</t>
  </si>
  <si>
    <t>Sidewalk With</t>
  </si>
  <si>
    <t>Travel Lane With</t>
  </si>
  <si>
    <t>Lakemont Pathway</t>
  </si>
  <si>
    <t>Lakemont BL NB</t>
  </si>
  <si>
    <t>Lakemont BL SB</t>
  </si>
  <si>
    <t>Lakemont SW NB</t>
  </si>
  <si>
    <t>Lakemont SW SB</t>
  </si>
  <si>
    <t>Bike Lane Facing</t>
  </si>
  <si>
    <t>Bike Lane With</t>
  </si>
  <si>
    <t>Livingston</t>
  </si>
  <si>
    <t>05/22/2019</t>
  </si>
  <si>
    <t>EB Bike Lane</t>
  </si>
  <si>
    <t>EB Sidewalk</t>
  </si>
  <si>
    <t>WB Bike Lane</t>
  </si>
  <si>
    <t>WB Sidewalk</t>
  </si>
  <si>
    <t>Westbound</t>
  </si>
  <si>
    <t>Eastbound</t>
  </si>
  <si>
    <t>Summerlin</t>
  </si>
  <si>
    <t>Kaley</t>
  </si>
  <si>
    <t>06/26/2019</t>
  </si>
  <si>
    <t>Sidewalk EB</t>
  </si>
  <si>
    <t>Sidewalk WB</t>
  </si>
  <si>
    <t>Travel Lane EB</t>
  </si>
  <si>
    <t>Travel Lane WB</t>
  </si>
  <si>
    <t>Glenridge</t>
  </si>
  <si>
    <t>Bike Lane EB</t>
  </si>
  <si>
    <t>Bike Lane WB</t>
  </si>
  <si>
    <t>University North</t>
  </si>
  <si>
    <t>04/24/2019</t>
  </si>
  <si>
    <t>University N Sidewalk</t>
  </si>
  <si>
    <t>University N Travel Lane</t>
  </si>
  <si>
    <t>University S Sidewalk</t>
  </si>
  <si>
    <t>University S Travel Lane</t>
  </si>
  <si>
    <t>S Orange NB</t>
  </si>
  <si>
    <t>05/15/2019</t>
  </si>
  <si>
    <t>S Orange NB Bike Lane</t>
  </si>
  <si>
    <t>S Orange NB Sidewalk</t>
  </si>
  <si>
    <t>S Orange SB Bike Lane</t>
  </si>
  <si>
    <t>S Orange SB Sidewalk</t>
  </si>
  <si>
    <t>Curry Ford North</t>
  </si>
  <si>
    <t>Alafaya West</t>
  </si>
  <si>
    <t>04/17/2019</t>
  </si>
  <si>
    <t>Alafaya West Bike Lane</t>
  </si>
  <si>
    <t>Alafaya West Sidewalk</t>
  </si>
  <si>
    <t>Alafaya East Bike Lane</t>
  </si>
  <si>
    <t>Alafaya East Sidewalk</t>
  </si>
  <si>
    <t>Colonial North</t>
  </si>
  <si>
    <t>07/10/2019</t>
  </si>
  <si>
    <t>North Bike Lane</t>
  </si>
  <si>
    <t>North Sidewalk</t>
  </si>
  <si>
    <t>Lee Road N</t>
  </si>
  <si>
    <t>North Travel Lane</t>
  </si>
  <si>
    <t>Bike Lane South</t>
  </si>
  <si>
    <t>Sidewalk South</t>
  </si>
  <si>
    <t>South Sidewalk</t>
  </si>
  <si>
    <t>South Travel Lane</t>
  </si>
  <si>
    <t>Par Street</t>
  </si>
  <si>
    <t>07/24/2019</t>
  </si>
  <si>
    <t>South Bike Lane</t>
  </si>
  <si>
    <t>Clay Ave.</t>
  </si>
  <si>
    <t>07/31/2019</t>
  </si>
  <si>
    <t>N Orange</t>
  </si>
  <si>
    <t>08/07/2019</t>
  </si>
  <si>
    <t>Edgewater</t>
  </si>
  <si>
    <t>NB Bike Lane</t>
  </si>
  <si>
    <t>SB Bike Lane</t>
  </si>
  <si>
    <t>Control</t>
  </si>
  <si>
    <t>Lakemont</t>
  </si>
  <si>
    <t>Bike Lane</t>
  </si>
  <si>
    <t>University</t>
  </si>
  <si>
    <t>S. Orange</t>
  </si>
  <si>
    <t>Curry Ford</t>
  </si>
  <si>
    <t>Alafaya</t>
  </si>
  <si>
    <t>Colonial</t>
  </si>
  <si>
    <t>Lee</t>
  </si>
  <si>
    <t>Clay</t>
  </si>
  <si>
    <t>N. Orange</t>
  </si>
  <si>
    <t>Pine Hills</t>
  </si>
  <si>
    <t>Columbia</t>
  </si>
  <si>
    <t>Carroll</t>
  </si>
  <si>
    <t>Day</t>
  </si>
  <si>
    <t>Total Hourly</t>
  </si>
  <si>
    <t>Morning Peak</t>
  </si>
  <si>
    <t>Evening Peak</t>
  </si>
  <si>
    <t>May</t>
  </si>
  <si>
    <t>March</t>
  </si>
  <si>
    <t>July</t>
  </si>
  <si>
    <t>Pine Hils NBL E</t>
  </si>
  <si>
    <t>08/28/2019</t>
  </si>
  <si>
    <t>Pine Hills BL E</t>
  </si>
  <si>
    <t>Carroll NBL</t>
  </si>
  <si>
    <t>09/10/2019</t>
  </si>
  <si>
    <t>EB Travel Lane</t>
  </si>
  <si>
    <t>WB Travel Lane</t>
  </si>
  <si>
    <t>Columbia Ave</t>
  </si>
  <si>
    <t>NSW</t>
  </si>
  <si>
    <t>SSW</t>
  </si>
  <si>
    <t>Total SW</t>
  </si>
  <si>
    <t>May First</t>
  </si>
  <si>
    <t>Daytime</t>
  </si>
  <si>
    <t>Night</t>
  </si>
  <si>
    <t>Street</t>
  </si>
  <si>
    <t>Type</t>
  </si>
  <si>
    <t>Winter Park</t>
  </si>
  <si>
    <t>% Night</t>
  </si>
  <si>
    <t>Par</t>
  </si>
  <si>
    <t>Day Exposure</t>
  </si>
  <si>
    <t>Street Length</t>
  </si>
  <si>
    <t>Night Exposure</t>
  </si>
  <si>
    <t>Daytime Hours</t>
  </si>
  <si>
    <t>Night Hours</t>
  </si>
  <si>
    <t>Day Count</t>
  </si>
  <si>
    <t>Night Count</t>
  </si>
  <si>
    <t>Overtaking</t>
  </si>
  <si>
    <t>Turning &amp; Crossing</t>
  </si>
  <si>
    <t>Overtaking Risk</t>
  </si>
  <si>
    <t>Turning &amp; Crossing Risk</t>
  </si>
  <si>
    <t>Combined</t>
  </si>
  <si>
    <t>Ratio: Day/Night Overtaking</t>
  </si>
  <si>
    <t>Ratio: Day/Night Turning Crossing</t>
  </si>
  <si>
    <t>Ratio: Day/Night Combined</t>
  </si>
  <si>
    <t>Ratio: Bike Lane/Control</t>
  </si>
  <si>
    <t>Ratio: Day/Night Exposure</t>
  </si>
  <si>
    <t>Risk Reduction</t>
  </si>
  <si>
    <t>Total Exposure</t>
  </si>
  <si>
    <t>Total</t>
  </si>
  <si>
    <t>%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</si>
</sst>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h:mm\ AM/PM;@"/>
    <numFmt numFmtId="165" formatCode="0.0"/>
    <numFmt numFmtId="166" formatCode="#,##0.0"/>
    <numFmt numFmtId="167" formatCode="0.000"/>
  </numFmts>
  <fonts count="25" x14ac:knownFonts="1">
    <font>
      <sz val="10"/>
      <name val="Arial"/>
      <family val="2"/>
    </font>
    <font>
      <sz val="11"/>
      <color theme="1"/>
      <name val="Franklin Gothic Book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ranklin Gothic Book"/>
      <family val="2"/>
    </font>
    <font>
      <b/>
      <sz val="13"/>
      <color theme="3"/>
      <name val="Franklin Gothic Book"/>
      <family val="2"/>
    </font>
    <font>
      <b/>
      <sz val="11"/>
      <color theme="3"/>
      <name val="Franklin Gothic Book"/>
      <family val="2"/>
    </font>
    <font>
      <sz val="11"/>
      <color rgb="FF006100"/>
      <name val="Franklin Gothic Book"/>
      <family val="2"/>
    </font>
    <font>
      <sz val="11"/>
      <color rgb="FF9C0006"/>
      <name val="Franklin Gothic Book"/>
      <family val="2"/>
    </font>
    <font>
      <sz val="11"/>
      <color rgb="FF9C6500"/>
      <name val="Franklin Gothic Book"/>
      <family val="2"/>
    </font>
    <font>
      <sz val="11"/>
      <color rgb="FF3F3F76"/>
      <name val="Franklin Gothic Book"/>
      <family val="2"/>
    </font>
    <font>
      <b/>
      <sz val="11"/>
      <color rgb="FF3F3F3F"/>
      <name val="Franklin Gothic Book"/>
      <family val="2"/>
    </font>
    <font>
      <b/>
      <sz val="11"/>
      <color rgb="FFFA7D00"/>
      <name val="Franklin Gothic Book"/>
      <family val="2"/>
    </font>
    <font>
      <sz val="11"/>
      <color rgb="FFFA7D00"/>
      <name val="Franklin Gothic Book"/>
      <family val="2"/>
    </font>
    <font>
      <b/>
      <sz val="11"/>
      <color theme="0"/>
      <name val="Franklin Gothic Book"/>
      <family val="2"/>
    </font>
    <font>
      <sz val="11"/>
      <color rgb="FFFF0000"/>
      <name val="Franklin Gothic Book"/>
      <family val="2"/>
    </font>
    <font>
      <i/>
      <sz val="11"/>
      <color rgb="FF7F7F7F"/>
      <name val="Franklin Gothic Book"/>
      <family val="2"/>
    </font>
    <font>
      <b/>
      <sz val="11"/>
      <color theme="1"/>
      <name val="Franklin Gothic Book"/>
      <family val="2"/>
    </font>
    <font>
      <sz val="11"/>
      <color theme="0"/>
      <name val="Franklin Gothic Book"/>
      <family val="2"/>
    </font>
    <font>
      <sz val="10"/>
      <name val="Arial"/>
      <family val="2"/>
    </font>
    <font>
      <sz val="10"/>
      <name val="Arial Black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 Black"/>
      <family val="2"/>
    </font>
    <font>
      <sz val="10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 applyNumberFormat="0" applyFill="0" applyBorder="0" applyProtection="0"/>
    <xf numFmtId="0" fontId="18" fillId="0" borderId="0" applyNumberFormat="0" applyFill="0" applyBorder="0" applyProtection="0"/>
  </cellStyleXfs>
  <cellXfs count="117">
    <xf numFmtId="0" fontId="0" fillId="0" borderId="0" xfId="0"/>
    <xf numFmtId="0" fontId="0" fillId="0" borderId="0" xfId="0" applyAlignment="1">
      <alignment wrapText="1"/>
    </xf>
    <xf numFmtId="0" fontId="19" fillId="0" borderId="0" xfId="0" applyFont="1" applyAlignment="1">
      <alignment horizontal="left" wrapText="1"/>
    </xf>
    <xf numFmtId="0" fontId="0" fillId="33" borderId="10" xfId="0" applyFont="1" applyFill="1" applyBorder="1" applyAlignment="1">
      <alignment horizontal="center" wrapText="1"/>
    </xf>
    <xf numFmtId="0" fontId="0" fillId="33" borderId="11" xfId="0" applyFont="1" applyFill="1" applyBorder="1" applyAlignment="1">
      <alignment horizontal="center" wrapText="1"/>
    </xf>
    <xf numFmtId="0" fontId="20" fillId="0" borderId="12" xfId="0" applyFont="1" applyFill="1" applyBorder="1" applyAlignment="1">
      <alignment horizontal="center" vertical="center" wrapText="1"/>
    </xf>
    <xf numFmtId="0" fontId="22" fillId="0" borderId="0" xfId="42"/>
    <xf numFmtId="0" fontId="23" fillId="0" borderId="0" xfId="42" applyFont="1" applyAlignment="1">
      <alignment horizontal="left" wrapText="1"/>
    </xf>
    <xf numFmtId="0" fontId="22" fillId="33" borderId="10" xfId="42" applyFont="1" applyFill="1" applyBorder="1" applyAlignment="1">
      <alignment horizontal="center" wrapText="1"/>
    </xf>
    <xf numFmtId="0" fontId="22" fillId="0" borderId="0" xfId="42" applyAlignment="1">
      <alignment wrapText="1"/>
    </xf>
    <xf numFmtId="0" fontId="23" fillId="0" borderId="0" xfId="42" applyFont="1" applyAlignment="1">
      <alignment horizontal="left"/>
    </xf>
    <xf numFmtId="0" fontId="22" fillId="33" borderId="11" xfId="42" applyFont="1" applyFill="1" applyBorder="1" applyAlignment="1">
      <alignment horizontal="center"/>
    </xf>
    <xf numFmtId="0" fontId="22" fillId="0" borderId="12" xfId="42" applyBorder="1" applyAlignment="1">
      <alignment horizontal="center"/>
    </xf>
    <xf numFmtId="0" fontId="20" fillId="0" borderId="12" xfId="42" applyFont="1" applyBorder="1" applyAlignment="1">
      <alignment horizontal="center" vertical="center" wrapText="1"/>
    </xf>
    <xf numFmtId="0" fontId="20" fillId="0" borderId="12" xfId="42" applyFont="1" applyFill="1" applyBorder="1" applyAlignment="1">
      <alignment horizontal="center" vertical="center" wrapText="1"/>
    </xf>
    <xf numFmtId="0" fontId="22" fillId="0" borderId="12" xfId="42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0" fontId="20" fillId="0" borderId="13" xfId="43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wrapText="1"/>
    </xf>
    <xf numFmtId="164" fontId="19" fillId="0" borderId="0" xfId="0" applyNumberFormat="1" applyFont="1" applyAlignment="1">
      <alignment horizontal="left" wrapText="1"/>
    </xf>
    <xf numFmtId="164" fontId="0" fillId="0" borderId="0" xfId="0" applyNumberFormat="1"/>
    <xf numFmtId="0" fontId="0" fillId="34" borderId="13" xfId="0" applyFill="1" applyBorder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33" borderId="10" xfId="0" applyFont="1" applyFill="1" applyBorder="1" applyAlignment="1">
      <alignment horizontal="center" vertical="center" wrapText="1"/>
    </xf>
    <xf numFmtId="0" fontId="0" fillId="34" borderId="0" xfId="0" applyFill="1"/>
    <xf numFmtId="0" fontId="0" fillId="34" borderId="0" xfId="0" applyFont="1" applyFill="1" applyAlignment="1"/>
    <xf numFmtId="0" fontId="0" fillId="33" borderId="14" xfId="0" applyFont="1" applyFill="1" applyBorder="1" applyAlignment="1">
      <alignment horizontal="center" wrapText="1"/>
    </xf>
    <xf numFmtId="0" fontId="24" fillId="0" borderId="15" xfId="0" applyFont="1" applyBorder="1" applyAlignment="1">
      <alignment horizontal="center" vertical="center" wrapText="1"/>
    </xf>
    <xf numFmtId="0" fontId="0" fillId="33" borderId="16" xfId="0" applyFont="1" applyFill="1" applyBorder="1" applyAlignment="1">
      <alignment horizontal="center" wrapText="1"/>
    </xf>
    <xf numFmtId="0" fontId="24" fillId="0" borderId="17" xfId="0" applyFont="1" applyBorder="1" applyAlignment="1">
      <alignment horizontal="center" vertical="center" wrapText="1"/>
    </xf>
    <xf numFmtId="0" fontId="0" fillId="33" borderId="13" xfId="0" applyFont="1" applyFill="1" applyBorder="1" applyAlignment="1">
      <alignment horizontal="center" wrapText="1"/>
    </xf>
    <xf numFmtId="0" fontId="0" fillId="0" borderId="13" xfId="0" applyFont="1" applyBorder="1" applyAlignment="1">
      <alignment horizontal="center"/>
    </xf>
    <xf numFmtId="0" fontId="0" fillId="34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35" borderId="10" xfId="0" applyFont="1" applyFill="1" applyBorder="1" applyAlignment="1">
      <alignment horizontal="center" wrapText="1"/>
    </xf>
    <xf numFmtId="0" fontId="0" fillId="35" borderId="11" xfId="0" applyFont="1" applyFill="1" applyBorder="1" applyAlignment="1">
      <alignment horizontal="center" wrapText="1"/>
    </xf>
    <xf numFmtId="0" fontId="0" fillId="35" borderId="0" xfId="0" applyFill="1"/>
    <xf numFmtId="164" fontId="0" fillId="34" borderId="0" xfId="0" applyNumberFormat="1" applyFill="1"/>
    <xf numFmtId="0" fontId="0" fillId="34" borderId="0" xfId="0" applyFill="1" applyAlignment="1">
      <alignment horizontal="center"/>
    </xf>
    <xf numFmtId="0" fontId="0" fillId="34" borderId="12" xfId="0" applyFont="1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164" fontId="0" fillId="34" borderId="18" xfId="0" applyNumberFormat="1" applyFill="1" applyBorder="1"/>
    <xf numFmtId="0" fontId="0" fillId="34" borderId="18" xfId="0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18" xfId="0" applyFill="1" applyBorder="1"/>
    <xf numFmtId="0" fontId="24" fillId="35" borderId="13" xfId="0" applyFont="1" applyFill="1" applyBorder="1" applyAlignment="1">
      <alignment horizontal="center" vertical="center" wrapText="1"/>
    </xf>
    <xf numFmtId="0" fontId="0" fillId="35" borderId="0" xfId="0" applyFont="1" applyFill="1" applyAlignment="1"/>
    <xf numFmtId="0" fontId="0" fillId="0" borderId="0" xfId="0" applyFill="1"/>
    <xf numFmtId="0" fontId="0" fillId="0" borderId="0" xfId="0" applyFont="1" applyFill="1" applyAlignment="1"/>
    <xf numFmtId="0" fontId="0" fillId="35" borderId="13" xfId="0" applyFont="1" applyFill="1" applyBorder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0" fontId="0" fillId="34" borderId="13" xfId="0" applyFont="1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5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wrapText="1"/>
    </xf>
    <xf numFmtId="0" fontId="0" fillId="0" borderId="10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24" fillId="0" borderId="13" xfId="0" applyFont="1" applyFill="1" applyBorder="1" applyAlignment="1">
      <alignment horizontal="center" vertical="center" wrapText="1"/>
    </xf>
    <xf numFmtId="0" fontId="0" fillId="34" borderId="18" xfId="0" applyFont="1" applyFill="1" applyBorder="1" applyAlignment="1"/>
    <xf numFmtId="0" fontId="0" fillId="35" borderId="18" xfId="0" applyFont="1" applyFill="1" applyBorder="1" applyAlignment="1"/>
    <xf numFmtId="0" fontId="24" fillId="0" borderId="21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3" xfId="0" applyBorder="1"/>
    <xf numFmtId="0" fontId="24" fillId="34" borderId="12" xfId="0" applyFont="1" applyFill="1" applyBorder="1" applyAlignment="1">
      <alignment horizontal="center" wrapText="1"/>
    </xf>
    <xf numFmtId="164" fontId="0" fillId="0" borderId="0" xfId="0" applyNumberFormat="1" applyFill="1" applyAlignment="1">
      <alignment wrapText="1"/>
    </xf>
    <xf numFmtId="0" fontId="0" fillId="0" borderId="0" xfId="0" applyFill="1" applyAlignment="1">
      <alignment horizontal="center" wrapText="1"/>
    </xf>
    <xf numFmtId="0" fontId="20" fillId="0" borderId="12" xfId="0" applyFont="1" applyFill="1" applyBorder="1" applyAlignment="1">
      <alignment horizontal="center" wrapText="1"/>
    </xf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9" xfId="0" applyFont="1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0" fontId="20" fillId="34" borderId="12" xfId="42" applyFont="1" applyFill="1" applyBorder="1" applyAlignment="1">
      <alignment horizontal="center" vertical="center" wrapText="1"/>
    </xf>
    <xf numFmtId="0" fontId="22" fillId="34" borderId="12" xfId="42" applyFill="1" applyBorder="1" applyAlignment="1">
      <alignment horizontal="center"/>
    </xf>
    <xf numFmtId="0" fontId="22" fillId="34" borderId="12" xfId="42" applyFont="1" applyFill="1" applyBorder="1" applyAlignment="1">
      <alignment horizontal="center"/>
    </xf>
    <xf numFmtId="0" fontId="22" fillId="34" borderId="0" xfId="42" applyFill="1"/>
    <xf numFmtId="0" fontId="0" fillId="0" borderId="0" xfId="42" applyFont="1"/>
    <xf numFmtId="9" fontId="0" fillId="0" borderId="13" xfId="0" applyNumberFormat="1" applyBorder="1" applyAlignment="1">
      <alignment horizontal="center"/>
    </xf>
    <xf numFmtId="0" fontId="21" fillId="34" borderId="13" xfId="0" applyFont="1" applyFill="1" applyBorder="1" applyAlignment="1">
      <alignment horizontal="center" vertical="center"/>
    </xf>
    <xf numFmtId="0" fontId="20" fillId="34" borderId="13" xfId="43" applyFont="1" applyFill="1" applyBorder="1" applyAlignment="1">
      <alignment horizontal="center" vertical="center" wrapText="1"/>
    </xf>
    <xf numFmtId="0" fontId="24" fillId="34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165" fontId="0" fillId="0" borderId="13" xfId="0" applyNumberFormat="1" applyBorder="1" applyAlignment="1">
      <alignment horizontal="center"/>
    </xf>
    <xf numFmtId="0" fontId="0" fillId="0" borderId="13" xfId="0" applyBorder="1" applyAlignment="1">
      <alignment wrapText="1"/>
    </xf>
    <xf numFmtId="3" fontId="0" fillId="0" borderId="13" xfId="0" applyNumberFormat="1" applyBorder="1"/>
    <xf numFmtId="3" fontId="0" fillId="0" borderId="13" xfId="0" applyNumberFormat="1" applyBorder="1" applyAlignment="1">
      <alignment horizontal="right"/>
    </xf>
    <xf numFmtId="0" fontId="0" fillId="0" borderId="13" xfId="0" applyBorder="1" applyAlignment="1">
      <alignment horizontal="center" vertical="center" wrapText="1"/>
    </xf>
    <xf numFmtId="166" fontId="0" fillId="0" borderId="13" xfId="0" applyNumberFormat="1" applyBorder="1" applyAlignment="1">
      <alignment horizontal="center"/>
    </xf>
    <xf numFmtId="0" fontId="0" fillId="0" borderId="13" xfId="0" applyFill="1" applyBorder="1"/>
    <xf numFmtId="167" fontId="0" fillId="0" borderId="13" xfId="0" applyNumberFormat="1" applyBorder="1" applyAlignment="1">
      <alignment horizontal="right" vertical="center"/>
    </xf>
    <xf numFmtId="3" fontId="0" fillId="0" borderId="0" xfId="0" applyNumberFormat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3" fillId="0" borderId="0" xfId="42" applyFont="1" applyAlignment="1">
      <alignment horizontal="right"/>
    </xf>
    <xf numFmtId="0" fontId="23" fillId="0" borderId="0" xfId="42" applyFont="1" applyAlignment="1">
      <alignment horizontal="left"/>
    </xf>
    <xf numFmtId="0" fontId="19" fillId="0" borderId="0" xfId="0" applyFont="1" applyFill="1" applyAlignment="1">
      <alignment horizontal="right"/>
    </xf>
    <xf numFmtId="0" fontId="19" fillId="0" borderId="0" xfId="0" applyFont="1" applyFill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tabSelected="1" topLeftCell="D1" workbookViewId="0">
      <selection activeCell="P26" sqref="P26"/>
    </sheetView>
  </sheetViews>
  <sheetFormatPr defaultRowHeight="12.75" x14ac:dyDescent="0.2"/>
  <cols>
    <col min="1" max="1" width="15.28515625" customWidth="1"/>
    <col min="3" max="4" width="9.140625" style="23"/>
    <col min="12" max="15" width="9.140625" style="23"/>
    <col min="19" max="19" width="9.85546875" customWidth="1"/>
  </cols>
  <sheetData>
    <row r="1" spans="1:14" ht="25.5" x14ac:dyDescent="0.2">
      <c r="A1" s="72" t="s">
        <v>214</v>
      </c>
      <c r="B1" s="72" t="s">
        <v>215</v>
      </c>
      <c r="C1" s="93" t="s">
        <v>224</v>
      </c>
      <c r="D1" s="93" t="s">
        <v>225</v>
      </c>
      <c r="E1" s="42" t="s">
        <v>217</v>
      </c>
      <c r="F1" s="93" t="s">
        <v>220</v>
      </c>
      <c r="G1" s="94" t="s">
        <v>219</v>
      </c>
      <c r="H1" s="94" t="s">
        <v>221</v>
      </c>
      <c r="I1" s="94" t="s">
        <v>237</v>
      </c>
      <c r="J1" s="96" t="s">
        <v>222</v>
      </c>
      <c r="K1" s="94" t="s">
        <v>223</v>
      </c>
      <c r="L1" s="19" t="s">
        <v>239</v>
      </c>
      <c r="M1" s="19" t="s">
        <v>217</v>
      </c>
    </row>
    <row r="2" spans="1:14" x14ac:dyDescent="0.2">
      <c r="A2" s="72" t="s">
        <v>185</v>
      </c>
      <c r="B2" s="72" t="s">
        <v>181</v>
      </c>
      <c r="C2" s="42">
        <v>85</v>
      </c>
      <c r="D2" s="42">
        <v>16</v>
      </c>
      <c r="E2" s="89">
        <f t="shared" ref="E2:E21" si="0">D2/(C2+D2)</f>
        <v>0.15841584158415842</v>
      </c>
      <c r="F2" s="95">
        <v>5.0999999999999996</v>
      </c>
      <c r="G2" s="97">
        <f>SUM(C2/J2)*F2*(87600*L2)</f>
        <v>791137.49999999988</v>
      </c>
      <c r="H2" s="97">
        <f>SUM(D2/K2)*F2*(87600*M2)</f>
        <v>148919.99999999997</v>
      </c>
      <c r="I2" s="97">
        <f>SUM(C2:D2)*F2*1825</f>
        <v>940057.49999999988</v>
      </c>
      <c r="J2" s="72">
        <v>26.25</v>
      </c>
      <c r="K2" s="72">
        <v>21.75</v>
      </c>
      <c r="L2" s="102">
        <f>J2/48</f>
        <v>0.546875</v>
      </c>
      <c r="M2" s="102">
        <f>K2/48</f>
        <v>0.453125</v>
      </c>
      <c r="N2" s="103"/>
    </row>
    <row r="3" spans="1:14" x14ac:dyDescent="0.2">
      <c r="A3" s="72" t="s">
        <v>186</v>
      </c>
      <c r="B3" s="72" t="s">
        <v>181</v>
      </c>
      <c r="C3" s="42">
        <v>55</v>
      </c>
      <c r="D3" s="42">
        <v>17</v>
      </c>
      <c r="E3" s="89">
        <f t="shared" si="0"/>
        <v>0.2361111111111111</v>
      </c>
      <c r="F3" s="95">
        <v>4.8</v>
      </c>
      <c r="G3" s="97">
        <f t="shared" ref="G3:G21" si="1">SUM(C3/J3)*F3*(87600*L3)</f>
        <v>481799.99999999994</v>
      </c>
      <c r="H3" s="97">
        <f t="shared" ref="H3:H21" si="2">SUM(D3/K3)*F3*(87600*M3)</f>
        <v>148920</v>
      </c>
      <c r="I3" s="97">
        <f t="shared" ref="I3:I21" si="3">SUM(C3:D3)*F3*1825</f>
        <v>630719.99999999988</v>
      </c>
      <c r="J3" s="72">
        <v>28</v>
      </c>
      <c r="K3" s="72">
        <v>20</v>
      </c>
      <c r="L3" s="102">
        <f t="shared" ref="L3:L21" si="4">J3/48</f>
        <v>0.58333333333333337</v>
      </c>
      <c r="M3" s="102">
        <f t="shared" ref="M3:M21" si="5">K3/48</f>
        <v>0.41666666666666669</v>
      </c>
    </row>
    <row r="4" spans="1:14" x14ac:dyDescent="0.2">
      <c r="A4" s="72" t="s">
        <v>191</v>
      </c>
      <c r="B4" s="72" t="s">
        <v>181</v>
      </c>
      <c r="C4" s="42">
        <v>23</v>
      </c>
      <c r="D4" s="42">
        <v>7</v>
      </c>
      <c r="E4" s="89">
        <f t="shared" si="0"/>
        <v>0.23333333333333334</v>
      </c>
      <c r="F4" s="95">
        <v>2</v>
      </c>
      <c r="G4" s="97">
        <f t="shared" si="1"/>
        <v>83950</v>
      </c>
      <c r="H4" s="97">
        <f t="shared" si="2"/>
        <v>25550</v>
      </c>
      <c r="I4" s="97">
        <f t="shared" si="3"/>
        <v>109500</v>
      </c>
      <c r="J4" s="72">
        <v>25</v>
      </c>
      <c r="K4" s="72">
        <v>23</v>
      </c>
      <c r="L4" s="102">
        <f t="shared" si="4"/>
        <v>0.52083333333333337</v>
      </c>
      <c r="M4" s="102">
        <f t="shared" si="5"/>
        <v>0.47916666666666669</v>
      </c>
    </row>
    <row r="5" spans="1:14" x14ac:dyDescent="0.2">
      <c r="A5" s="72" t="s">
        <v>176</v>
      </c>
      <c r="B5" s="72" t="s">
        <v>181</v>
      </c>
      <c r="C5" s="42">
        <v>105</v>
      </c>
      <c r="D5" s="42">
        <v>41</v>
      </c>
      <c r="E5" s="89">
        <f t="shared" si="0"/>
        <v>0.28082191780821919</v>
      </c>
      <c r="F5" s="95">
        <v>1.7</v>
      </c>
      <c r="G5" s="97">
        <f t="shared" si="1"/>
        <v>325762.5</v>
      </c>
      <c r="H5" s="97">
        <f t="shared" si="2"/>
        <v>127202.49999999999</v>
      </c>
      <c r="I5" s="97">
        <f t="shared" si="3"/>
        <v>452965</v>
      </c>
      <c r="J5" s="72">
        <v>26</v>
      </c>
      <c r="K5" s="72">
        <v>22</v>
      </c>
      <c r="L5" s="102">
        <f t="shared" si="4"/>
        <v>0.54166666666666663</v>
      </c>
      <c r="M5" s="102">
        <f t="shared" si="5"/>
        <v>0.45833333333333331</v>
      </c>
    </row>
    <row r="6" spans="1:14" x14ac:dyDescent="0.2">
      <c r="A6" s="72" t="s">
        <v>137</v>
      </c>
      <c r="B6" s="72" t="s">
        <v>181</v>
      </c>
      <c r="C6" s="42">
        <v>50</v>
      </c>
      <c r="D6" s="42">
        <v>12</v>
      </c>
      <c r="E6" s="89">
        <f t="shared" si="0"/>
        <v>0.19354838709677419</v>
      </c>
      <c r="F6" s="95">
        <v>1.2</v>
      </c>
      <c r="G6" s="97">
        <f t="shared" si="1"/>
        <v>109500</v>
      </c>
      <c r="H6" s="97">
        <f t="shared" si="2"/>
        <v>26280</v>
      </c>
      <c r="I6" s="97">
        <f t="shared" si="3"/>
        <v>135779.99999999997</v>
      </c>
      <c r="J6" s="72">
        <v>28</v>
      </c>
      <c r="K6" s="72">
        <v>20</v>
      </c>
      <c r="L6" s="102">
        <f t="shared" si="4"/>
        <v>0.58333333333333337</v>
      </c>
      <c r="M6" s="102">
        <f t="shared" si="5"/>
        <v>0.41666666666666669</v>
      </c>
    </row>
    <row r="7" spans="1:14" x14ac:dyDescent="0.2">
      <c r="A7" s="72" t="s">
        <v>180</v>
      </c>
      <c r="B7" s="72" t="s">
        <v>181</v>
      </c>
      <c r="C7" s="42">
        <v>87</v>
      </c>
      <c r="D7" s="42">
        <v>22</v>
      </c>
      <c r="E7" s="89">
        <f t="shared" si="0"/>
        <v>0.20183486238532111</v>
      </c>
      <c r="F7" s="95">
        <v>1.1000000000000001</v>
      </c>
      <c r="G7" s="97">
        <f t="shared" si="1"/>
        <v>174652.50000000003</v>
      </c>
      <c r="H7" s="97">
        <f t="shared" si="2"/>
        <v>44165.000000000007</v>
      </c>
      <c r="I7" s="97">
        <f t="shared" si="3"/>
        <v>218817.5</v>
      </c>
      <c r="J7" s="72">
        <v>26.5</v>
      </c>
      <c r="K7" s="72">
        <v>21.5</v>
      </c>
      <c r="L7" s="102">
        <f t="shared" si="4"/>
        <v>0.55208333333333337</v>
      </c>
      <c r="M7" s="102">
        <f t="shared" si="5"/>
        <v>0.44791666666666669</v>
      </c>
    </row>
    <row r="8" spans="1:14" x14ac:dyDescent="0.2">
      <c r="A8" s="72" t="s">
        <v>122</v>
      </c>
      <c r="B8" s="72" t="s">
        <v>181</v>
      </c>
      <c r="C8" s="42">
        <v>109</v>
      </c>
      <c r="D8" s="42">
        <v>30</v>
      </c>
      <c r="E8" s="89">
        <f t="shared" si="0"/>
        <v>0.21582733812949639</v>
      </c>
      <c r="F8" s="95">
        <v>2.5</v>
      </c>
      <c r="G8" s="97">
        <f t="shared" si="1"/>
        <v>497312.50000000006</v>
      </c>
      <c r="H8" s="97">
        <f t="shared" si="2"/>
        <v>136875</v>
      </c>
      <c r="I8" s="97">
        <f t="shared" si="3"/>
        <v>634187.5</v>
      </c>
      <c r="J8" s="72">
        <v>27.5</v>
      </c>
      <c r="K8" s="72">
        <v>20.5</v>
      </c>
      <c r="L8" s="102">
        <f t="shared" si="4"/>
        <v>0.57291666666666663</v>
      </c>
      <c r="M8" s="102">
        <f t="shared" si="5"/>
        <v>0.42708333333333331</v>
      </c>
    </row>
    <row r="9" spans="1:14" x14ac:dyDescent="0.2">
      <c r="A9" s="72" t="s">
        <v>218</v>
      </c>
      <c r="B9" s="72" t="s">
        <v>181</v>
      </c>
      <c r="C9" s="42">
        <v>19</v>
      </c>
      <c r="D9" s="42">
        <v>6</v>
      </c>
      <c r="E9" s="89">
        <f t="shared" si="0"/>
        <v>0.24</v>
      </c>
      <c r="F9" s="95">
        <v>0.75</v>
      </c>
      <c r="G9" s="97">
        <f t="shared" si="1"/>
        <v>26006.25</v>
      </c>
      <c r="H9" s="97">
        <f t="shared" si="2"/>
        <v>8212.5</v>
      </c>
      <c r="I9" s="97">
        <f t="shared" si="3"/>
        <v>34218.75</v>
      </c>
      <c r="J9" s="72">
        <v>27</v>
      </c>
      <c r="K9" s="72">
        <v>21</v>
      </c>
      <c r="L9" s="102">
        <f t="shared" si="4"/>
        <v>0.5625</v>
      </c>
      <c r="M9" s="102">
        <f t="shared" si="5"/>
        <v>0.4375</v>
      </c>
    </row>
    <row r="10" spans="1:14" x14ac:dyDescent="0.2">
      <c r="A10" s="72" t="s">
        <v>190</v>
      </c>
      <c r="B10" s="72" t="s">
        <v>181</v>
      </c>
      <c r="C10" s="42">
        <v>33</v>
      </c>
      <c r="D10" s="42">
        <v>12</v>
      </c>
      <c r="E10" s="89">
        <f t="shared" si="0"/>
        <v>0.26666666666666666</v>
      </c>
      <c r="F10" s="95">
        <v>1.9</v>
      </c>
      <c r="G10" s="97">
        <f t="shared" si="1"/>
        <v>114427.5</v>
      </c>
      <c r="H10" s="97">
        <f t="shared" si="2"/>
        <v>41609.999999999993</v>
      </c>
      <c r="I10" s="97">
        <f t="shared" si="3"/>
        <v>156037.5</v>
      </c>
      <c r="J10" s="72">
        <v>26</v>
      </c>
      <c r="K10" s="72">
        <v>22</v>
      </c>
      <c r="L10" s="102">
        <f t="shared" si="4"/>
        <v>0.54166666666666663</v>
      </c>
      <c r="M10" s="102">
        <f t="shared" si="5"/>
        <v>0.45833333333333331</v>
      </c>
    </row>
    <row r="11" spans="1:14" x14ac:dyDescent="0.2">
      <c r="A11" s="72" t="s">
        <v>183</v>
      </c>
      <c r="B11" s="72" t="s">
        <v>181</v>
      </c>
      <c r="C11" s="42">
        <v>25</v>
      </c>
      <c r="D11" s="42">
        <v>8</v>
      </c>
      <c r="E11" s="89">
        <f t="shared" si="0"/>
        <v>0.24242424242424243</v>
      </c>
      <c r="F11" s="95">
        <v>3.3</v>
      </c>
      <c r="G11" s="97">
        <f t="shared" si="1"/>
        <v>150562.5</v>
      </c>
      <c r="H11" s="97">
        <f t="shared" si="2"/>
        <v>48179.999999999993</v>
      </c>
      <c r="I11" s="97">
        <f t="shared" si="3"/>
        <v>198742.49999999997</v>
      </c>
      <c r="J11" s="72">
        <v>27</v>
      </c>
      <c r="K11" s="72">
        <v>21</v>
      </c>
      <c r="L11" s="102">
        <f t="shared" si="4"/>
        <v>0.5625</v>
      </c>
      <c r="M11" s="102">
        <f t="shared" si="5"/>
        <v>0.4375</v>
      </c>
    </row>
    <row r="12" spans="1:14" x14ac:dyDescent="0.2">
      <c r="A12" s="72" t="s">
        <v>192</v>
      </c>
      <c r="B12" s="72" t="s">
        <v>179</v>
      </c>
      <c r="C12" s="42">
        <v>24</v>
      </c>
      <c r="D12" s="42">
        <v>3</v>
      </c>
      <c r="E12" s="89">
        <f t="shared" si="0"/>
        <v>0.1111111111111111</v>
      </c>
      <c r="F12" s="95">
        <v>0.63</v>
      </c>
      <c r="G12" s="97">
        <f t="shared" si="1"/>
        <v>27594</v>
      </c>
      <c r="H12" s="97">
        <f t="shared" si="2"/>
        <v>3449.25</v>
      </c>
      <c r="I12" s="97">
        <f t="shared" si="3"/>
        <v>31043.250000000004</v>
      </c>
      <c r="J12" s="72">
        <v>25</v>
      </c>
      <c r="K12" s="72">
        <v>23</v>
      </c>
      <c r="L12" s="102">
        <f t="shared" si="4"/>
        <v>0.52083333333333337</v>
      </c>
      <c r="M12" s="102">
        <f t="shared" si="5"/>
        <v>0.47916666666666669</v>
      </c>
    </row>
    <row r="13" spans="1:14" x14ac:dyDescent="0.2">
      <c r="A13" s="72" t="s">
        <v>188</v>
      </c>
      <c r="B13" s="72" t="s">
        <v>179</v>
      </c>
      <c r="C13" s="42">
        <v>6</v>
      </c>
      <c r="D13" s="42">
        <v>1</v>
      </c>
      <c r="E13" s="89">
        <f t="shared" si="0"/>
        <v>0.14285714285714285</v>
      </c>
      <c r="F13" s="95">
        <v>0.75</v>
      </c>
      <c r="G13" s="97">
        <f t="shared" si="1"/>
        <v>8212.5</v>
      </c>
      <c r="H13" s="97">
        <f t="shared" si="2"/>
        <v>1368.75</v>
      </c>
      <c r="I13" s="97">
        <f t="shared" si="3"/>
        <v>9581.25</v>
      </c>
      <c r="J13" s="72">
        <v>27</v>
      </c>
      <c r="K13" s="72">
        <v>21</v>
      </c>
      <c r="L13" s="102">
        <f t="shared" si="4"/>
        <v>0.5625</v>
      </c>
      <c r="M13" s="102">
        <f t="shared" si="5"/>
        <v>0.4375</v>
      </c>
    </row>
    <row r="14" spans="1:14" x14ac:dyDescent="0.2">
      <c r="A14" s="72" t="s">
        <v>184</v>
      </c>
      <c r="B14" s="72" t="s">
        <v>179</v>
      </c>
      <c r="C14" s="42">
        <v>3</v>
      </c>
      <c r="D14" s="42">
        <v>1</v>
      </c>
      <c r="E14" s="89">
        <f t="shared" si="0"/>
        <v>0.25</v>
      </c>
      <c r="F14" s="95">
        <v>2.9</v>
      </c>
      <c r="G14" s="97">
        <f t="shared" si="1"/>
        <v>15877.499999999998</v>
      </c>
      <c r="H14" s="97">
        <f t="shared" si="2"/>
        <v>5292.4999999999991</v>
      </c>
      <c r="I14" s="97">
        <f t="shared" si="3"/>
        <v>21170</v>
      </c>
      <c r="J14" s="72">
        <v>27</v>
      </c>
      <c r="K14" s="72">
        <v>21</v>
      </c>
      <c r="L14" s="102">
        <f t="shared" si="4"/>
        <v>0.5625</v>
      </c>
      <c r="M14" s="102">
        <f t="shared" si="5"/>
        <v>0.4375</v>
      </c>
    </row>
    <row r="15" spans="1:14" x14ac:dyDescent="0.2">
      <c r="A15" s="72" t="s">
        <v>131</v>
      </c>
      <c r="B15" s="72" t="s">
        <v>179</v>
      </c>
      <c r="C15" s="42">
        <v>2</v>
      </c>
      <c r="D15" s="42">
        <v>7</v>
      </c>
      <c r="E15" s="89">
        <f t="shared" si="0"/>
        <v>0.77777777777777779</v>
      </c>
      <c r="F15" s="95">
        <v>1.1000000000000001</v>
      </c>
      <c r="G15" s="97">
        <f t="shared" si="1"/>
        <v>4015</v>
      </c>
      <c r="H15" s="97">
        <f t="shared" si="2"/>
        <v>14052.5</v>
      </c>
      <c r="I15" s="97">
        <f t="shared" si="3"/>
        <v>18067.5</v>
      </c>
      <c r="J15" s="72">
        <v>28</v>
      </c>
      <c r="K15" s="72">
        <v>20</v>
      </c>
      <c r="L15" s="102">
        <f t="shared" si="4"/>
        <v>0.58333333333333337</v>
      </c>
      <c r="M15" s="102">
        <f t="shared" si="5"/>
        <v>0.41666666666666669</v>
      </c>
    </row>
    <row r="16" spans="1:14" x14ac:dyDescent="0.2">
      <c r="A16" s="72" t="s">
        <v>187</v>
      </c>
      <c r="B16" s="72" t="s">
        <v>179</v>
      </c>
      <c r="C16" s="42">
        <v>2</v>
      </c>
      <c r="D16" s="42">
        <v>3</v>
      </c>
      <c r="E16" s="89">
        <f t="shared" si="0"/>
        <v>0.6</v>
      </c>
      <c r="F16" s="95">
        <v>2.4</v>
      </c>
      <c r="G16" s="97">
        <f t="shared" si="1"/>
        <v>8759.9999999999982</v>
      </c>
      <c r="H16" s="97">
        <f t="shared" si="2"/>
        <v>13140</v>
      </c>
      <c r="I16" s="97">
        <f t="shared" si="3"/>
        <v>21900</v>
      </c>
      <c r="J16" s="72">
        <v>28</v>
      </c>
      <c r="K16" s="72">
        <v>20</v>
      </c>
      <c r="L16" s="102">
        <f t="shared" si="4"/>
        <v>0.58333333333333337</v>
      </c>
      <c r="M16" s="102">
        <f t="shared" si="5"/>
        <v>0.41666666666666669</v>
      </c>
    </row>
    <row r="17" spans="1:25" x14ac:dyDescent="0.2">
      <c r="A17" s="72" t="s">
        <v>189</v>
      </c>
      <c r="B17" s="72" t="s">
        <v>179</v>
      </c>
      <c r="C17" s="42">
        <v>25</v>
      </c>
      <c r="D17" s="42">
        <v>18</v>
      </c>
      <c r="E17" s="89">
        <f t="shared" si="0"/>
        <v>0.41860465116279072</v>
      </c>
      <c r="F17" s="95">
        <v>0.6</v>
      </c>
      <c r="G17" s="97">
        <f t="shared" si="1"/>
        <v>27374.999999999996</v>
      </c>
      <c r="H17" s="97">
        <f t="shared" si="2"/>
        <v>19710</v>
      </c>
      <c r="I17" s="97">
        <f t="shared" si="3"/>
        <v>47085</v>
      </c>
      <c r="J17" s="72">
        <v>26</v>
      </c>
      <c r="K17" s="72">
        <v>22</v>
      </c>
      <c r="L17" s="102">
        <f t="shared" si="4"/>
        <v>0.54166666666666663</v>
      </c>
      <c r="M17" s="102">
        <f t="shared" si="5"/>
        <v>0.45833333333333331</v>
      </c>
    </row>
    <row r="18" spans="1:25" x14ac:dyDescent="0.2">
      <c r="A18" s="72" t="s">
        <v>190</v>
      </c>
      <c r="B18" s="72" t="s">
        <v>179</v>
      </c>
      <c r="C18" s="42">
        <v>5</v>
      </c>
      <c r="D18" s="42">
        <v>1</v>
      </c>
      <c r="E18" s="89">
        <f t="shared" si="0"/>
        <v>0.16666666666666666</v>
      </c>
      <c r="F18" s="95">
        <v>2.6</v>
      </c>
      <c r="G18" s="97">
        <f t="shared" si="1"/>
        <v>23725</v>
      </c>
      <c r="H18" s="97">
        <f t="shared" si="2"/>
        <v>4745.0000000000009</v>
      </c>
      <c r="I18" s="97">
        <f t="shared" si="3"/>
        <v>28470.000000000004</v>
      </c>
      <c r="J18" s="72">
        <v>26</v>
      </c>
      <c r="K18" s="72">
        <v>22</v>
      </c>
      <c r="L18" s="102">
        <f t="shared" si="4"/>
        <v>0.54166666666666663</v>
      </c>
      <c r="M18" s="102">
        <f t="shared" si="5"/>
        <v>0.45833333333333331</v>
      </c>
    </row>
    <row r="19" spans="1:25" x14ac:dyDescent="0.2">
      <c r="A19" s="72" t="s">
        <v>130</v>
      </c>
      <c r="B19" s="72" t="s">
        <v>179</v>
      </c>
      <c r="C19" s="42">
        <v>19</v>
      </c>
      <c r="D19" s="42">
        <v>6</v>
      </c>
      <c r="E19" s="89">
        <f t="shared" si="0"/>
        <v>0.24</v>
      </c>
      <c r="F19" s="95">
        <v>2</v>
      </c>
      <c r="G19" s="97">
        <f t="shared" si="1"/>
        <v>69350</v>
      </c>
      <c r="H19" s="97">
        <f t="shared" si="2"/>
        <v>21900</v>
      </c>
      <c r="I19" s="97">
        <f t="shared" si="3"/>
        <v>91250</v>
      </c>
      <c r="J19" s="72">
        <v>27.5</v>
      </c>
      <c r="K19" s="72">
        <v>20.5</v>
      </c>
      <c r="L19" s="102">
        <f t="shared" si="4"/>
        <v>0.57291666666666663</v>
      </c>
      <c r="M19" s="102">
        <f t="shared" si="5"/>
        <v>0.42708333333333331</v>
      </c>
    </row>
    <row r="20" spans="1:25" x14ac:dyDescent="0.2">
      <c r="A20" s="72" t="s">
        <v>182</v>
      </c>
      <c r="B20" s="72" t="s">
        <v>179</v>
      </c>
      <c r="C20" s="42">
        <v>2</v>
      </c>
      <c r="D20" s="42">
        <v>2</v>
      </c>
      <c r="E20" s="89">
        <f t="shared" si="0"/>
        <v>0.5</v>
      </c>
      <c r="F20" s="95">
        <v>7</v>
      </c>
      <c r="G20" s="97">
        <f t="shared" si="1"/>
        <v>25550.000000000004</v>
      </c>
      <c r="H20" s="97">
        <f t="shared" si="2"/>
        <v>25550</v>
      </c>
      <c r="I20" s="97">
        <f t="shared" si="3"/>
        <v>51100</v>
      </c>
      <c r="J20" s="72">
        <v>26.25</v>
      </c>
      <c r="K20" s="72">
        <v>21.75</v>
      </c>
      <c r="L20" s="102">
        <f t="shared" si="4"/>
        <v>0.546875</v>
      </c>
      <c r="M20" s="102">
        <f t="shared" si="5"/>
        <v>0.453125</v>
      </c>
    </row>
    <row r="21" spans="1:25" x14ac:dyDescent="0.2">
      <c r="A21" s="72" t="s">
        <v>216</v>
      </c>
      <c r="B21" s="72" t="s">
        <v>179</v>
      </c>
      <c r="C21" s="42">
        <v>39</v>
      </c>
      <c r="D21" s="42">
        <v>7</v>
      </c>
      <c r="E21" s="89">
        <f t="shared" si="0"/>
        <v>0.15217391304347827</v>
      </c>
      <c r="F21" s="95">
        <v>0.9</v>
      </c>
      <c r="G21" s="97">
        <f t="shared" si="1"/>
        <v>64057.5</v>
      </c>
      <c r="H21" s="97">
        <f t="shared" si="2"/>
        <v>11497.5</v>
      </c>
      <c r="I21" s="97">
        <f t="shared" si="3"/>
        <v>75555</v>
      </c>
      <c r="J21" s="72">
        <v>26.5</v>
      </c>
      <c r="K21" s="72">
        <v>21.5</v>
      </c>
      <c r="L21" s="102">
        <f t="shared" si="4"/>
        <v>0.55208333333333337</v>
      </c>
      <c r="M21" s="102">
        <f t="shared" si="5"/>
        <v>0.44791666666666669</v>
      </c>
    </row>
    <row r="22" spans="1:25" x14ac:dyDescent="0.2">
      <c r="A22" s="72"/>
      <c r="B22" s="72"/>
      <c r="C22" s="42"/>
      <c r="D22" s="42"/>
      <c r="E22" s="89"/>
      <c r="F22" s="95"/>
      <c r="G22" s="97"/>
      <c r="H22" s="97"/>
      <c r="I22" s="97"/>
      <c r="J22" s="72"/>
      <c r="K22" s="72"/>
    </row>
    <row r="23" spans="1:25" ht="25.5" customHeight="1" x14ac:dyDescent="0.2">
      <c r="A23" s="72"/>
      <c r="B23" s="72"/>
      <c r="C23" s="42"/>
      <c r="D23" s="42"/>
      <c r="E23" s="89"/>
      <c r="F23" s="95"/>
      <c r="G23" s="72"/>
      <c r="H23" s="72"/>
      <c r="I23" s="72"/>
      <c r="J23" s="72"/>
      <c r="K23" s="105" t="s">
        <v>235</v>
      </c>
      <c r="L23" s="110" t="s">
        <v>226</v>
      </c>
      <c r="M23" s="110"/>
      <c r="N23" s="110" t="s">
        <v>227</v>
      </c>
      <c r="O23" s="110"/>
      <c r="P23" s="107" t="s">
        <v>228</v>
      </c>
      <c r="Q23" s="108"/>
      <c r="R23" s="109"/>
      <c r="S23" s="105" t="s">
        <v>231</v>
      </c>
      <c r="T23" s="104" t="s">
        <v>229</v>
      </c>
      <c r="U23" s="104"/>
      <c r="V23" s="105" t="s">
        <v>232</v>
      </c>
      <c r="W23" s="104" t="s">
        <v>230</v>
      </c>
      <c r="X23" s="104"/>
      <c r="Y23" s="105" t="s">
        <v>233</v>
      </c>
    </row>
    <row r="24" spans="1:25" ht="25.5" x14ac:dyDescent="0.2">
      <c r="A24" s="72"/>
      <c r="B24" s="72"/>
      <c r="C24" s="42"/>
      <c r="D24" s="42"/>
      <c r="E24" s="89"/>
      <c r="F24" s="95"/>
      <c r="G24" s="94" t="s">
        <v>219</v>
      </c>
      <c r="H24" s="94" t="s">
        <v>221</v>
      </c>
      <c r="I24" s="94" t="s">
        <v>237</v>
      </c>
      <c r="J24" s="99" t="s">
        <v>217</v>
      </c>
      <c r="K24" s="106"/>
      <c r="L24" s="19" t="s">
        <v>193</v>
      </c>
      <c r="M24" s="19" t="s">
        <v>213</v>
      </c>
      <c r="N24" s="19" t="s">
        <v>193</v>
      </c>
      <c r="O24" s="19" t="s">
        <v>213</v>
      </c>
      <c r="P24" s="19" t="s">
        <v>193</v>
      </c>
      <c r="Q24" s="19" t="s">
        <v>213</v>
      </c>
      <c r="R24" s="19" t="s">
        <v>238</v>
      </c>
      <c r="S24" s="106"/>
      <c r="T24" s="19" t="s">
        <v>193</v>
      </c>
      <c r="U24" s="19" t="s">
        <v>213</v>
      </c>
      <c r="V24" s="106"/>
      <c r="W24" s="19" t="s">
        <v>193</v>
      </c>
      <c r="X24" s="19" t="s">
        <v>213</v>
      </c>
      <c r="Y24" s="106"/>
    </row>
    <row r="25" spans="1:25" x14ac:dyDescent="0.2">
      <c r="A25" s="72" t="s">
        <v>181</v>
      </c>
      <c r="B25" s="72"/>
      <c r="C25" s="42">
        <f>SUM(C2:C11)</f>
        <v>591</v>
      </c>
      <c r="D25" s="42">
        <f>SUM(D2:D11)</f>
        <v>171</v>
      </c>
      <c r="E25" s="89">
        <f t="shared" ref="E25:E27" si="6">D25/(C25+D25)</f>
        <v>0.22440944881889763</v>
      </c>
      <c r="F25" s="42">
        <f>SUM(F2:F11)</f>
        <v>24.349999999999998</v>
      </c>
      <c r="G25" s="98">
        <f>SUM(G2:G11)</f>
        <v>2755111.25</v>
      </c>
      <c r="H25" s="98">
        <f>SUM(H2:H11)</f>
        <v>755915</v>
      </c>
      <c r="I25" s="98">
        <f>SUM(I2:I11)</f>
        <v>3511026.25</v>
      </c>
      <c r="J25" s="89">
        <f>H25/(G25+H25)</f>
        <v>0.21529745042492918</v>
      </c>
      <c r="K25" s="95">
        <f>G25/H25</f>
        <v>3.6447368421052633</v>
      </c>
      <c r="L25" s="42">
        <v>2</v>
      </c>
      <c r="M25" s="42">
        <v>3</v>
      </c>
      <c r="N25" s="42">
        <v>30</v>
      </c>
      <c r="O25" s="42">
        <v>10</v>
      </c>
      <c r="P25" s="98">
        <f t="shared" ref="P25:Q27" si="7">G25/L25</f>
        <v>1377555.625</v>
      </c>
      <c r="Q25" s="98">
        <f t="shared" si="7"/>
        <v>251971.66666666666</v>
      </c>
      <c r="R25" s="98">
        <f>I25/(L25+M25)</f>
        <v>702205.25</v>
      </c>
      <c r="S25" s="100">
        <f>P25/Q25</f>
        <v>5.4671052631578947</v>
      </c>
      <c r="T25" s="98">
        <f t="shared" ref="T25:U27" si="8">G25/N25</f>
        <v>91837.041666666672</v>
      </c>
      <c r="U25" s="98">
        <f t="shared" si="8"/>
        <v>75591.5</v>
      </c>
      <c r="V25" s="100">
        <f>T25/U25</f>
        <v>1.2149122807017545</v>
      </c>
      <c r="W25" s="98">
        <f t="shared" ref="W25:X27" si="9">G25/(L25+N25)</f>
        <v>86097.2265625</v>
      </c>
      <c r="X25" s="98">
        <f t="shared" si="9"/>
        <v>58147.307692307695</v>
      </c>
      <c r="Y25" s="100">
        <f>W25/X25</f>
        <v>1.4806743421052631</v>
      </c>
    </row>
    <row r="26" spans="1:25" x14ac:dyDescent="0.2">
      <c r="A26" s="72" t="s">
        <v>179</v>
      </c>
      <c r="B26" s="72"/>
      <c r="C26" s="42">
        <f>SUM(C12:C21)</f>
        <v>127</v>
      </c>
      <c r="D26" s="42">
        <f>SUM(D12:D21)</f>
        <v>49</v>
      </c>
      <c r="E26" s="89">
        <f t="shared" si="6"/>
        <v>0.27840909090909088</v>
      </c>
      <c r="F26" s="42">
        <f>SUM(F12:F21)</f>
        <v>20.879999999999995</v>
      </c>
      <c r="G26" s="98">
        <f>SUM(G12:G21)</f>
        <v>274516.5</v>
      </c>
      <c r="H26" s="98">
        <f>SUM(H12:H21)</f>
        <v>120705.5</v>
      </c>
      <c r="I26" s="98">
        <f>SUM(I12:I21)</f>
        <v>395222</v>
      </c>
      <c r="J26" s="89">
        <f>H26/(G26+H26)</f>
        <v>0.30541189508681199</v>
      </c>
      <c r="K26" s="95">
        <f t="shared" ref="K26:K27" si="10">G26/H26</f>
        <v>2.2742667069851827</v>
      </c>
      <c r="L26" s="42">
        <v>2</v>
      </c>
      <c r="M26" s="42">
        <v>1</v>
      </c>
      <c r="N26" s="42">
        <v>6</v>
      </c>
      <c r="O26" s="42">
        <v>3</v>
      </c>
      <c r="P26" s="98">
        <f t="shared" si="7"/>
        <v>137258.25</v>
      </c>
      <c r="Q26" s="98">
        <f t="shared" si="7"/>
        <v>120705.5</v>
      </c>
      <c r="R26" s="98">
        <f t="shared" ref="R26:R27" si="11">I26/(L26+M26)</f>
        <v>131740.66666666666</v>
      </c>
      <c r="S26" s="100">
        <f>P26/Q26</f>
        <v>1.1371333534925914</v>
      </c>
      <c r="T26" s="98">
        <f t="shared" si="8"/>
        <v>45752.75</v>
      </c>
      <c r="U26" s="98">
        <f t="shared" si="8"/>
        <v>40235.166666666664</v>
      </c>
      <c r="V26" s="100">
        <f>T26/U26</f>
        <v>1.1371333534925916</v>
      </c>
      <c r="W26" s="98">
        <f t="shared" si="9"/>
        <v>34314.5625</v>
      </c>
      <c r="X26" s="98">
        <f t="shared" si="9"/>
        <v>30176.375</v>
      </c>
      <c r="Y26" s="100">
        <f>W26/X26</f>
        <v>1.1371333534925914</v>
      </c>
    </row>
    <row r="27" spans="1:25" x14ac:dyDescent="0.2">
      <c r="A27" s="72" t="s">
        <v>230</v>
      </c>
      <c r="B27" s="72"/>
      <c r="C27" s="42">
        <f>SUM(C25:C26)</f>
        <v>718</v>
      </c>
      <c r="D27" s="42">
        <f>SUM(D25:D26)</f>
        <v>220</v>
      </c>
      <c r="E27" s="89">
        <f t="shared" si="6"/>
        <v>0.23454157782515991</v>
      </c>
      <c r="F27" s="42">
        <f>SUM(F25:F26)</f>
        <v>45.22999999999999</v>
      </c>
      <c r="G27" s="98">
        <f>SUM(G25:G26)</f>
        <v>3029627.75</v>
      </c>
      <c r="H27" s="98">
        <f>SUM(H25:H26)</f>
        <v>876620.5</v>
      </c>
      <c r="I27" s="98">
        <f>SUM(I25:I26)</f>
        <v>3906248.25</v>
      </c>
      <c r="J27" s="89">
        <f>H27/(G27+H27)</f>
        <v>0.22441494853789695</v>
      </c>
      <c r="K27" s="95">
        <f t="shared" si="10"/>
        <v>3.456031144605904</v>
      </c>
      <c r="L27" s="42">
        <f>SUM(L25:L26)</f>
        <v>4</v>
      </c>
      <c r="M27" s="42">
        <f>SUM(M25:M26)</f>
        <v>4</v>
      </c>
      <c r="N27" s="42">
        <f>SUM(N25:N26)</f>
        <v>36</v>
      </c>
      <c r="O27" s="42">
        <f>SUM(O25:O26)</f>
        <v>13</v>
      </c>
      <c r="P27" s="98">
        <f t="shared" si="7"/>
        <v>757406.9375</v>
      </c>
      <c r="Q27" s="98">
        <f t="shared" si="7"/>
        <v>219155.125</v>
      </c>
      <c r="R27" s="98">
        <f t="shared" si="11"/>
        <v>488281.03125</v>
      </c>
      <c r="S27" s="100">
        <f>P27/Q27</f>
        <v>3.456031144605904</v>
      </c>
      <c r="T27" s="98">
        <f t="shared" si="8"/>
        <v>84156.326388888891</v>
      </c>
      <c r="U27" s="98">
        <f t="shared" si="8"/>
        <v>67432.346153846156</v>
      </c>
      <c r="V27" s="100">
        <f>T27/U27</f>
        <v>1.2480112466632431</v>
      </c>
      <c r="W27" s="98">
        <f t="shared" si="9"/>
        <v>75740.693750000006</v>
      </c>
      <c r="X27" s="98">
        <f t="shared" si="9"/>
        <v>51565.911764705881</v>
      </c>
      <c r="Y27" s="100">
        <f>W27/X27</f>
        <v>1.4688132364575095</v>
      </c>
    </row>
    <row r="28" spans="1:25" x14ac:dyDescent="0.2">
      <c r="A28" s="72" t="s">
        <v>234</v>
      </c>
      <c r="B28" s="72"/>
      <c r="C28" s="42"/>
      <c r="D28" s="42"/>
      <c r="E28" s="72"/>
      <c r="F28" s="72"/>
      <c r="G28" s="95">
        <f>G25/G26</f>
        <v>10.036231884057971</v>
      </c>
      <c r="H28" s="95">
        <f>H25/H26</f>
        <v>6.2624735409736925</v>
      </c>
      <c r="I28" s="95"/>
      <c r="J28" s="72"/>
      <c r="K28" s="72"/>
      <c r="L28" s="95">
        <f t="shared" ref="L28:Q28" si="12">L25/L26</f>
        <v>1</v>
      </c>
      <c r="M28" s="95">
        <f t="shared" si="12"/>
        <v>3</v>
      </c>
      <c r="N28" s="95">
        <f t="shared" si="12"/>
        <v>5</v>
      </c>
      <c r="O28" s="95">
        <f t="shared" si="12"/>
        <v>3.3333333333333335</v>
      </c>
      <c r="P28" s="95">
        <f t="shared" si="12"/>
        <v>10.036231884057971</v>
      </c>
      <c r="Q28" s="95">
        <f t="shared" si="12"/>
        <v>2.0874911803245642</v>
      </c>
      <c r="R28" s="95"/>
      <c r="S28" s="95"/>
      <c r="T28" s="95">
        <f>T25/T26</f>
        <v>2.0072463768115942</v>
      </c>
      <c r="U28" s="95">
        <f>U25/U26</f>
        <v>1.8787420622921078</v>
      </c>
      <c r="V28" s="95"/>
      <c r="W28" s="95">
        <f>W25/W26</f>
        <v>2.5090579710144927</v>
      </c>
      <c r="X28" s="95">
        <f>X25/X26</f>
        <v>1.926914935684213</v>
      </c>
      <c r="Y28" s="72"/>
    </row>
    <row r="29" spans="1:25" x14ac:dyDescent="0.2">
      <c r="A29" s="101" t="s">
        <v>236</v>
      </c>
      <c r="B29" s="72"/>
      <c r="C29" s="42"/>
      <c r="D29" s="42"/>
      <c r="E29" s="72"/>
      <c r="F29" s="72"/>
      <c r="G29" s="72"/>
      <c r="H29" s="72"/>
      <c r="I29" s="72"/>
      <c r="J29" s="72"/>
      <c r="K29" s="72"/>
      <c r="L29" s="42"/>
      <c r="M29" s="42"/>
      <c r="N29" s="42"/>
      <c r="O29" s="42"/>
      <c r="P29" s="89">
        <f>SUM(P25-P26)/P25</f>
        <v>0.90036101083032494</v>
      </c>
      <c r="Q29" s="89">
        <f t="shared" ref="Q29:R29" si="13">SUM(Q25-Q26)/Q25</f>
        <v>0.52095605987445681</v>
      </c>
      <c r="R29" s="89">
        <f t="shared" si="13"/>
        <v>0.81239008585215411</v>
      </c>
      <c r="S29" s="72"/>
      <c r="T29" s="89">
        <f>SUM(T25-T26)/T26</f>
        <v>1.0072463768115942</v>
      </c>
      <c r="U29" s="89">
        <f>SUM(U25-U26)/U26</f>
        <v>0.87874206229210772</v>
      </c>
      <c r="V29" s="72"/>
      <c r="W29" s="89">
        <f>SUM(W25-W26)/W26</f>
        <v>1.5090579710144927</v>
      </c>
      <c r="X29" s="89">
        <f>SUM(X25-X26)/X26</f>
        <v>0.92691493568421301</v>
      </c>
      <c r="Y29" s="72"/>
    </row>
  </sheetData>
  <sortState ref="A2:J21">
    <sortCondition ref="B2:B21"/>
  </sortState>
  <mergeCells count="9">
    <mergeCell ref="W23:X23"/>
    <mergeCell ref="Y23:Y24"/>
    <mergeCell ref="K23:K24"/>
    <mergeCell ref="P23:R23"/>
    <mergeCell ref="L23:M23"/>
    <mergeCell ref="N23:O23"/>
    <mergeCell ref="T23:U23"/>
    <mergeCell ref="S23:S24"/>
    <mergeCell ref="V23:V2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2"/>
  <sheetViews>
    <sheetView workbookViewId="0">
      <pane xSplit="1" ySplit="6" topLeftCell="F161" activePane="bottomRight" state="frozen"/>
      <selection pane="topRight" activeCell="B1" sqref="B1"/>
      <selection pane="bottomLeft" activeCell="A14" sqref="A14"/>
      <selection pane="bottomRight" activeCell="P1" sqref="P1:P1048576"/>
    </sheetView>
  </sheetViews>
  <sheetFormatPr defaultColWidth="12.140625" defaultRowHeight="15" customHeight="1" x14ac:dyDescent="0.2"/>
  <cols>
    <col min="1" max="1" width="12.140625" style="27"/>
    <col min="2" max="2" width="7.5703125" style="23" customWidth="1"/>
    <col min="3" max="3" width="12.28515625" customWidth="1"/>
    <col min="4" max="4" width="12.42578125" customWidth="1"/>
    <col min="5" max="5" width="10.85546875" customWidth="1"/>
    <col min="6" max="6" width="10.85546875" style="45" customWidth="1"/>
    <col min="7" max="7" width="10.42578125" hidden="1" customWidth="1"/>
    <col min="8" max="8" width="10.42578125" style="45" customWidth="1"/>
    <col min="9" max="10" width="10.42578125" customWidth="1"/>
    <col min="11" max="12" width="10" customWidth="1"/>
    <col min="13" max="14" width="10.140625" customWidth="1"/>
  </cols>
  <sheetData>
    <row r="1" spans="1:16" ht="15" customHeight="1" x14ac:dyDescent="0.3">
      <c r="A1" s="111" t="s">
        <v>0</v>
      </c>
      <c r="B1" s="111"/>
      <c r="C1" s="111"/>
      <c r="D1" s="112" t="s">
        <v>1</v>
      </c>
      <c r="E1" s="112"/>
      <c r="F1" s="112"/>
      <c r="G1" s="112"/>
      <c r="H1" s="112"/>
      <c r="I1" s="112"/>
      <c r="J1" s="112"/>
    </row>
    <row r="2" spans="1:16" ht="15" customHeight="1" x14ac:dyDescent="0.2">
      <c r="A2" s="27" t="s">
        <v>211</v>
      </c>
    </row>
    <row r="4" spans="1:16" s="1" customFormat="1" ht="30" customHeight="1" x14ac:dyDescent="0.3">
      <c r="A4" s="26" t="s">
        <v>8</v>
      </c>
      <c r="B4" s="25"/>
      <c r="C4" s="3" t="s">
        <v>9</v>
      </c>
      <c r="D4" s="3" t="s">
        <v>10</v>
      </c>
      <c r="E4" s="3" t="s">
        <v>11</v>
      </c>
      <c r="F4" s="43" t="s">
        <v>12</v>
      </c>
      <c r="G4" s="3" t="s">
        <v>9</v>
      </c>
      <c r="H4" s="43" t="s">
        <v>10</v>
      </c>
      <c r="I4" s="3" t="s">
        <v>11</v>
      </c>
      <c r="J4" s="3" t="s">
        <v>12</v>
      </c>
    </row>
    <row r="5" spans="1:16" s="1" customFormat="1" ht="15" customHeight="1" x14ac:dyDescent="0.3">
      <c r="A5" s="26" t="s">
        <v>13</v>
      </c>
      <c r="B5" s="25" t="s">
        <v>193</v>
      </c>
      <c r="C5" s="4" t="s">
        <v>14</v>
      </c>
      <c r="D5" s="4" t="s">
        <v>14</v>
      </c>
      <c r="E5" s="4" t="s">
        <v>14</v>
      </c>
      <c r="F5" s="44" t="s">
        <v>14</v>
      </c>
      <c r="G5" s="4" t="s">
        <v>15</v>
      </c>
      <c r="H5" s="44" t="s">
        <v>15</v>
      </c>
      <c r="I5" s="4" t="s">
        <v>15</v>
      </c>
      <c r="J5" s="4" t="s">
        <v>15</v>
      </c>
    </row>
    <row r="6" spans="1:16" s="1" customFormat="1" ht="28.5" customHeight="1" x14ac:dyDescent="0.2">
      <c r="A6" s="74"/>
      <c r="B6" s="75"/>
      <c r="C6" s="76" t="s">
        <v>111</v>
      </c>
      <c r="D6" s="76" t="s">
        <v>112</v>
      </c>
      <c r="E6" s="76" t="s">
        <v>113</v>
      </c>
      <c r="F6" s="76" t="s">
        <v>114</v>
      </c>
      <c r="G6" s="76" t="s">
        <v>113</v>
      </c>
      <c r="H6" s="76" t="s">
        <v>114</v>
      </c>
      <c r="I6" s="76" t="s">
        <v>111</v>
      </c>
      <c r="J6" s="76" t="s">
        <v>112</v>
      </c>
      <c r="K6" s="5" t="s">
        <v>113</v>
      </c>
      <c r="L6" s="5" t="s">
        <v>111</v>
      </c>
      <c r="M6" s="5" t="s">
        <v>114</v>
      </c>
      <c r="N6" s="5" t="s">
        <v>112</v>
      </c>
      <c r="O6" s="73" t="s">
        <v>114</v>
      </c>
    </row>
    <row r="7" spans="1:16" ht="15" customHeight="1" x14ac:dyDescent="0.2">
      <c r="A7" s="77" t="s">
        <v>5</v>
      </c>
      <c r="B7" s="78">
        <v>1</v>
      </c>
      <c r="C7" s="79">
        <v>0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80">
        <f t="shared" ref="K7:K38" si="0">SUM(E7,G7)</f>
        <v>0</v>
      </c>
      <c r="L7" s="80">
        <f t="shared" ref="L7:L38" si="1">SUM(C6,I6)</f>
        <v>0</v>
      </c>
      <c r="M7" s="80">
        <f t="shared" ref="M7:M38" si="2">SUM(F7,H7)</f>
        <v>0</v>
      </c>
      <c r="N7" s="80">
        <f t="shared" ref="N7:N38" si="3">SUM(D6,J6)</f>
        <v>0</v>
      </c>
      <c r="O7" s="42">
        <f>SUM(F7:H7)</f>
        <v>0</v>
      </c>
      <c r="P7">
        <v>15</v>
      </c>
    </row>
    <row r="8" spans="1:16" ht="15" customHeight="1" x14ac:dyDescent="0.2">
      <c r="A8" s="77" t="s">
        <v>16</v>
      </c>
      <c r="B8" s="78">
        <v>1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80">
        <f t="shared" si="0"/>
        <v>0</v>
      </c>
      <c r="L8" s="80">
        <f t="shared" si="1"/>
        <v>0</v>
      </c>
      <c r="M8" s="80">
        <f t="shared" si="2"/>
        <v>0</v>
      </c>
      <c r="N8" s="80">
        <f t="shared" si="3"/>
        <v>0</v>
      </c>
      <c r="O8" s="42">
        <f t="shared" ref="O8:O71" si="4">SUM(F8:H8)</f>
        <v>0</v>
      </c>
      <c r="P8">
        <v>15</v>
      </c>
    </row>
    <row r="9" spans="1:16" ht="15" customHeight="1" x14ac:dyDescent="0.2">
      <c r="A9" s="77" t="s">
        <v>17</v>
      </c>
      <c r="B9" s="78">
        <v>1</v>
      </c>
      <c r="C9" s="79">
        <v>0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80">
        <f t="shared" si="0"/>
        <v>0</v>
      </c>
      <c r="L9" s="80">
        <f t="shared" si="1"/>
        <v>0</v>
      </c>
      <c r="M9" s="80">
        <f t="shared" si="2"/>
        <v>0</v>
      </c>
      <c r="N9" s="80">
        <f t="shared" si="3"/>
        <v>0</v>
      </c>
      <c r="O9" s="42">
        <f t="shared" si="4"/>
        <v>0</v>
      </c>
      <c r="P9">
        <v>15</v>
      </c>
    </row>
    <row r="10" spans="1:16" ht="15" customHeight="1" x14ac:dyDescent="0.2">
      <c r="A10" s="77" t="s">
        <v>18</v>
      </c>
      <c r="B10" s="78">
        <v>1</v>
      </c>
      <c r="C10" s="79">
        <v>0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80">
        <f t="shared" si="0"/>
        <v>0</v>
      </c>
      <c r="L10" s="80">
        <f t="shared" si="1"/>
        <v>0</v>
      </c>
      <c r="M10" s="80">
        <f t="shared" si="2"/>
        <v>0</v>
      </c>
      <c r="N10" s="80">
        <f t="shared" si="3"/>
        <v>0</v>
      </c>
      <c r="O10" s="42">
        <f t="shared" si="4"/>
        <v>0</v>
      </c>
      <c r="P10">
        <v>15</v>
      </c>
    </row>
    <row r="11" spans="1:16" ht="15" customHeight="1" x14ac:dyDescent="0.2">
      <c r="A11" s="77" t="s">
        <v>19</v>
      </c>
      <c r="B11" s="78">
        <v>1</v>
      </c>
      <c r="C11" s="79">
        <v>0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80">
        <f t="shared" si="0"/>
        <v>0</v>
      </c>
      <c r="L11" s="80">
        <f t="shared" si="1"/>
        <v>0</v>
      </c>
      <c r="M11" s="80">
        <f t="shared" si="2"/>
        <v>0</v>
      </c>
      <c r="N11" s="80">
        <f t="shared" si="3"/>
        <v>0</v>
      </c>
      <c r="O11" s="42">
        <f t="shared" si="4"/>
        <v>0</v>
      </c>
      <c r="P11">
        <v>15</v>
      </c>
    </row>
    <row r="12" spans="1:16" ht="15" customHeight="1" x14ac:dyDescent="0.2">
      <c r="A12" s="77" t="s">
        <v>20</v>
      </c>
      <c r="B12" s="78">
        <v>1</v>
      </c>
      <c r="C12" s="79">
        <v>0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80">
        <f t="shared" si="0"/>
        <v>0</v>
      </c>
      <c r="L12" s="80">
        <f t="shared" si="1"/>
        <v>0</v>
      </c>
      <c r="M12" s="80">
        <f t="shared" si="2"/>
        <v>0</v>
      </c>
      <c r="N12" s="80">
        <f t="shared" si="3"/>
        <v>0</v>
      </c>
      <c r="O12" s="42">
        <f t="shared" si="4"/>
        <v>0</v>
      </c>
      <c r="P12">
        <v>15</v>
      </c>
    </row>
    <row r="13" spans="1:16" ht="15" customHeight="1" x14ac:dyDescent="0.2">
      <c r="A13" s="77" t="s">
        <v>21</v>
      </c>
      <c r="B13" s="78">
        <v>1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80">
        <f t="shared" si="0"/>
        <v>0</v>
      </c>
      <c r="L13" s="80">
        <f t="shared" si="1"/>
        <v>0</v>
      </c>
      <c r="M13" s="80">
        <f t="shared" si="2"/>
        <v>0</v>
      </c>
      <c r="N13" s="80">
        <f t="shared" si="3"/>
        <v>0</v>
      </c>
      <c r="O13" s="42">
        <f t="shared" si="4"/>
        <v>0</v>
      </c>
      <c r="P13">
        <v>15</v>
      </c>
    </row>
    <row r="14" spans="1:16" ht="15" customHeight="1" x14ac:dyDescent="0.2">
      <c r="A14" s="77" t="s">
        <v>22</v>
      </c>
      <c r="B14" s="78">
        <v>1</v>
      </c>
      <c r="C14" s="79">
        <v>0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80">
        <f t="shared" si="0"/>
        <v>0</v>
      </c>
      <c r="L14" s="80">
        <f t="shared" si="1"/>
        <v>0</v>
      </c>
      <c r="M14" s="80">
        <f t="shared" si="2"/>
        <v>0</v>
      </c>
      <c r="N14" s="80">
        <f t="shared" si="3"/>
        <v>0</v>
      </c>
      <c r="O14" s="42">
        <f t="shared" si="4"/>
        <v>0</v>
      </c>
      <c r="P14">
        <v>15</v>
      </c>
    </row>
    <row r="15" spans="1:16" ht="15" customHeight="1" x14ac:dyDescent="0.2">
      <c r="A15" s="77" t="s">
        <v>23</v>
      </c>
      <c r="B15" s="78">
        <v>1</v>
      </c>
      <c r="C15" s="79">
        <v>0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80">
        <f t="shared" si="0"/>
        <v>0</v>
      </c>
      <c r="L15" s="80">
        <f t="shared" si="1"/>
        <v>0</v>
      </c>
      <c r="M15" s="80">
        <f t="shared" si="2"/>
        <v>0</v>
      </c>
      <c r="N15" s="80">
        <f t="shared" si="3"/>
        <v>0</v>
      </c>
      <c r="O15" s="42">
        <f t="shared" si="4"/>
        <v>0</v>
      </c>
      <c r="P15">
        <v>15</v>
      </c>
    </row>
    <row r="16" spans="1:16" ht="15" customHeight="1" x14ac:dyDescent="0.2">
      <c r="A16" s="77" t="s">
        <v>24</v>
      </c>
      <c r="B16" s="78">
        <v>1</v>
      </c>
      <c r="C16" s="79">
        <v>0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80">
        <f t="shared" si="0"/>
        <v>0</v>
      </c>
      <c r="L16" s="80">
        <f t="shared" si="1"/>
        <v>0</v>
      </c>
      <c r="M16" s="80">
        <f t="shared" si="2"/>
        <v>0</v>
      </c>
      <c r="N16" s="80">
        <f t="shared" si="3"/>
        <v>0</v>
      </c>
      <c r="O16" s="42">
        <f t="shared" si="4"/>
        <v>0</v>
      </c>
      <c r="P16">
        <v>15</v>
      </c>
    </row>
    <row r="17" spans="1:16" ht="15" customHeight="1" x14ac:dyDescent="0.2">
      <c r="A17" s="77" t="s">
        <v>25</v>
      </c>
      <c r="B17" s="78">
        <v>1</v>
      </c>
      <c r="C17" s="79">
        <v>0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80">
        <f t="shared" si="0"/>
        <v>0</v>
      </c>
      <c r="L17" s="80">
        <f t="shared" si="1"/>
        <v>0</v>
      </c>
      <c r="M17" s="80">
        <f t="shared" si="2"/>
        <v>0</v>
      </c>
      <c r="N17" s="80">
        <f t="shared" si="3"/>
        <v>0</v>
      </c>
      <c r="O17" s="42">
        <f t="shared" si="4"/>
        <v>0</v>
      </c>
      <c r="P17">
        <v>15</v>
      </c>
    </row>
    <row r="18" spans="1:16" ht="15" customHeight="1" x14ac:dyDescent="0.2">
      <c r="A18" s="77" t="s">
        <v>26</v>
      </c>
      <c r="B18" s="78">
        <v>1</v>
      </c>
      <c r="C18" s="79">
        <v>0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80">
        <f t="shared" si="0"/>
        <v>0</v>
      </c>
      <c r="L18" s="80">
        <f t="shared" si="1"/>
        <v>0</v>
      </c>
      <c r="M18" s="80">
        <f t="shared" si="2"/>
        <v>0</v>
      </c>
      <c r="N18" s="80">
        <f t="shared" si="3"/>
        <v>0</v>
      </c>
      <c r="O18" s="42">
        <f t="shared" si="4"/>
        <v>0</v>
      </c>
      <c r="P18">
        <v>15</v>
      </c>
    </row>
    <row r="19" spans="1:16" ht="15" customHeight="1" x14ac:dyDescent="0.2">
      <c r="A19" s="77" t="s">
        <v>27</v>
      </c>
      <c r="B19" s="78">
        <v>1</v>
      </c>
      <c r="C19" s="79">
        <v>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80">
        <f t="shared" si="0"/>
        <v>0</v>
      </c>
      <c r="L19" s="80">
        <f t="shared" si="1"/>
        <v>0</v>
      </c>
      <c r="M19" s="80">
        <f t="shared" si="2"/>
        <v>0</v>
      </c>
      <c r="N19" s="80">
        <f t="shared" si="3"/>
        <v>0</v>
      </c>
      <c r="O19" s="42">
        <f t="shared" si="4"/>
        <v>0</v>
      </c>
      <c r="P19">
        <v>15</v>
      </c>
    </row>
    <row r="20" spans="1:16" ht="15" customHeight="1" x14ac:dyDescent="0.2">
      <c r="A20" s="77" t="s">
        <v>28</v>
      </c>
      <c r="B20" s="78">
        <v>1</v>
      </c>
      <c r="C20" s="79">
        <v>0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80">
        <f t="shared" si="0"/>
        <v>0</v>
      </c>
      <c r="L20" s="80">
        <f t="shared" si="1"/>
        <v>0</v>
      </c>
      <c r="M20" s="80">
        <f t="shared" si="2"/>
        <v>0</v>
      </c>
      <c r="N20" s="80">
        <f t="shared" si="3"/>
        <v>0</v>
      </c>
      <c r="O20" s="42">
        <f t="shared" si="4"/>
        <v>0</v>
      </c>
      <c r="P20">
        <v>15</v>
      </c>
    </row>
    <row r="21" spans="1:16" ht="15" customHeight="1" x14ac:dyDescent="0.2">
      <c r="A21" s="77" t="s">
        <v>29</v>
      </c>
      <c r="B21" s="78">
        <v>1</v>
      </c>
      <c r="C21" s="79">
        <v>0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80">
        <f t="shared" si="0"/>
        <v>0</v>
      </c>
      <c r="L21" s="80">
        <f t="shared" si="1"/>
        <v>0</v>
      </c>
      <c r="M21" s="80">
        <f t="shared" si="2"/>
        <v>0</v>
      </c>
      <c r="N21" s="80">
        <f t="shared" si="3"/>
        <v>0</v>
      </c>
      <c r="O21" s="42">
        <f t="shared" si="4"/>
        <v>0</v>
      </c>
      <c r="P21">
        <v>15</v>
      </c>
    </row>
    <row r="22" spans="1:16" ht="15" customHeight="1" x14ac:dyDescent="0.2">
      <c r="A22" s="77" t="s">
        <v>30</v>
      </c>
      <c r="B22" s="78">
        <v>1</v>
      </c>
      <c r="C22" s="79">
        <v>0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1</v>
      </c>
      <c r="K22" s="80">
        <f t="shared" si="0"/>
        <v>0</v>
      </c>
      <c r="L22" s="80">
        <f t="shared" si="1"/>
        <v>0</v>
      </c>
      <c r="M22" s="80">
        <f t="shared" si="2"/>
        <v>0</v>
      </c>
      <c r="N22" s="80">
        <f t="shared" si="3"/>
        <v>0</v>
      </c>
      <c r="O22" s="42">
        <f t="shared" si="4"/>
        <v>0</v>
      </c>
      <c r="P22">
        <v>15</v>
      </c>
    </row>
    <row r="23" spans="1:16" ht="15" customHeight="1" x14ac:dyDescent="0.2">
      <c r="A23" s="77" t="s">
        <v>31</v>
      </c>
      <c r="B23" s="78">
        <v>1</v>
      </c>
      <c r="C23" s="79">
        <v>0</v>
      </c>
      <c r="D23" s="79">
        <v>0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0</v>
      </c>
      <c r="K23" s="80">
        <f t="shared" si="0"/>
        <v>0</v>
      </c>
      <c r="L23" s="80">
        <f t="shared" si="1"/>
        <v>0</v>
      </c>
      <c r="M23" s="80">
        <f t="shared" si="2"/>
        <v>0</v>
      </c>
      <c r="N23" s="80">
        <f t="shared" si="3"/>
        <v>1</v>
      </c>
      <c r="O23" s="42">
        <f t="shared" si="4"/>
        <v>0</v>
      </c>
      <c r="P23">
        <v>15</v>
      </c>
    </row>
    <row r="24" spans="1:16" ht="15" customHeight="1" x14ac:dyDescent="0.2">
      <c r="A24" s="77" t="s">
        <v>32</v>
      </c>
      <c r="B24" s="78">
        <v>1</v>
      </c>
      <c r="C24" s="79">
        <v>0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80">
        <f t="shared" si="0"/>
        <v>0</v>
      </c>
      <c r="L24" s="80">
        <f t="shared" si="1"/>
        <v>0</v>
      </c>
      <c r="M24" s="80">
        <f t="shared" si="2"/>
        <v>0</v>
      </c>
      <c r="N24" s="80">
        <f t="shared" si="3"/>
        <v>0</v>
      </c>
      <c r="O24" s="42">
        <f t="shared" si="4"/>
        <v>0</v>
      </c>
      <c r="P24">
        <v>15</v>
      </c>
    </row>
    <row r="25" spans="1:16" ht="15" customHeight="1" x14ac:dyDescent="0.2">
      <c r="A25" s="77" t="s">
        <v>33</v>
      </c>
      <c r="B25" s="78">
        <v>1</v>
      </c>
      <c r="C25" s="79">
        <v>0</v>
      </c>
      <c r="D25" s="79">
        <v>0</v>
      </c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80">
        <f t="shared" si="0"/>
        <v>0</v>
      </c>
      <c r="L25" s="80">
        <f t="shared" si="1"/>
        <v>0</v>
      </c>
      <c r="M25" s="80">
        <f t="shared" si="2"/>
        <v>0</v>
      </c>
      <c r="N25" s="80">
        <f t="shared" si="3"/>
        <v>0</v>
      </c>
      <c r="O25" s="42">
        <f t="shared" si="4"/>
        <v>0</v>
      </c>
      <c r="P25">
        <v>15</v>
      </c>
    </row>
    <row r="26" spans="1:16" ht="15" customHeight="1" x14ac:dyDescent="0.2">
      <c r="A26" s="77" t="s">
        <v>34</v>
      </c>
      <c r="B26" s="78">
        <v>1</v>
      </c>
      <c r="C26" s="79">
        <v>0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0</v>
      </c>
      <c r="K26" s="80">
        <f t="shared" si="0"/>
        <v>0</v>
      </c>
      <c r="L26" s="80">
        <f t="shared" si="1"/>
        <v>0</v>
      </c>
      <c r="M26" s="80">
        <f t="shared" si="2"/>
        <v>0</v>
      </c>
      <c r="N26" s="80">
        <f t="shared" si="3"/>
        <v>0</v>
      </c>
      <c r="O26" s="42">
        <f t="shared" si="4"/>
        <v>0</v>
      </c>
      <c r="P26">
        <v>15</v>
      </c>
    </row>
    <row r="27" spans="1:16" ht="15" customHeight="1" x14ac:dyDescent="0.2">
      <c r="A27" s="77" t="s">
        <v>35</v>
      </c>
      <c r="B27" s="78">
        <v>1</v>
      </c>
      <c r="C27" s="79">
        <v>0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80">
        <f t="shared" si="0"/>
        <v>0</v>
      </c>
      <c r="L27" s="80">
        <f t="shared" si="1"/>
        <v>0</v>
      </c>
      <c r="M27" s="80">
        <f t="shared" si="2"/>
        <v>0</v>
      </c>
      <c r="N27" s="80">
        <f t="shared" si="3"/>
        <v>0</v>
      </c>
      <c r="O27" s="42">
        <f t="shared" si="4"/>
        <v>0</v>
      </c>
      <c r="P27">
        <v>15</v>
      </c>
    </row>
    <row r="28" spans="1:16" ht="15" customHeight="1" x14ac:dyDescent="0.2">
      <c r="A28" s="77" t="s">
        <v>36</v>
      </c>
      <c r="B28" s="78">
        <v>1</v>
      </c>
      <c r="C28" s="79">
        <v>0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80">
        <f t="shared" si="0"/>
        <v>0</v>
      </c>
      <c r="L28" s="80">
        <f t="shared" si="1"/>
        <v>0</v>
      </c>
      <c r="M28" s="80">
        <f t="shared" si="2"/>
        <v>0</v>
      </c>
      <c r="N28" s="80">
        <f t="shared" si="3"/>
        <v>0</v>
      </c>
      <c r="O28" s="42">
        <f t="shared" si="4"/>
        <v>0</v>
      </c>
      <c r="P28">
        <v>15</v>
      </c>
    </row>
    <row r="29" spans="1:16" ht="15" customHeight="1" x14ac:dyDescent="0.2">
      <c r="A29" s="77" t="s">
        <v>37</v>
      </c>
      <c r="B29" s="78">
        <v>1</v>
      </c>
      <c r="C29" s="79">
        <v>0</v>
      </c>
      <c r="D29" s="79">
        <v>0</v>
      </c>
      <c r="E29" s="79">
        <v>0</v>
      </c>
      <c r="F29" s="79">
        <v>1</v>
      </c>
      <c r="G29" s="79">
        <v>0</v>
      </c>
      <c r="H29" s="79">
        <v>0</v>
      </c>
      <c r="I29" s="79">
        <v>0</v>
      </c>
      <c r="J29" s="79">
        <v>0</v>
      </c>
      <c r="K29" s="80">
        <f t="shared" si="0"/>
        <v>0</v>
      </c>
      <c r="L29" s="80">
        <f t="shared" si="1"/>
        <v>0</v>
      </c>
      <c r="M29" s="80">
        <f t="shared" si="2"/>
        <v>1</v>
      </c>
      <c r="N29" s="80">
        <f t="shared" si="3"/>
        <v>0</v>
      </c>
      <c r="O29" s="42">
        <f t="shared" si="4"/>
        <v>1</v>
      </c>
      <c r="P29">
        <v>15</v>
      </c>
    </row>
    <row r="30" spans="1:16" ht="15" customHeight="1" x14ac:dyDescent="0.2">
      <c r="A30" s="77" t="s">
        <v>38</v>
      </c>
      <c r="B30" s="78">
        <v>1</v>
      </c>
      <c r="C30" s="79">
        <v>0</v>
      </c>
      <c r="D30" s="79">
        <v>0</v>
      </c>
      <c r="E30" s="79">
        <v>0</v>
      </c>
      <c r="F30" s="79">
        <v>1</v>
      </c>
      <c r="G30" s="79">
        <v>0</v>
      </c>
      <c r="H30" s="79">
        <v>0</v>
      </c>
      <c r="I30" s="79">
        <v>0</v>
      </c>
      <c r="J30" s="79">
        <v>0</v>
      </c>
      <c r="K30" s="80">
        <f t="shared" si="0"/>
        <v>0</v>
      </c>
      <c r="L30" s="80">
        <f t="shared" si="1"/>
        <v>0</v>
      </c>
      <c r="M30" s="80">
        <f t="shared" si="2"/>
        <v>1</v>
      </c>
      <c r="N30" s="80">
        <f t="shared" si="3"/>
        <v>0</v>
      </c>
      <c r="O30" s="42">
        <f t="shared" si="4"/>
        <v>1</v>
      </c>
      <c r="P30">
        <v>15</v>
      </c>
    </row>
    <row r="31" spans="1:16" ht="15" customHeight="1" x14ac:dyDescent="0.2">
      <c r="A31" s="77" t="s">
        <v>39</v>
      </c>
      <c r="B31" s="78">
        <v>1</v>
      </c>
      <c r="C31" s="79">
        <v>0</v>
      </c>
      <c r="D31" s="79">
        <v>0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80">
        <f t="shared" si="0"/>
        <v>0</v>
      </c>
      <c r="L31" s="80">
        <f t="shared" si="1"/>
        <v>0</v>
      </c>
      <c r="M31" s="80">
        <f t="shared" si="2"/>
        <v>0</v>
      </c>
      <c r="N31" s="80">
        <f t="shared" si="3"/>
        <v>0</v>
      </c>
      <c r="O31" s="42">
        <f t="shared" si="4"/>
        <v>0</v>
      </c>
      <c r="P31">
        <v>15</v>
      </c>
    </row>
    <row r="32" spans="1:16" ht="15" customHeight="1" x14ac:dyDescent="0.2">
      <c r="A32" s="77" t="s">
        <v>40</v>
      </c>
      <c r="B32" s="78">
        <v>1</v>
      </c>
      <c r="C32" s="79">
        <v>0</v>
      </c>
      <c r="D32" s="79">
        <v>0</v>
      </c>
      <c r="E32" s="79">
        <v>0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80">
        <f t="shared" si="0"/>
        <v>0</v>
      </c>
      <c r="L32" s="80">
        <f t="shared" si="1"/>
        <v>0</v>
      </c>
      <c r="M32" s="80">
        <f t="shared" si="2"/>
        <v>0</v>
      </c>
      <c r="N32" s="80">
        <f t="shared" si="3"/>
        <v>0</v>
      </c>
      <c r="O32" s="42">
        <f t="shared" si="4"/>
        <v>0</v>
      </c>
      <c r="P32">
        <v>15</v>
      </c>
    </row>
    <row r="33" spans="1:16" ht="15" customHeight="1" x14ac:dyDescent="0.2">
      <c r="A33" s="77" t="s">
        <v>41</v>
      </c>
      <c r="B33" s="78">
        <v>1</v>
      </c>
      <c r="C33" s="79">
        <v>0</v>
      </c>
      <c r="D33" s="79">
        <v>0</v>
      </c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80">
        <f t="shared" si="0"/>
        <v>0</v>
      </c>
      <c r="L33" s="80">
        <f t="shared" si="1"/>
        <v>0</v>
      </c>
      <c r="M33" s="80">
        <f t="shared" si="2"/>
        <v>0</v>
      </c>
      <c r="N33" s="80">
        <f t="shared" si="3"/>
        <v>0</v>
      </c>
      <c r="O33" s="42">
        <f t="shared" si="4"/>
        <v>0</v>
      </c>
      <c r="P33">
        <v>15</v>
      </c>
    </row>
    <row r="34" spans="1:16" s="33" customFormat="1" ht="15" customHeight="1" x14ac:dyDescent="0.2">
      <c r="A34" s="46" t="s">
        <v>42</v>
      </c>
      <c r="B34" s="47">
        <v>1</v>
      </c>
      <c r="C34" s="48">
        <v>0</v>
      </c>
      <c r="D34" s="48">
        <v>0</v>
      </c>
      <c r="E34" s="48">
        <v>0</v>
      </c>
      <c r="F34" s="48">
        <v>0</v>
      </c>
      <c r="G34" s="48">
        <v>1</v>
      </c>
      <c r="H34" s="48">
        <v>0</v>
      </c>
      <c r="I34" s="48">
        <v>0</v>
      </c>
      <c r="J34" s="48">
        <v>0</v>
      </c>
      <c r="K34" s="49">
        <f t="shared" si="0"/>
        <v>1</v>
      </c>
      <c r="L34" s="49">
        <f t="shared" si="1"/>
        <v>0</v>
      </c>
      <c r="M34" s="49">
        <f t="shared" si="2"/>
        <v>0</v>
      </c>
      <c r="N34" s="49">
        <f t="shared" si="3"/>
        <v>0</v>
      </c>
      <c r="O34" s="81">
        <f t="shared" si="4"/>
        <v>1</v>
      </c>
      <c r="P34">
        <v>15</v>
      </c>
    </row>
    <row r="35" spans="1:16" s="33" customFormat="1" ht="15" customHeight="1" x14ac:dyDescent="0.2">
      <c r="A35" s="46" t="s">
        <v>43</v>
      </c>
      <c r="B35" s="47">
        <v>1</v>
      </c>
      <c r="C35" s="48">
        <v>0</v>
      </c>
      <c r="D35" s="48">
        <v>0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>
        <v>0</v>
      </c>
      <c r="K35" s="49">
        <f t="shared" si="0"/>
        <v>0</v>
      </c>
      <c r="L35" s="49">
        <f t="shared" si="1"/>
        <v>0</v>
      </c>
      <c r="M35" s="49">
        <f t="shared" si="2"/>
        <v>0</v>
      </c>
      <c r="N35" s="49">
        <f t="shared" si="3"/>
        <v>0</v>
      </c>
      <c r="O35" s="81">
        <f t="shared" si="4"/>
        <v>0</v>
      </c>
      <c r="P35">
        <v>15</v>
      </c>
    </row>
    <row r="36" spans="1:16" s="33" customFormat="1" ht="15" customHeight="1" x14ac:dyDescent="0.2">
      <c r="A36" s="46" t="s">
        <v>44</v>
      </c>
      <c r="B36" s="47">
        <v>1</v>
      </c>
      <c r="C36" s="48">
        <v>0</v>
      </c>
      <c r="D36" s="48">
        <v>0</v>
      </c>
      <c r="E36" s="48">
        <v>2</v>
      </c>
      <c r="F36" s="48">
        <v>0</v>
      </c>
      <c r="G36" s="48">
        <v>0</v>
      </c>
      <c r="H36" s="48">
        <v>0</v>
      </c>
      <c r="I36" s="48">
        <v>0</v>
      </c>
      <c r="J36" s="48">
        <v>0</v>
      </c>
      <c r="K36" s="49">
        <f t="shared" si="0"/>
        <v>2</v>
      </c>
      <c r="L36" s="49">
        <f t="shared" si="1"/>
        <v>0</v>
      </c>
      <c r="M36" s="49">
        <f t="shared" si="2"/>
        <v>0</v>
      </c>
      <c r="N36" s="49">
        <f t="shared" si="3"/>
        <v>0</v>
      </c>
      <c r="O36" s="81">
        <f t="shared" si="4"/>
        <v>0</v>
      </c>
      <c r="P36">
        <v>15</v>
      </c>
    </row>
    <row r="37" spans="1:16" s="33" customFormat="1" ht="15" customHeight="1" x14ac:dyDescent="0.2">
      <c r="A37" s="46" t="s">
        <v>45</v>
      </c>
      <c r="B37" s="47">
        <v>1</v>
      </c>
      <c r="C37" s="48">
        <v>0</v>
      </c>
      <c r="D37" s="48">
        <v>0</v>
      </c>
      <c r="E37" s="48">
        <v>0</v>
      </c>
      <c r="F37" s="48">
        <v>0</v>
      </c>
      <c r="G37" s="48">
        <v>0</v>
      </c>
      <c r="H37" s="48">
        <v>0</v>
      </c>
      <c r="I37" s="48">
        <v>0</v>
      </c>
      <c r="J37" s="48">
        <v>0</v>
      </c>
      <c r="K37" s="49">
        <f t="shared" si="0"/>
        <v>0</v>
      </c>
      <c r="L37" s="49">
        <f t="shared" si="1"/>
        <v>0</v>
      </c>
      <c r="M37" s="49">
        <f t="shared" si="2"/>
        <v>0</v>
      </c>
      <c r="N37" s="49">
        <f t="shared" si="3"/>
        <v>0</v>
      </c>
      <c r="O37" s="81">
        <f t="shared" si="4"/>
        <v>0</v>
      </c>
      <c r="P37">
        <v>15</v>
      </c>
    </row>
    <row r="38" spans="1:16" s="33" customFormat="1" ht="15" customHeight="1" x14ac:dyDescent="0.2">
      <c r="A38" s="46" t="s">
        <v>46</v>
      </c>
      <c r="B38" s="47">
        <v>1</v>
      </c>
      <c r="C38" s="48">
        <v>0</v>
      </c>
      <c r="D38" s="48">
        <v>0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>
        <v>0</v>
      </c>
      <c r="K38" s="49">
        <f t="shared" si="0"/>
        <v>0</v>
      </c>
      <c r="L38" s="49">
        <f t="shared" si="1"/>
        <v>0</v>
      </c>
      <c r="M38" s="49">
        <f t="shared" si="2"/>
        <v>0</v>
      </c>
      <c r="N38" s="49">
        <f t="shared" si="3"/>
        <v>0</v>
      </c>
      <c r="O38" s="81">
        <f t="shared" si="4"/>
        <v>0</v>
      </c>
      <c r="P38">
        <v>15</v>
      </c>
    </row>
    <row r="39" spans="1:16" s="33" customFormat="1" ht="15" customHeight="1" x14ac:dyDescent="0.2">
      <c r="A39" s="46" t="s">
        <v>47</v>
      </c>
      <c r="B39" s="47">
        <v>1</v>
      </c>
      <c r="C39" s="48">
        <v>0</v>
      </c>
      <c r="D39" s="48">
        <v>0</v>
      </c>
      <c r="E39" s="48">
        <v>0</v>
      </c>
      <c r="F39" s="48">
        <v>0</v>
      </c>
      <c r="G39" s="48">
        <v>1</v>
      </c>
      <c r="H39" s="48">
        <v>0</v>
      </c>
      <c r="I39" s="48">
        <v>0</v>
      </c>
      <c r="J39" s="48">
        <v>0</v>
      </c>
      <c r="K39" s="49">
        <f t="shared" ref="K39:K70" si="5">SUM(E39,G39)</f>
        <v>1</v>
      </c>
      <c r="L39" s="49">
        <f t="shared" ref="L39:L70" si="6">SUM(C38,I38)</f>
        <v>0</v>
      </c>
      <c r="M39" s="49">
        <f t="shared" ref="M39:M70" si="7">SUM(F39,H39)</f>
        <v>0</v>
      </c>
      <c r="N39" s="49">
        <f t="shared" ref="N39:N70" si="8">SUM(D38,J38)</f>
        <v>0</v>
      </c>
      <c r="O39" s="81">
        <f t="shared" si="4"/>
        <v>1</v>
      </c>
      <c r="P39">
        <v>15</v>
      </c>
    </row>
    <row r="40" spans="1:16" s="33" customFormat="1" ht="15" customHeight="1" x14ac:dyDescent="0.2">
      <c r="A40" s="46" t="s">
        <v>48</v>
      </c>
      <c r="B40" s="47">
        <v>1</v>
      </c>
      <c r="C40" s="48">
        <v>1</v>
      </c>
      <c r="D40" s="48">
        <v>0</v>
      </c>
      <c r="E40" s="48">
        <v>11</v>
      </c>
      <c r="F40" s="48">
        <v>0</v>
      </c>
      <c r="G40" s="48">
        <v>0</v>
      </c>
      <c r="H40" s="48">
        <v>0</v>
      </c>
      <c r="I40" s="48">
        <v>2</v>
      </c>
      <c r="J40" s="48">
        <v>0</v>
      </c>
      <c r="K40" s="49">
        <f t="shared" si="5"/>
        <v>11</v>
      </c>
      <c r="L40" s="49">
        <f t="shared" si="6"/>
        <v>0</v>
      </c>
      <c r="M40" s="49">
        <f t="shared" si="7"/>
        <v>0</v>
      </c>
      <c r="N40" s="49">
        <f t="shared" si="8"/>
        <v>0</v>
      </c>
      <c r="O40" s="81">
        <f t="shared" si="4"/>
        <v>0</v>
      </c>
      <c r="P40">
        <v>15</v>
      </c>
    </row>
    <row r="41" spans="1:16" s="33" customFormat="1" ht="15" customHeight="1" x14ac:dyDescent="0.2">
      <c r="A41" s="46" t="s">
        <v>49</v>
      </c>
      <c r="B41" s="47">
        <v>1</v>
      </c>
      <c r="C41" s="48">
        <v>0</v>
      </c>
      <c r="D41" s="48">
        <v>0</v>
      </c>
      <c r="E41" s="48">
        <v>5</v>
      </c>
      <c r="F41" s="48">
        <v>1</v>
      </c>
      <c r="G41" s="48">
        <v>0</v>
      </c>
      <c r="H41" s="48">
        <v>0</v>
      </c>
      <c r="I41" s="48">
        <v>0</v>
      </c>
      <c r="J41" s="48">
        <v>0</v>
      </c>
      <c r="K41" s="49">
        <f t="shared" si="5"/>
        <v>5</v>
      </c>
      <c r="L41" s="49">
        <f t="shared" si="6"/>
        <v>3</v>
      </c>
      <c r="M41" s="49">
        <f t="shared" si="7"/>
        <v>1</v>
      </c>
      <c r="N41" s="49">
        <f t="shared" si="8"/>
        <v>0</v>
      </c>
      <c r="O41" s="81">
        <f t="shared" si="4"/>
        <v>1</v>
      </c>
      <c r="P41">
        <v>15</v>
      </c>
    </row>
    <row r="42" spans="1:16" s="33" customFormat="1" ht="15" customHeight="1" x14ac:dyDescent="0.2">
      <c r="A42" s="46" t="s">
        <v>50</v>
      </c>
      <c r="B42" s="47">
        <v>1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2</v>
      </c>
      <c r="J42" s="48">
        <v>0</v>
      </c>
      <c r="K42" s="49">
        <f t="shared" si="5"/>
        <v>0</v>
      </c>
      <c r="L42" s="49">
        <f t="shared" si="6"/>
        <v>0</v>
      </c>
      <c r="M42" s="49">
        <f t="shared" si="7"/>
        <v>0</v>
      </c>
      <c r="N42" s="49">
        <f t="shared" si="8"/>
        <v>0</v>
      </c>
      <c r="O42" s="81">
        <f t="shared" si="4"/>
        <v>0</v>
      </c>
      <c r="P42">
        <v>15</v>
      </c>
    </row>
    <row r="43" spans="1:16" s="33" customFormat="1" ht="15" customHeight="1" x14ac:dyDescent="0.2">
      <c r="A43" s="46" t="s">
        <v>51</v>
      </c>
      <c r="B43" s="47">
        <v>1</v>
      </c>
      <c r="C43" s="48">
        <v>1</v>
      </c>
      <c r="D43" s="48">
        <v>0</v>
      </c>
      <c r="E43" s="48">
        <v>0</v>
      </c>
      <c r="F43" s="48">
        <v>1</v>
      </c>
      <c r="G43" s="48">
        <v>0</v>
      </c>
      <c r="H43" s="48">
        <v>1</v>
      </c>
      <c r="I43" s="48">
        <v>0</v>
      </c>
      <c r="J43" s="48">
        <v>0</v>
      </c>
      <c r="K43" s="49">
        <f t="shared" si="5"/>
        <v>0</v>
      </c>
      <c r="L43" s="49">
        <f t="shared" si="6"/>
        <v>2</v>
      </c>
      <c r="M43" s="49">
        <f t="shared" si="7"/>
        <v>2</v>
      </c>
      <c r="N43" s="49">
        <f t="shared" si="8"/>
        <v>0</v>
      </c>
      <c r="O43" s="81">
        <f t="shared" si="4"/>
        <v>2</v>
      </c>
      <c r="P43">
        <v>15</v>
      </c>
    </row>
    <row r="44" spans="1:16" s="33" customFormat="1" ht="15" customHeight="1" x14ac:dyDescent="0.2">
      <c r="A44" s="46" t="s">
        <v>52</v>
      </c>
      <c r="B44" s="47">
        <v>1</v>
      </c>
      <c r="C44" s="48">
        <v>0</v>
      </c>
      <c r="D44" s="48">
        <v>0</v>
      </c>
      <c r="E44" s="48">
        <v>0</v>
      </c>
      <c r="F44" s="48">
        <v>0</v>
      </c>
      <c r="G44" s="48">
        <v>1</v>
      </c>
      <c r="H44" s="48">
        <v>0</v>
      </c>
      <c r="I44" s="48">
        <v>0</v>
      </c>
      <c r="J44" s="48">
        <v>0</v>
      </c>
      <c r="K44" s="49">
        <f t="shared" si="5"/>
        <v>1</v>
      </c>
      <c r="L44" s="49">
        <f t="shared" si="6"/>
        <v>1</v>
      </c>
      <c r="M44" s="49">
        <f t="shared" si="7"/>
        <v>0</v>
      </c>
      <c r="N44" s="49">
        <f t="shared" si="8"/>
        <v>0</v>
      </c>
      <c r="O44" s="81">
        <f t="shared" si="4"/>
        <v>1</v>
      </c>
      <c r="P44">
        <v>15</v>
      </c>
    </row>
    <row r="45" spans="1:16" s="33" customFormat="1" ht="15" customHeight="1" x14ac:dyDescent="0.2">
      <c r="A45" s="46" t="s">
        <v>53</v>
      </c>
      <c r="B45" s="47">
        <v>1</v>
      </c>
      <c r="C45" s="48">
        <v>0</v>
      </c>
      <c r="D45" s="48">
        <v>0</v>
      </c>
      <c r="E45" s="48">
        <v>0</v>
      </c>
      <c r="F45" s="48">
        <v>0</v>
      </c>
      <c r="G45" s="48">
        <v>1</v>
      </c>
      <c r="H45" s="48">
        <v>0</v>
      </c>
      <c r="I45" s="48">
        <v>0</v>
      </c>
      <c r="J45" s="48">
        <v>0</v>
      </c>
      <c r="K45" s="49">
        <f t="shared" si="5"/>
        <v>1</v>
      </c>
      <c r="L45" s="49">
        <f t="shared" si="6"/>
        <v>0</v>
      </c>
      <c r="M45" s="49">
        <f t="shared" si="7"/>
        <v>0</v>
      </c>
      <c r="N45" s="49">
        <f t="shared" si="8"/>
        <v>0</v>
      </c>
      <c r="O45" s="81">
        <f t="shared" si="4"/>
        <v>1</v>
      </c>
      <c r="P45">
        <v>15</v>
      </c>
    </row>
    <row r="46" spans="1:16" s="33" customFormat="1" ht="15" customHeight="1" x14ac:dyDescent="0.2">
      <c r="A46" s="46" t="s">
        <v>54</v>
      </c>
      <c r="B46" s="47">
        <v>1</v>
      </c>
      <c r="C46" s="48">
        <v>0</v>
      </c>
      <c r="D46" s="48">
        <v>0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>
        <v>0</v>
      </c>
      <c r="K46" s="49">
        <f t="shared" si="5"/>
        <v>0</v>
      </c>
      <c r="L46" s="49">
        <f t="shared" si="6"/>
        <v>0</v>
      </c>
      <c r="M46" s="49">
        <f t="shared" si="7"/>
        <v>0</v>
      </c>
      <c r="N46" s="49">
        <f t="shared" si="8"/>
        <v>0</v>
      </c>
      <c r="O46" s="81">
        <f t="shared" si="4"/>
        <v>0</v>
      </c>
      <c r="P46">
        <v>15</v>
      </c>
    </row>
    <row r="47" spans="1:16" s="33" customFormat="1" ht="15" customHeight="1" x14ac:dyDescent="0.2">
      <c r="A47" s="46" t="s">
        <v>55</v>
      </c>
      <c r="B47" s="47">
        <v>1</v>
      </c>
      <c r="C47" s="48">
        <v>0</v>
      </c>
      <c r="D47" s="48">
        <v>0</v>
      </c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>
        <v>0</v>
      </c>
      <c r="K47" s="49">
        <f t="shared" si="5"/>
        <v>0</v>
      </c>
      <c r="L47" s="49">
        <f t="shared" si="6"/>
        <v>0</v>
      </c>
      <c r="M47" s="49">
        <f t="shared" si="7"/>
        <v>0</v>
      </c>
      <c r="N47" s="49">
        <f t="shared" si="8"/>
        <v>0</v>
      </c>
      <c r="O47" s="81">
        <f t="shared" si="4"/>
        <v>0</v>
      </c>
      <c r="P47">
        <v>15</v>
      </c>
    </row>
    <row r="48" spans="1:16" s="33" customFormat="1" ht="15" customHeight="1" x14ac:dyDescent="0.2">
      <c r="A48" s="46" t="s">
        <v>56</v>
      </c>
      <c r="B48" s="47">
        <v>1</v>
      </c>
      <c r="C48" s="48">
        <v>0</v>
      </c>
      <c r="D48" s="48">
        <v>0</v>
      </c>
      <c r="E48" s="48">
        <v>0</v>
      </c>
      <c r="F48" s="48">
        <v>0</v>
      </c>
      <c r="G48" s="48">
        <v>0</v>
      </c>
      <c r="H48" s="48">
        <v>1</v>
      </c>
      <c r="I48" s="48">
        <v>0</v>
      </c>
      <c r="J48" s="48">
        <v>0</v>
      </c>
      <c r="K48" s="49">
        <f t="shared" si="5"/>
        <v>0</v>
      </c>
      <c r="L48" s="49">
        <f t="shared" si="6"/>
        <v>0</v>
      </c>
      <c r="M48" s="49">
        <f t="shared" si="7"/>
        <v>1</v>
      </c>
      <c r="N48" s="49">
        <f t="shared" si="8"/>
        <v>0</v>
      </c>
      <c r="O48" s="81">
        <f t="shared" si="4"/>
        <v>1</v>
      </c>
      <c r="P48">
        <v>15</v>
      </c>
    </row>
    <row r="49" spans="1:16" s="33" customFormat="1" ht="15" customHeight="1" x14ac:dyDescent="0.2">
      <c r="A49" s="46" t="s">
        <v>57</v>
      </c>
      <c r="B49" s="47">
        <v>1</v>
      </c>
      <c r="C49" s="48">
        <v>0</v>
      </c>
      <c r="D49" s="48">
        <v>0</v>
      </c>
      <c r="E49" s="48">
        <v>0</v>
      </c>
      <c r="F49" s="48">
        <v>0</v>
      </c>
      <c r="G49" s="48">
        <v>0</v>
      </c>
      <c r="H49" s="48">
        <v>0</v>
      </c>
      <c r="I49" s="48">
        <v>0</v>
      </c>
      <c r="J49" s="48">
        <v>0</v>
      </c>
      <c r="K49" s="49">
        <f t="shared" si="5"/>
        <v>0</v>
      </c>
      <c r="L49" s="49">
        <f t="shared" si="6"/>
        <v>0</v>
      </c>
      <c r="M49" s="49">
        <f t="shared" si="7"/>
        <v>0</v>
      </c>
      <c r="N49" s="49">
        <f t="shared" si="8"/>
        <v>0</v>
      </c>
      <c r="O49" s="81">
        <f t="shared" si="4"/>
        <v>0</v>
      </c>
      <c r="P49">
        <v>15</v>
      </c>
    </row>
    <row r="50" spans="1:16" s="33" customFormat="1" ht="15" customHeight="1" x14ac:dyDescent="0.2">
      <c r="A50" s="46" t="s">
        <v>58</v>
      </c>
      <c r="B50" s="47">
        <v>1</v>
      </c>
      <c r="C50" s="48">
        <v>1</v>
      </c>
      <c r="D50" s="48">
        <v>0</v>
      </c>
      <c r="E50" s="48">
        <v>0</v>
      </c>
      <c r="F50" s="48">
        <v>0</v>
      </c>
      <c r="G50" s="48">
        <v>0</v>
      </c>
      <c r="H50" s="48">
        <v>0</v>
      </c>
      <c r="I50" s="48">
        <v>0</v>
      </c>
      <c r="J50" s="48">
        <v>0</v>
      </c>
      <c r="K50" s="49">
        <f t="shared" si="5"/>
        <v>0</v>
      </c>
      <c r="L50" s="49">
        <f t="shared" si="6"/>
        <v>0</v>
      </c>
      <c r="M50" s="49">
        <f t="shared" si="7"/>
        <v>0</v>
      </c>
      <c r="N50" s="49">
        <f t="shared" si="8"/>
        <v>0</v>
      </c>
      <c r="O50" s="81">
        <f t="shared" si="4"/>
        <v>0</v>
      </c>
      <c r="P50">
        <v>15</v>
      </c>
    </row>
    <row r="51" spans="1:16" s="33" customFormat="1" ht="15" customHeight="1" x14ac:dyDescent="0.2">
      <c r="A51" s="46" t="s">
        <v>59</v>
      </c>
      <c r="B51" s="47">
        <v>1</v>
      </c>
      <c r="C51" s="48">
        <v>0</v>
      </c>
      <c r="D51" s="48">
        <v>0</v>
      </c>
      <c r="E51" s="48">
        <v>0</v>
      </c>
      <c r="F51" s="48">
        <v>0</v>
      </c>
      <c r="G51" s="48">
        <v>0</v>
      </c>
      <c r="H51" s="48">
        <v>0</v>
      </c>
      <c r="I51" s="48">
        <v>0</v>
      </c>
      <c r="J51" s="48">
        <v>0</v>
      </c>
      <c r="K51" s="49">
        <f t="shared" si="5"/>
        <v>0</v>
      </c>
      <c r="L51" s="49">
        <f t="shared" si="6"/>
        <v>1</v>
      </c>
      <c r="M51" s="49">
        <f t="shared" si="7"/>
        <v>0</v>
      </c>
      <c r="N51" s="49">
        <f t="shared" si="8"/>
        <v>0</v>
      </c>
      <c r="O51" s="81">
        <f t="shared" si="4"/>
        <v>0</v>
      </c>
      <c r="P51">
        <v>15</v>
      </c>
    </row>
    <row r="52" spans="1:16" s="33" customFormat="1" ht="15" customHeight="1" x14ac:dyDescent="0.2">
      <c r="A52" s="46" t="s">
        <v>60</v>
      </c>
      <c r="B52" s="47">
        <v>1</v>
      </c>
      <c r="C52" s="48">
        <v>0</v>
      </c>
      <c r="D52" s="48">
        <v>0</v>
      </c>
      <c r="E52" s="48">
        <v>0</v>
      </c>
      <c r="F52" s="48">
        <v>0</v>
      </c>
      <c r="G52" s="48">
        <v>0</v>
      </c>
      <c r="H52" s="48">
        <v>0</v>
      </c>
      <c r="I52" s="48">
        <v>0</v>
      </c>
      <c r="J52" s="48">
        <v>0</v>
      </c>
      <c r="K52" s="49">
        <f t="shared" si="5"/>
        <v>0</v>
      </c>
      <c r="L52" s="49">
        <f t="shared" si="6"/>
        <v>0</v>
      </c>
      <c r="M52" s="49">
        <f t="shared" si="7"/>
        <v>0</v>
      </c>
      <c r="N52" s="49">
        <f t="shared" si="8"/>
        <v>0</v>
      </c>
      <c r="O52" s="81">
        <f t="shared" si="4"/>
        <v>0</v>
      </c>
      <c r="P52">
        <v>15</v>
      </c>
    </row>
    <row r="53" spans="1:16" s="33" customFormat="1" ht="15" customHeight="1" x14ac:dyDescent="0.2">
      <c r="A53" s="46" t="s">
        <v>61</v>
      </c>
      <c r="B53" s="47">
        <v>1</v>
      </c>
      <c r="C53" s="48">
        <v>0</v>
      </c>
      <c r="D53" s="48">
        <v>0</v>
      </c>
      <c r="E53" s="48">
        <v>1</v>
      </c>
      <c r="F53" s="48">
        <v>0</v>
      </c>
      <c r="G53" s="48">
        <v>1</v>
      </c>
      <c r="H53" s="48">
        <v>0</v>
      </c>
      <c r="I53" s="48">
        <v>0</v>
      </c>
      <c r="J53" s="48">
        <v>0</v>
      </c>
      <c r="K53" s="49">
        <f t="shared" si="5"/>
        <v>2</v>
      </c>
      <c r="L53" s="49">
        <f t="shared" si="6"/>
        <v>0</v>
      </c>
      <c r="M53" s="49">
        <f t="shared" si="7"/>
        <v>0</v>
      </c>
      <c r="N53" s="49">
        <f t="shared" si="8"/>
        <v>0</v>
      </c>
      <c r="O53" s="81">
        <f t="shared" si="4"/>
        <v>1</v>
      </c>
      <c r="P53">
        <v>15</v>
      </c>
    </row>
    <row r="54" spans="1:16" s="33" customFormat="1" ht="15" customHeight="1" x14ac:dyDescent="0.2">
      <c r="A54" s="46" t="s">
        <v>62</v>
      </c>
      <c r="B54" s="47">
        <v>1</v>
      </c>
      <c r="C54" s="48">
        <v>0</v>
      </c>
      <c r="D54" s="48">
        <v>0</v>
      </c>
      <c r="E54" s="48">
        <v>0</v>
      </c>
      <c r="F54" s="48">
        <v>1</v>
      </c>
      <c r="G54" s="48">
        <v>0</v>
      </c>
      <c r="H54" s="48">
        <v>0</v>
      </c>
      <c r="I54" s="48">
        <v>0</v>
      </c>
      <c r="J54" s="48">
        <v>0</v>
      </c>
      <c r="K54" s="49">
        <f t="shared" si="5"/>
        <v>0</v>
      </c>
      <c r="L54" s="49">
        <f t="shared" si="6"/>
        <v>0</v>
      </c>
      <c r="M54" s="49">
        <f t="shared" si="7"/>
        <v>1</v>
      </c>
      <c r="N54" s="49">
        <f t="shared" si="8"/>
        <v>0</v>
      </c>
      <c r="O54" s="81">
        <f t="shared" si="4"/>
        <v>1</v>
      </c>
      <c r="P54">
        <v>15</v>
      </c>
    </row>
    <row r="55" spans="1:16" s="33" customFormat="1" ht="15" customHeight="1" x14ac:dyDescent="0.2">
      <c r="A55" s="46" t="s">
        <v>63</v>
      </c>
      <c r="B55" s="47">
        <v>1</v>
      </c>
      <c r="C55" s="48">
        <v>0</v>
      </c>
      <c r="D55" s="48">
        <v>0</v>
      </c>
      <c r="E55" s="48">
        <v>0</v>
      </c>
      <c r="F55" s="48">
        <v>0</v>
      </c>
      <c r="G55" s="48">
        <v>0</v>
      </c>
      <c r="H55" s="48">
        <v>0</v>
      </c>
      <c r="I55" s="48">
        <v>0</v>
      </c>
      <c r="J55" s="48">
        <v>0</v>
      </c>
      <c r="K55" s="49">
        <f t="shared" si="5"/>
        <v>0</v>
      </c>
      <c r="L55" s="49">
        <f t="shared" si="6"/>
        <v>0</v>
      </c>
      <c r="M55" s="49">
        <f t="shared" si="7"/>
        <v>0</v>
      </c>
      <c r="N55" s="49">
        <f t="shared" si="8"/>
        <v>0</v>
      </c>
      <c r="O55" s="81">
        <f t="shared" si="4"/>
        <v>0</v>
      </c>
      <c r="P55">
        <v>15</v>
      </c>
    </row>
    <row r="56" spans="1:16" s="33" customFormat="1" ht="15" customHeight="1" x14ac:dyDescent="0.2">
      <c r="A56" s="46" t="s">
        <v>64</v>
      </c>
      <c r="B56" s="47">
        <v>1</v>
      </c>
      <c r="C56" s="48">
        <v>0</v>
      </c>
      <c r="D56" s="48">
        <v>0</v>
      </c>
      <c r="E56" s="48">
        <v>0</v>
      </c>
      <c r="F56" s="48">
        <v>0</v>
      </c>
      <c r="G56" s="48">
        <v>0</v>
      </c>
      <c r="H56" s="48">
        <v>0</v>
      </c>
      <c r="I56" s="48">
        <v>0</v>
      </c>
      <c r="J56" s="48">
        <v>0</v>
      </c>
      <c r="K56" s="49">
        <f t="shared" si="5"/>
        <v>0</v>
      </c>
      <c r="L56" s="49">
        <f t="shared" si="6"/>
        <v>0</v>
      </c>
      <c r="M56" s="49">
        <f t="shared" si="7"/>
        <v>0</v>
      </c>
      <c r="N56" s="49">
        <f t="shared" si="8"/>
        <v>0</v>
      </c>
      <c r="O56" s="81">
        <f t="shared" si="4"/>
        <v>0</v>
      </c>
      <c r="P56">
        <v>15</v>
      </c>
    </row>
    <row r="57" spans="1:16" s="33" customFormat="1" ht="15" customHeight="1" x14ac:dyDescent="0.2">
      <c r="A57" s="46" t="s">
        <v>65</v>
      </c>
      <c r="B57" s="47">
        <v>1</v>
      </c>
      <c r="C57" s="48">
        <v>0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8">
        <v>0</v>
      </c>
      <c r="K57" s="49">
        <f t="shared" si="5"/>
        <v>0</v>
      </c>
      <c r="L57" s="49">
        <f t="shared" si="6"/>
        <v>0</v>
      </c>
      <c r="M57" s="49">
        <f t="shared" si="7"/>
        <v>0</v>
      </c>
      <c r="N57" s="49">
        <f t="shared" si="8"/>
        <v>0</v>
      </c>
      <c r="O57" s="81">
        <f t="shared" si="4"/>
        <v>0</v>
      </c>
      <c r="P57">
        <v>15</v>
      </c>
    </row>
    <row r="58" spans="1:16" s="33" customFormat="1" ht="15" customHeight="1" x14ac:dyDescent="0.2">
      <c r="A58" s="46" t="s">
        <v>66</v>
      </c>
      <c r="B58" s="47">
        <v>1</v>
      </c>
      <c r="C58" s="48">
        <v>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8">
        <v>0</v>
      </c>
      <c r="K58" s="49">
        <f t="shared" si="5"/>
        <v>0</v>
      </c>
      <c r="L58" s="49">
        <f t="shared" si="6"/>
        <v>0</v>
      </c>
      <c r="M58" s="49">
        <f t="shared" si="7"/>
        <v>0</v>
      </c>
      <c r="N58" s="49">
        <f t="shared" si="8"/>
        <v>0</v>
      </c>
      <c r="O58" s="81">
        <f t="shared" si="4"/>
        <v>0</v>
      </c>
      <c r="P58">
        <v>15</v>
      </c>
    </row>
    <row r="59" spans="1:16" s="33" customFormat="1" ht="15" customHeight="1" x14ac:dyDescent="0.2">
      <c r="A59" s="46" t="s">
        <v>67</v>
      </c>
      <c r="B59" s="47">
        <v>1</v>
      </c>
      <c r="C59" s="48">
        <v>0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8">
        <v>0</v>
      </c>
      <c r="K59" s="49">
        <f t="shared" si="5"/>
        <v>0</v>
      </c>
      <c r="L59" s="49">
        <f t="shared" si="6"/>
        <v>0</v>
      </c>
      <c r="M59" s="49">
        <f t="shared" si="7"/>
        <v>0</v>
      </c>
      <c r="N59" s="49">
        <f t="shared" si="8"/>
        <v>0</v>
      </c>
      <c r="O59" s="81">
        <f t="shared" si="4"/>
        <v>0</v>
      </c>
      <c r="P59">
        <v>15</v>
      </c>
    </row>
    <row r="60" spans="1:16" s="33" customFormat="1" ht="15" customHeight="1" x14ac:dyDescent="0.2">
      <c r="A60" s="46" t="s">
        <v>68</v>
      </c>
      <c r="B60" s="47">
        <v>1</v>
      </c>
      <c r="C60" s="48">
        <v>0</v>
      </c>
      <c r="D60" s="48">
        <v>0</v>
      </c>
      <c r="E60" s="48">
        <v>0</v>
      </c>
      <c r="F60" s="48">
        <v>0</v>
      </c>
      <c r="G60" s="48">
        <v>0</v>
      </c>
      <c r="H60" s="48">
        <v>0</v>
      </c>
      <c r="I60" s="48">
        <v>0</v>
      </c>
      <c r="J60" s="48">
        <v>0</v>
      </c>
      <c r="K60" s="49">
        <f t="shared" si="5"/>
        <v>0</v>
      </c>
      <c r="L60" s="49">
        <f t="shared" si="6"/>
        <v>0</v>
      </c>
      <c r="M60" s="49">
        <f t="shared" si="7"/>
        <v>0</v>
      </c>
      <c r="N60" s="49">
        <f t="shared" si="8"/>
        <v>0</v>
      </c>
      <c r="O60" s="81">
        <f t="shared" si="4"/>
        <v>0</v>
      </c>
      <c r="P60">
        <v>15</v>
      </c>
    </row>
    <row r="61" spans="1:16" s="33" customFormat="1" ht="15" customHeight="1" x14ac:dyDescent="0.2">
      <c r="A61" s="46" t="s">
        <v>69</v>
      </c>
      <c r="B61" s="47">
        <v>1</v>
      </c>
      <c r="C61" s="48">
        <v>0</v>
      </c>
      <c r="D61" s="48">
        <v>0</v>
      </c>
      <c r="E61" s="48">
        <v>0</v>
      </c>
      <c r="F61" s="48">
        <v>0</v>
      </c>
      <c r="G61" s="48">
        <v>0</v>
      </c>
      <c r="H61" s="48">
        <v>0</v>
      </c>
      <c r="I61" s="48">
        <v>0</v>
      </c>
      <c r="J61" s="48">
        <v>0</v>
      </c>
      <c r="K61" s="49">
        <f t="shared" si="5"/>
        <v>0</v>
      </c>
      <c r="L61" s="49">
        <f t="shared" si="6"/>
        <v>0</v>
      </c>
      <c r="M61" s="49">
        <f t="shared" si="7"/>
        <v>0</v>
      </c>
      <c r="N61" s="49">
        <f t="shared" si="8"/>
        <v>0</v>
      </c>
      <c r="O61" s="81">
        <f t="shared" si="4"/>
        <v>0</v>
      </c>
      <c r="P61">
        <v>15</v>
      </c>
    </row>
    <row r="62" spans="1:16" s="33" customFormat="1" ht="15" customHeight="1" x14ac:dyDescent="0.2">
      <c r="A62" s="46" t="s">
        <v>70</v>
      </c>
      <c r="B62" s="47">
        <v>1</v>
      </c>
      <c r="C62" s="48">
        <v>0</v>
      </c>
      <c r="D62" s="48">
        <v>0</v>
      </c>
      <c r="E62" s="48">
        <v>0</v>
      </c>
      <c r="F62" s="48">
        <v>0</v>
      </c>
      <c r="G62" s="48">
        <v>1</v>
      </c>
      <c r="H62" s="48">
        <v>0</v>
      </c>
      <c r="I62" s="48">
        <v>0</v>
      </c>
      <c r="J62" s="48">
        <v>0</v>
      </c>
      <c r="K62" s="49">
        <f t="shared" si="5"/>
        <v>1</v>
      </c>
      <c r="L62" s="49">
        <f t="shared" si="6"/>
        <v>0</v>
      </c>
      <c r="M62" s="49">
        <f t="shared" si="7"/>
        <v>0</v>
      </c>
      <c r="N62" s="49">
        <f t="shared" si="8"/>
        <v>0</v>
      </c>
      <c r="O62" s="81">
        <f t="shared" si="4"/>
        <v>1</v>
      </c>
      <c r="P62">
        <v>15</v>
      </c>
    </row>
    <row r="63" spans="1:16" s="33" customFormat="1" ht="15" customHeight="1" x14ac:dyDescent="0.2">
      <c r="A63" s="46" t="s">
        <v>71</v>
      </c>
      <c r="B63" s="47">
        <v>1</v>
      </c>
      <c r="C63" s="48">
        <v>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9">
        <f t="shared" si="5"/>
        <v>0</v>
      </c>
      <c r="L63" s="49">
        <f t="shared" si="6"/>
        <v>0</v>
      </c>
      <c r="M63" s="49">
        <f t="shared" si="7"/>
        <v>0</v>
      </c>
      <c r="N63" s="49">
        <f t="shared" si="8"/>
        <v>0</v>
      </c>
      <c r="O63" s="81">
        <f t="shared" si="4"/>
        <v>0</v>
      </c>
      <c r="P63">
        <v>15</v>
      </c>
    </row>
    <row r="64" spans="1:16" s="33" customFormat="1" ht="15" customHeight="1" x14ac:dyDescent="0.2">
      <c r="A64" s="46" t="s">
        <v>72</v>
      </c>
      <c r="B64" s="47">
        <v>1</v>
      </c>
      <c r="C64" s="48">
        <v>0</v>
      </c>
      <c r="D64" s="48">
        <v>0</v>
      </c>
      <c r="E64" s="48">
        <v>0</v>
      </c>
      <c r="F64" s="48">
        <v>0</v>
      </c>
      <c r="G64" s="48">
        <v>1</v>
      </c>
      <c r="H64" s="48">
        <v>0</v>
      </c>
      <c r="I64" s="48">
        <v>0</v>
      </c>
      <c r="J64" s="48">
        <v>0</v>
      </c>
      <c r="K64" s="49">
        <f t="shared" si="5"/>
        <v>1</v>
      </c>
      <c r="L64" s="49">
        <f t="shared" si="6"/>
        <v>0</v>
      </c>
      <c r="M64" s="49">
        <f t="shared" si="7"/>
        <v>0</v>
      </c>
      <c r="N64" s="49">
        <f t="shared" si="8"/>
        <v>0</v>
      </c>
      <c r="O64" s="81">
        <f t="shared" si="4"/>
        <v>1</v>
      </c>
      <c r="P64">
        <v>15</v>
      </c>
    </row>
    <row r="65" spans="1:16" s="33" customFormat="1" ht="15" customHeight="1" x14ac:dyDescent="0.2">
      <c r="A65" s="46" t="s">
        <v>73</v>
      </c>
      <c r="B65" s="47">
        <v>1</v>
      </c>
      <c r="C65" s="48">
        <v>0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8">
        <v>0</v>
      </c>
      <c r="K65" s="49">
        <f t="shared" si="5"/>
        <v>0</v>
      </c>
      <c r="L65" s="49">
        <f t="shared" si="6"/>
        <v>0</v>
      </c>
      <c r="M65" s="49">
        <f t="shared" si="7"/>
        <v>0</v>
      </c>
      <c r="N65" s="49">
        <f t="shared" si="8"/>
        <v>0</v>
      </c>
      <c r="O65" s="81">
        <f t="shared" si="4"/>
        <v>0</v>
      </c>
      <c r="P65">
        <v>15</v>
      </c>
    </row>
    <row r="66" spans="1:16" s="33" customFormat="1" ht="15" customHeight="1" x14ac:dyDescent="0.2">
      <c r="A66" s="46" t="s">
        <v>74</v>
      </c>
      <c r="B66" s="47">
        <v>1</v>
      </c>
      <c r="C66" s="48">
        <v>0</v>
      </c>
      <c r="D66" s="48">
        <v>0</v>
      </c>
      <c r="E66" s="48">
        <v>1</v>
      </c>
      <c r="F66" s="48">
        <v>0</v>
      </c>
      <c r="G66" s="48">
        <v>0</v>
      </c>
      <c r="H66" s="48">
        <v>0</v>
      </c>
      <c r="I66" s="48">
        <v>0</v>
      </c>
      <c r="J66" s="48">
        <v>0</v>
      </c>
      <c r="K66" s="49">
        <f t="shared" si="5"/>
        <v>1</v>
      </c>
      <c r="L66" s="49">
        <f t="shared" si="6"/>
        <v>0</v>
      </c>
      <c r="M66" s="49">
        <f t="shared" si="7"/>
        <v>0</v>
      </c>
      <c r="N66" s="49">
        <f t="shared" si="8"/>
        <v>0</v>
      </c>
      <c r="O66" s="81">
        <f t="shared" si="4"/>
        <v>0</v>
      </c>
      <c r="P66">
        <v>15</v>
      </c>
    </row>
    <row r="67" spans="1:16" s="33" customFormat="1" ht="15" customHeight="1" x14ac:dyDescent="0.2">
      <c r="A67" s="46" t="s">
        <v>75</v>
      </c>
      <c r="B67" s="47">
        <v>1</v>
      </c>
      <c r="C67" s="48">
        <v>0</v>
      </c>
      <c r="D67" s="48">
        <v>0</v>
      </c>
      <c r="E67" s="48">
        <v>0</v>
      </c>
      <c r="F67" s="48">
        <v>0</v>
      </c>
      <c r="G67" s="48">
        <v>2</v>
      </c>
      <c r="H67" s="48">
        <v>3</v>
      </c>
      <c r="I67" s="48">
        <v>13</v>
      </c>
      <c r="J67" s="48">
        <v>0</v>
      </c>
      <c r="K67" s="49">
        <f t="shared" si="5"/>
        <v>2</v>
      </c>
      <c r="L67" s="49">
        <f t="shared" si="6"/>
        <v>0</v>
      </c>
      <c r="M67" s="49">
        <f t="shared" si="7"/>
        <v>3</v>
      </c>
      <c r="N67" s="49">
        <f t="shared" si="8"/>
        <v>0</v>
      </c>
      <c r="O67" s="81">
        <f t="shared" si="4"/>
        <v>5</v>
      </c>
      <c r="P67">
        <v>15</v>
      </c>
    </row>
    <row r="68" spans="1:16" s="33" customFormat="1" ht="15" customHeight="1" x14ac:dyDescent="0.2">
      <c r="A68" s="46" t="s">
        <v>76</v>
      </c>
      <c r="B68" s="47">
        <v>1</v>
      </c>
      <c r="C68" s="48">
        <v>0</v>
      </c>
      <c r="D68" s="48">
        <v>0</v>
      </c>
      <c r="E68" s="48">
        <v>0</v>
      </c>
      <c r="F68" s="48">
        <v>0</v>
      </c>
      <c r="G68" s="48">
        <v>1</v>
      </c>
      <c r="H68" s="48">
        <v>0</v>
      </c>
      <c r="I68" s="48">
        <v>3</v>
      </c>
      <c r="J68" s="48">
        <v>0</v>
      </c>
      <c r="K68" s="49">
        <f t="shared" si="5"/>
        <v>1</v>
      </c>
      <c r="L68" s="49">
        <f t="shared" si="6"/>
        <v>13</v>
      </c>
      <c r="M68" s="49">
        <f t="shared" si="7"/>
        <v>0</v>
      </c>
      <c r="N68" s="49">
        <f t="shared" si="8"/>
        <v>0</v>
      </c>
      <c r="O68" s="81">
        <f t="shared" si="4"/>
        <v>1</v>
      </c>
      <c r="P68">
        <v>15</v>
      </c>
    </row>
    <row r="69" spans="1:16" s="33" customFormat="1" ht="15" customHeight="1" x14ac:dyDescent="0.2">
      <c r="A69" s="46" t="s">
        <v>77</v>
      </c>
      <c r="B69" s="47">
        <v>1</v>
      </c>
      <c r="C69" s="48">
        <v>0</v>
      </c>
      <c r="D69" s="48">
        <v>0</v>
      </c>
      <c r="E69" s="48">
        <v>0</v>
      </c>
      <c r="F69" s="48">
        <v>0</v>
      </c>
      <c r="G69" s="48">
        <v>0</v>
      </c>
      <c r="H69" s="48">
        <v>0</v>
      </c>
      <c r="I69" s="48">
        <v>0</v>
      </c>
      <c r="J69" s="48">
        <v>0</v>
      </c>
      <c r="K69" s="49">
        <f t="shared" si="5"/>
        <v>0</v>
      </c>
      <c r="L69" s="49">
        <f t="shared" si="6"/>
        <v>3</v>
      </c>
      <c r="M69" s="49">
        <f t="shared" si="7"/>
        <v>0</v>
      </c>
      <c r="N69" s="49">
        <f t="shared" si="8"/>
        <v>0</v>
      </c>
      <c r="O69" s="81">
        <f t="shared" si="4"/>
        <v>0</v>
      </c>
      <c r="P69">
        <v>15</v>
      </c>
    </row>
    <row r="70" spans="1:16" s="33" customFormat="1" ht="15" customHeight="1" x14ac:dyDescent="0.2">
      <c r="A70" s="46" t="s">
        <v>78</v>
      </c>
      <c r="B70" s="47">
        <v>1</v>
      </c>
      <c r="C70" s="48">
        <v>0</v>
      </c>
      <c r="D70" s="48">
        <v>0</v>
      </c>
      <c r="E70" s="48">
        <v>1</v>
      </c>
      <c r="F70" s="48">
        <v>0</v>
      </c>
      <c r="G70" s="48">
        <v>0</v>
      </c>
      <c r="H70" s="48">
        <v>0</v>
      </c>
      <c r="I70" s="48">
        <v>0</v>
      </c>
      <c r="J70" s="48">
        <v>0</v>
      </c>
      <c r="K70" s="49">
        <f t="shared" si="5"/>
        <v>1</v>
      </c>
      <c r="L70" s="49">
        <f t="shared" si="6"/>
        <v>0</v>
      </c>
      <c r="M70" s="49">
        <f t="shared" si="7"/>
        <v>0</v>
      </c>
      <c r="N70" s="49">
        <f t="shared" si="8"/>
        <v>0</v>
      </c>
      <c r="O70" s="81">
        <f t="shared" si="4"/>
        <v>0</v>
      </c>
      <c r="P70">
        <v>15</v>
      </c>
    </row>
    <row r="71" spans="1:16" s="33" customFormat="1" ht="15" customHeight="1" x14ac:dyDescent="0.2">
      <c r="A71" s="46" t="s">
        <v>79</v>
      </c>
      <c r="B71" s="47">
        <v>1</v>
      </c>
      <c r="C71" s="48">
        <v>0</v>
      </c>
      <c r="D71" s="48">
        <v>0</v>
      </c>
      <c r="E71" s="48">
        <v>0</v>
      </c>
      <c r="F71" s="48">
        <v>0</v>
      </c>
      <c r="G71" s="48">
        <v>0</v>
      </c>
      <c r="H71" s="48">
        <v>0</v>
      </c>
      <c r="I71" s="48">
        <v>1</v>
      </c>
      <c r="J71" s="48">
        <v>0</v>
      </c>
      <c r="K71" s="49">
        <f t="shared" ref="K71:K102" si="9">SUM(E71,G71)</f>
        <v>0</v>
      </c>
      <c r="L71" s="49">
        <f t="shared" ref="L71:L102" si="10">SUM(C70,I70)</f>
        <v>0</v>
      </c>
      <c r="M71" s="49">
        <f t="shared" ref="M71:M102" si="11">SUM(F71,H71)</f>
        <v>0</v>
      </c>
      <c r="N71" s="49">
        <f t="shared" ref="N71:N102" si="12">SUM(D70,J70)</f>
        <v>0</v>
      </c>
      <c r="O71" s="81">
        <f t="shared" si="4"/>
        <v>0</v>
      </c>
      <c r="P71">
        <v>15</v>
      </c>
    </row>
    <row r="72" spans="1:16" s="33" customFormat="1" ht="15" customHeight="1" x14ac:dyDescent="0.2">
      <c r="A72" s="46" t="s">
        <v>80</v>
      </c>
      <c r="B72" s="47">
        <v>1</v>
      </c>
      <c r="C72" s="48">
        <v>1</v>
      </c>
      <c r="D72" s="48">
        <v>0</v>
      </c>
      <c r="E72" s="48">
        <v>0</v>
      </c>
      <c r="F72" s="48">
        <v>0</v>
      </c>
      <c r="G72" s="48">
        <v>1</v>
      </c>
      <c r="H72" s="48">
        <v>0</v>
      </c>
      <c r="I72" s="48">
        <v>0</v>
      </c>
      <c r="J72" s="48">
        <v>0</v>
      </c>
      <c r="K72" s="49">
        <f t="shared" si="9"/>
        <v>1</v>
      </c>
      <c r="L72" s="49">
        <f t="shared" si="10"/>
        <v>1</v>
      </c>
      <c r="M72" s="49">
        <f t="shared" si="11"/>
        <v>0</v>
      </c>
      <c r="N72" s="49">
        <f t="shared" si="12"/>
        <v>0</v>
      </c>
      <c r="O72" s="81">
        <f t="shared" ref="O72:O135" si="13">SUM(F72:H72)</f>
        <v>1</v>
      </c>
      <c r="P72">
        <v>15</v>
      </c>
    </row>
    <row r="73" spans="1:16" s="33" customFormat="1" ht="15" customHeight="1" x14ac:dyDescent="0.2">
      <c r="A73" s="46" t="s">
        <v>81</v>
      </c>
      <c r="B73" s="47">
        <v>1</v>
      </c>
      <c r="C73" s="48">
        <v>0</v>
      </c>
      <c r="D73" s="48">
        <v>0</v>
      </c>
      <c r="E73" s="48">
        <v>0</v>
      </c>
      <c r="F73" s="48">
        <v>0</v>
      </c>
      <c r="G73" s="48">
        <v>0</v>
      </c>
      <c r="H73" s="48">
        <v>0</v>
      </c>
      <c r="I73" s="48">
        <v>0</v>
      </c>
      <c r="J73" s="48">
        <v>0</v>
      </c>
      <c r="K73" s="49">
        <f t="shared" si="9"/>
        <v>0</v>
      </c>
      <c r="L73" s="49">
        <f t="shared" si="10"/>
        <v>1</v>
      </c>
      <c r="M73" s="49">
        <f t="shared" si="11"/>
        <v>0</v>
      </c>
      <c r="N73" s="49">
        <f t="shared" si="12"/>
        <v>0</v>
      </c>
      <c r="O73" s="81">
        <f t="shared" si="13"/>
        <v>0</v>
      </c>
      <c r="P73">
        <v>15</v>
      </c>
    </row>
    <row r="74" spans="1:16" s="33" customFormat="1" ht="15" customHeight="1" x14ac:dyDescent="0.2">
      <c r="A74" s="46" t="s">
        <v>82</v>
      </c>
      <c r="B74" s="47">
        <v>1</v>
      </c>
      <c r="C74" s="48">
        <v>0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8">
        <v>1</v>
      </c>
      <c r="K74" s="49">
        <f t="shared" si="9"/>
        <v>0</v>
      </c>
      <c r="L74" s="49">
        <f t="shared" si="10"/>
        <v>0</v>
      </c>
      <c r="M74" s="49">
        <f t="shared" si="11"/>
        <v>0</v>
      </c>
      <c r="N74" s="49">
        <f t="shared" si="12"/>
        <v>0</v>
      </c>
      <c r="O74" s="81">
        <f t="shared" si="13"/>
        <v>0</v>
      </c>
      <c r="P74">
        <v>15</v>
      </c>
    </row>
    <row r="75" spans="1:16" s="33" customFormat="1" ht="15" customHeight="1" x14ac:dyDescent="0.2">
      <c r="A75" s="46" t="s">
        <v>83</v>
      </c>
      <c r="B75" s="47">
        <v>1</v>
      </c>
      <c r="C75" s="48">
        <v>0</v>
      </c>
      <c r="D75" s="48">
        <v>0</v>
      </c>
      <c r="E75" s="48">
        <v>0</v>
      </c>
      <c r="F75" s="48">
        <v>0</v>
      </c>
      <c r="G75" s="48">
        <v>0</v>
      </c>
      <c r="H75" s="48">
        <v>0</v>
      </c>
      <c r="I75" s="48">
        <v>0</v>
      </c>
      <c r="J75" s="48">
        <v>0</v>
      </c>
      <c r="K75" s="49">
        <f t="shared" si="9"/>
        <v>0</v>
      </c>
      <c r="L75" s="49">
        <f t="shared" si="10"/>
        <v>0</v>
      </c>
      <c r="M75" s="49">
        <f t="shared" si="11"/>
        <v>0</v>
      </c>
      <c r="N75" s="49">
        <f t="shared" si="12"/>
        <v>1</v>
      </c>
      <c r="O75" s="81">
        <f t="shared" si="13"/>
        <v>0</v>
      </c>
      <c r="P75">
        <v>15</v>
      </c>
    </row>
    <row r="76" spans="1:16" s="33" customFormat="1" ht="15" customHeight="1" x14ac:dyDescent="0.2">
      <c r="A76" s="46" t="s">
        <v>84</v>
      </c>
      <c r="B76" s="47">
        <v>1</v>
      </c>
      <c r="C76" s="48">
        <v>2</v>
      </c>
      <c r="D76" s="48">
        <v>0</v>
      </c>
      <c r="E76" s="48">
        <v>0</v>
      </c>
      <c r="F76" s="48">
        <v>1</v>
      </c>
      <c r="G76" s="48">
        <v>1</v>
      </c>
      <c r="H76" s="48">
        <v>0</v>
      </c>
      <c r="I76" s="48">
        <v>0</v>
      </c>
      <c r="J76" s="48">
        <v>0</v>
      </c>
      <c r="K76" s="49">
        <f t="shared" si="9"/>
        <v>1</v>
      </c>
      <c r="L76" s="49">
        <f t="shared" si="10"/>
        <v>0</v>
      </c>
      <c r="M76" s="49">
        <f t="shared" si="11"/>
        <v>1</v>
      </c>
      <c r="N76" s="49">
        <f t="shared" si="12"/>
        <v>0</v>
      </c>
      <c r="O76" s="81">
        <f t="shared" si="13"/>
        <v>2</v>
      </c>
      <c r="P76">
        <v>15</v>
      </c>
    </row>
    <row r="77" spans="1:16" s="33" customFormat="1" ht="15" customHeight="1" x14ac:dyDescent="0.2">
      <c r="A77" s="46" t="s">
        <v>85</v>
      </c>
      <c r="B77" s="47">
        <v>1</v>
      </c>
      <c r="C77" s="48">
        <v>0</v>
      </c>
      <c r="D77" s="48">
        <v>0</v>
      </c>
      <c r="E77" s="48">
        <v>2</v>
      </c>
      <c r="F77" s="48">
        <v>1</v>
      </c>
      <c r="G77" s="48">
        <v>0</v>
      </c>
      <c r="H77" s="48">
        <v>1</v>
      </c>
      <c r="I77" s="48">
        <v>0</v>
      </c>
      <c r="J77" s="48">
        <v>0</v>
      </c>
      <c r="K77" s="49">
        <f t="shared" si="9"/>
        <v>2</v>
      </c>
      <c r="L77" s="49">
        <f t="shared" si="10"/>
        <v>2</v>
      </c>
      <c r="M77" s="49">
        <f t="shared" si="11"/>
        <v>2</v>
      </c>
      <c r="N77" s="49">
        <f t="shared" si="12"/>
        <v>0</v>
      </c>
      <c r="O77" s="81">
        <f t="shared" si="13"/>
        <v>2</v>
      </c>
      <c r="P77">
        <v>15</v>
      </c>
    </row>
    <row r="78" spans="1:16" s="54" customFormat="1" ht="15" customHeight="1" thickBot="1" x14ac:dyDescent="0.25">
      <c r="A78" s="50" t="s">
        <v>86</v>
      </c>
      <c r="B78" s="51">
        <v>1</v>
      </c>
      <c r="C78" s="52">
        <v>0</v>
      </c>
      <c r="D78" s="52">
        <v>0</v>
      </c>
      <c r="E78" s="52">
        <v>2</v>
      </c>
      <c r="F78" s="52">
        <v>0</v>
      </c>
      <c r="G78" s="52">
        <v>0</v>
      </c>
      <c r="H78" s="52">
        <v>1</v>
      </c>
      <c r="I78" s="52">
        <v>0</v>
      </c>
      <c r="J78" s="52">
        <v>0</v>
      </c>
      <c r="K78" s="53">
        <f t="shared" si="9"/>
        <v>2</v>
      </c>
      <c r="L78" s="53">
        <f t="shared" si="10"/>
        <v>0</v>
      </c>
      <c r="M78" s="53">
        <f t="shared" si="11"/>
        <v>1</v>
      </c>
      <c r="N78" s="53">
        <f t="shared" si="12"/>
        <v>0</v>
      </c>
      <c r="O78" s="81">
        <f t="shared" si="13"/>
        <v>1</v>
      </c>
      <c r="P78">
        <v>15</v>
      </c>
    </row>
    <row r="79" spans="1:16" s="33" customFormat="1" ht="15" customHeight="1" x14ac:dyDescent="0.2">
      <c r="A79" s="46" t="s">
        <v>87</v>
      </c>
      <c r="B79" s="47">
        <v>1</v>
      </c>
      <c r="C79" s="82">
        <v>0</v>
      </c>
      <c r="D79" s="82">
        <v>0</v>
      </c>
      <c r="E79" s="82">
        <v>1</v>
      </c>
      <c r="F79" s="82">
        <v>0</v>
      </c>
      <c r="G79" s="82">
        <v>0</v>
      </c>
      <c r="H79" s="82">
        <v>0</v>
      </c>
      <c r="I79" s="82">
        <v>0</v>
      </c>
      <c r="J79" s="82">
        <v>0</v>
      </c>
      <c r="K79" s="83">
        <f t="shared" si="9"/>
        <v>1</v>
      </c>
      <c r="L79" s="83">
        <f t="shared" si="10"/>
        <v>0</v>
      </c>
      <c r="M79" s="83">
        <f t="shared" si="11"/>
        <v>0</v>
      </c>
      <c r="N79" s="83">
        <f t="shared" si="12"/>
        <v>0</v>
      </c>
      <c r="O79" s="81">
        <f t="shared" si="13"/>
        <v>0</v>
      </c>
      <c r="P79">
        <v>15</v>
      </c>
    </row>
    <row r="80" spans="1:16" s="33" customFormat="1" ht="15" customHeight="1" x14ac:dyDescent="0.2">
      <c r="A80" s="46" t="s">
        <v>88</v>
      </c>
      <c r="B80" s="47">
        <v>1</v>
      </c>
      <c r="C80" s="48">
        <v>0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8">
        <v>0</v>
      </c>
      <c r="K80" s="49">
        <f t="shared" si="9"/>
        <v>0</v>
      </c>
      <c r="L80" s="49">
        <f t="shared" si="10"/>
        <v>0</v>
      </c>
      <c r="M80" s="49">
        <f t="shared" si="11"/>
        <v>0</v>
      </c>
      <c r="N80" s="49">
        <f t="shared" si="12"/>
        <v>0</v>
      </c>
      <c r="O80" s="81">
        <f t="shared" si="13"/>
        <v>0</v>
      </c>
      <c r="P80">
        <v>15</v>
      </c>
    </row>
    <row r="81" spans="1:16" s="33" customFormat="1" ht="15" customHeight="1" x14ac:dyDescent="0.2">
      <c r="A81" s="46" t="s">
        <v>89</v>
      </c>
      <c r="B81" s="47">
        <v>1</v>
      </c>
      <c r="C81" s="48">
        <v>0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8">
        <v>0</v>
      </c>
      <c r="K81" s="49">
        <f t="shared" si="9"/>
        <v>0</v>
      </c>
      <c r="L81" s="49">
        <f t="shared" si="10"/>
        <v>0</v>
      </c>
      <c r="M81" s="49">
        <f t="shared" si="11"/>
        <v>0</v>
      </c>
      <c r="N81" s="49">
        <f t="shared" si="12"/>
        <v>0</v>
      </c>
      <c r="O81" s="81">
        <f t="shared" si="13"/>
        <v>0</v>
      </c>
      <c r="P81">
        <v>15</v>
      </c>
    </row>
    <row r="82" spans="1:16" s="33" customFormat="1" ht="15" customHeight="1" x14ac:dyDescent="0.2">
      <c r="A82" s="46" t="s">
        <v>90</v>
      </c>
      <c r="B82" s="47">
        <v>1</v>
      </c>
      <c r="C82" s="48">
        <v>0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8">
        <v>0</v>
      </c>
      <c r="K82" s="49">
        <f t="shared" si="9"/>
        <v>0</v>
      </c>
      <c r="L82" s="49">
        <f t="shared" si="10"/>
        <v>0</v>
      </c>
      <c r="M82" s="49">
        <f t="shared" si="11"/>
        <v>0</v>
      </c>
      <c r="N82" s="49">
        <f t="shared" si="12"/>
        <v>0</v>
      </c>
      <c r="O82" s="81">
        <f t="shared" si="13"/>
        <v>0</v>
      </c>
      <c r="P82">
        <v>15</v>
      </c>
    </row>
    <row r="83" spans="1:16" s="33" customFormat="1" ht="15" customHeight="1" x14ac:dyDescent="0.2">
      <c r="A83" s="46" t="s">
        <v>91</v>
      </c>
      <c r="B83" s="47">
        <v>1</v>
      </c>
      <c r="C83" s="48">
        <v>0</v>
      </c>
      <c r="D83" s="48">
        <v>0</v>
      </c>
      <c r="E83" s="48">
        <v>0</v>
      </c>
      <c r="F83" s="48">
        <v>0</v>
      </c>
      <c r="G83" s="48">
        <v>1</v>
      </c>
      <c r="H83" s="48">
        <v>0</v>
      </c>
      <c r="I83" s="48">
        <v>0</v>
      </c>
      <c r="J83" s="48">
        <v>0</v>
      </c>
      <c r="K83" s="49">
        <f t="shared" si="9"/>
        <v>1</v>
      </c>
      <c r="L83" s="49">
        <f t="shared" si="10"/>
        <v>0</v>
      </c>
      <c r="M83" s="49">
        <f t="shared" si="11"/>
        <v>0</v>
      </c>
      <c r="N83" s="49">
        <f t="shared" si="12"/>
        <v>0</v>
      </c>
      <c r="O83" s="81">
        <f t="shared" si="13"/>
        <v>1</v>
      </c>
      <c r="P83">
        <v>15</v>
      </c>
    </row>
    <row r="84" spans="1:16" s="33" customFormat="1" ht="15" customHeight="1" x14ac:dyDescent="0.2">
      <c r="A84" s="46" t="s">
        <v>92</v>
      </c>
      <c r="B84" s="47">
        <v>1</v>
      </c>
      <c r="C84" s="48">
        <v>0</v>
      </c>
      <c r="D84" s="48">
        <v>0</v>
      </c>
      <c r="E84" s="48">
        <v>1</v>
      </c>
      <c r="F84" s="48">
        <v>0</v>
      </c>
      <c r="G84" s="48">
        <v>0</v>
      </c>
      <c r="H84" s="48">
        <v>0</v>
      </c>
      <c r="I84" s="48">
        <v>0</v>
      </c>
      <c r="J84" s="48">
        <v>0</v>
      </c>
      <c r="K84" s="49">
        <f t="shared" si="9"/>
        <v>1</v>
      </c>
      <c r="L84" s="49">
        <f t="shared" si="10"/>
        <v>0</v>
      </c>
      <c r="M84" s="49">
        <f t="shared" si="11"/>
        <v>0</v>
      </c>
      <c r="N84" s="49">
        <f t="shared" si="12"/>
        <v>0</v>
      </c>
      <c r="O84" s="81">
        <f t="shared" si="13"/>
        <v>0</v>
      </c>
      <c r="P84">
        <v>15</v>
      </c>
    </row>
    <row r="85" spans="1:16" s="33" customFormat="1" ht="15" customHeight="1" x14ac:dyDescent="0.2">
      <c r="A85" s="46" t="s">
        <v>93</v>
      </c>
      <c r="B85" s="47">
        <v>1</v>
      </c>
      <c r="C85" s="48">
        <v>0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8">
        <v>0</v>
      </c>
      <c r="J85" s="48">
        <v>0</v>
      </c>
      <c r="K85" s="49">
        <f t="shared" si="9"/>
        <v>0</v>
      </c>
      <c r="L85" s="49">
        <f t="shared" si="10"/>
        <v>0</v>
      </c>
      <c r="M85" s="49">
        <f t="shared" si="11"/>
        <v>0</v>
      </c>
      <c r="N85" s="49">
        <f t="shared" si="12"/>
        <v>0</v>
      </c>
      <c r="O85" s="81">
        <f t="shared" si="13"/>
        <v>0</v>
      </c>
      <c r="P85">
        <v>15</v>
      </c>
    </row>
    <row r="86" spans="1:16" s="33" customFormat="1" ht="15" customHeight="1" x14ac:dyDescent="0.2">
      <c r="A86" s="46" t="s">
        <v>94</v>
      </c>
      <c r="B86" s="47">
        <v>1</v>
      </c>
      <c r="C86" s="48">
        <v>0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8">
        <v>0</v>
      </c>
      <c r="J86" s="48">
        <v>0</v>
      </c>
      <c r="K86" s="49">
        <f t="shared" si="9"/>
        <v>0</v>
      </c>
      <c r="L86" s="49">
        <f t="shared" si="10"/>
        <v>0</v>
      </c>
      <c r="M86" s="49">
        <f t="shared" si="11"/>
        <v>0</v>
      </c>
      <c r="N86" s="49">
        <f t="shared" si="12"/>
        <v>0</v>
      </c>
      <c r="O86" s="81">
        <f t="shared" si="13"/>
        <v>0</v>
      </c>
      <c r="P86">
        <v>15</v>
      </c>
    </row>
    <row r="87" spans="1:16" ht="15" customHeight="1" x14ac:dyDescent="0.2">
      <c r="A87" s="77" t="s">
        <v>95</v>
      </c>
      <c r="B87" s="78">
        <v>1</v>
      </c>
      <c r="C87" s="79">
        <v>0</v>
      </c>
      <c r="D87" s="79">
        <v>0</v>
      </c>
      <c r="E87" s="79">
        <v>0</v>
      </c>
      <c r="F87" s="79">
        <v>0</v>
      </c>
      <c r="G87" s="79">
        <v>0</v>
      </c>
      <c r="H87" s="79">
        <v>0</v>
      </c>
      <c r="I87" s="79">
        <v>0</v>
      </c>
      <c r="J87" s="79">
        <v>0</v>
      </c>
      <c r="K87" s="80">
        <f t="shared" si="9"/>
        <v>0</v>
      </c>
      <c r="L87" s="80">
        <f t="shared" si="10"/>
        <v>0</v>
      </c>
      <c r="M87" s="80">
        <f t="shared" si="11"/>
        <v>0</v>
      </c>
      <c r="N87" s="80">
        <f t="shared" si="12"/>
        <v>0</v>
      </c>
      <c r="O87" s="42">
        <f t="shared" si="13"/>
        <v>0</v>
      </c>
      <c r="P87">
        <v>15</v>
      </c>
    </row>
    <row r="88" spans="1:16" ht="15" customHeight="1" x14ac:dyDescent="0.2">
      <c r="A88" s="77" t="s">
        <v>96</v>
      </c>
      <c r="B88" s="78">
        <v>1</v>
      </c>
      <c r="C88" s="79">
        <v>0</v>
      </c>
      <c r="D88" s="79">
        <v>0</v>
      </c>
      <c r="E88" s="79">
        <v>0</v>
      </c>
      <c r="F88" s="79">
        <v>0</v>
      </c>
      <c r="G88" s="79">
        <v>0</v>
      </c>
      <c r="H88" s="79">
        <v>0</v>
      </c>
      <c r="I88" s="79">
        <v>0</v>
      </c>
      <c r="J88" s="79">
        <v>0</v>
      </c>
      <c r="K88" s="80">
        <f t="shared" si="9"/>
        <v>0</v>
      </c>
      <c r="L88" s="80">
        <f t="shared" si="10"/>
        <v>0</v>
      </c>
      <c r="M88" s="80">
        <f t="shared" si="11"/>
        <v>0</v>
      </c>
      <c r="N88" s="80">
        <f t="shared" si="12"/>
        <v>0</v>
      </c>
      <c r="O88" s="42">
        <f t="shared" si="13"/>
        <v>0</v>
      </c>
      <c r="P88">
        <v>15</v>
      </c>
    </row>
    <row r="89" spans="1:16" ht="15" customHeight="1" x14ac:dyDescent="0.2">
      <c r="A89" s="77" t="s">
        <v>97</v>
      </c>
      <c r="B89" s="78">
        <v>1</v>
      </c>
      <c r="C89" s="79">
        <v>0</v>
      </c>
      <c r="D89" s="79">
        <v>0</v>
      </c>
      <c r="E89" s="79">
        <v>0</v>
      </c>
      <c r="F89" s="79">
        <v>0</v>
      </c>
      <c r="G89" s="79">
        <v>0</v>
      </c>
      <c r="H89" s="79">
        <v>0</v>
      </c>
      <c r="I89" s="79">
        <v>0</v>
      </c>
      <c r="J89" s="79">
        <v>0</v>
      </c>
      <c r="K89" s="80">
        <f t="shared" si="9"/>
        <v>0</v>
      </c>
      <c r="L89" s="80">
        <f t="shared" si="10"/>
        <v>0</v>
      </c>
      <c r="M89" s="80">
        <f t="shared" si="11"/>
        <v>0</v>
      </c>
      <c r="N89" s="80">
        <f t="shared" si="12"/>
        <v>0</v>
      </c>
      <c r="O89" s="42">
        <f t="shared" si="13"/>
        <v>0</v>
      </c>
      <c r="P89">
        <v>15</v>
      </c>
    </row>
    <row r="90" spans="1:16" ht="15" customHeight="1" x14ac:dyDescent="0.2">
      <c r="A90" s="77" t="s">
        <v>98</v>
      </c>
      <c r="B90" s="78">
        <v>1</v>
      </c>
      <c r="C90" s="79">
        <v>0</v>
      </c>
      <c r="D90" s="79">
        <v>0</v>
      </c>
      <c r="E90" s="79">
        <v>0</v>
      </c>
      <c r="F90" s="79">
        <v>0</v>
      </c>
      <c r="G90" s="79">
        <v>0</v>
      </c>
      <c r="H90" s="79">
        <v>0</v>
      </c>
      <c r="I90" s="79">
        <v>0</v>
      </c>
      <c r="J90" s="79">
        <v>0</v>
      </c>
      <c r="K90" s="80">
        <f t="shared" si="9"/>
        <v>0</v>
      </c>
      <c r="L90" s="80">
        <f t="shared" si="10"/>
        <v>0</v>
      </c>
      <c r="M90" s="80">
        <f t="shared" si="11"/>
        <v>0</v>
      </c>
      <c r="N90" s="80">
        <f t="shared" si="12"/>
        <v>0</v>
      </c>
      <c r="O90" s="42">
        <f t="shared" si="13"/>
        <v>0</v>
      </c>
      <c r="P90">
        <v>15</v>
      </c>
    </row>
    <row r="91" spans="1:16" ht="15" customHeight="1" x14ac:dyDescent="0.2">
      <c r="A91" s="77" t="s">
        <v>99</v>
      </c>
      <c r="B91" s="78">
        <v>1</v>
      </c>
      <c r="C91" s="79">
        <v>0</v>
      </c>
      <c r="D91" s="79">
        <v>0</v>
      </c>
      <c r="E91" s="79">
        <v>0</v>
      </c>
      <c r="F91" s="79">
        <v>0</v>
      </c>
      <c r="G91" s="79">
        <v>0</v>
      </c>
      <c r="H91" s="79">
        <v>0</v>
      </c>
      <c r="I91" s="79">
        <v>0</v>
      </c>
      <c r="J91" s="79">
        <v>0</v>
      </c>
      <c r="K91" s="80">
        <f t="shared" si="9"/>
        <v>0</v>
      </c>
      <c r="L91" s="80">
        <f t="shared" si="10"/>
        <v>0</v>
      </c>
      <c r="M91" s="80">
        <f t="shared" si="11"/>
        <v>0</v>
      </c>
      <c r="N91" s="80">
        <f t="shared" si="12"/>
        <v>0</v>
      </c>
      <c r="O91" s="42">
        <f t="shared" si="13"/>
        <v>0</v>
      </c>
      <c r="P91">
        <v>15</v>
      </c>
    </row>
    <row r="92" spans="1:16" ht="15" customHeight="1" x14ac:dyDescent="0.2">
      <c r="A92" s="77" t="s">
        <v>100</v>
      </c>
      <c r="B92" s="78">
        <v>1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0</v>
      </c>
      <c r="K92" s="80">
        <f t="shared" si="9"/>
        <v>0</v>
      </c>
      <c r="L92" s="80">
        <f t="shared" si="10"/>
        <v>0</v>
      </c>
      <c r="M92" s="80">
        <f t="shared" si="11"/>
        <v>0</v>
      </c>
      <c r="N92" s="80">
        <f t="shared" si="12"/>
        <v>0</v>
      </c>
      <c r="O92" s="42">
        <f t="shared" si="13"/>
        <v>0</v>
      </c>
      <c r="P92">
        <v>15</v>
      </c>
    </row>
    <row r="93" spans="1:16" ht="15" customHeight="1" x14ac:dyDescent="0.2">
      <c r="A93" s="77" t="s">
        <v>101</v>
      </c>
      <c r="B93" s="78">
        <v>1</v>
      </c>
      <c r="C93" s="79">
        <v>1</v>
      </c>
      <c r="D93" s="79">
        <v>0</v>
      </c>
      <c r="E93" s="79">
        <v>0</v>
      </c>
      <c r="F93" s="79">
        <v>0</v>
      </c>
      <c r="G93" s="79">
        <v>0</v>
      </c>
      <c r="H93" s="79">
        <v>0</v>
      </c>
      <c r="I93" s="79">
        <v>0</v>
      </c>
      <c r="J93" s="79">
        <v>0</v>
      </c>
      <c r="K93" s="80">
        <f t="shared" si="9"/>
        <v>0</v>
      </c>
      <c r="L93" s="80">
        <f t="shared" si="10"/>
        <v>0</v>
      </c>
      <c r="M93" s="80">
        <f t="shared" si="11"/>
        <v>0</v>
      </c>
      <c r="N93" s="80">
        <f t="shared" si="12"/>
        <v>0</v>
      </c>
      <c r="O93" s="42">
        <f t="shared" si="13"/>
        <v>0</v>
      </c>
      <c r="P93">
        <v>15</v>
      </c>
    </row>
    <row r="94" spans="1:16" ht="15" customHeight="1" x14ac:dyDescent="0.2">
      <c r="A94" s="77" t="s">
        <v>102</v>
      </c>
      <c r="B94" s="78">
        <v>1</v>
      </c>
      <c r="C94" s="79">
        <v>0</v>
      </c>
      <c r="D94" s="79">
        <v>0</v>
      </c>
      <c r="E94" s="79">
        <v>0</v>
      </c>
      <c r="F94" s="79">
        <v>0</v>
      </c>
      <c r="G94" s="79">
        <v>1</v>
      </c>
      <c r="H94" s="79">
        <v>0</v>
      </c>
      <c r="I94" s="79">
        <v>0</v>
      </c>
      <c r="J94" s="79">
        <v>0</v>
      </c>
      <c r="K94" s="80">
        <f t="shared" si="9"/>
        <v>1</v>
      </c>
      <c r="L94" s="80">
        <f t="shared" si="10"/>
        <v>1</v>
      </c>
      <c r="M94" s="80">
        <f t="shared" si="11"/>
        <v>0</v>
      </c>
      <c r="N94" s="80">
        <f t="shared" si="12"/>
        <v>0</v>
      </c>
      <c r="O94" s="42">
        <f t="shared" si="13"/>
        <v>1</v>
      </c>
      <c r="P94">
        <v>15</v>
      </c>
    </row>
    <row r="95" spans="1:16" ht="15" customHeight="1" x14ac:dyDescent="0.2">
      <c r="A95" s="77" t="s">
        <v>103</v>
      </c>
      <c r="B95" s="78">
        <v>1</v>
      </c>
      <c r="C95" s="79">
        <v>0</v>
      </c>
      <c r="D95" s="79">
        <v>1</v>
      </c>
      <c r="E95" s="79">
        <v>0</v>
      </c>
      <c r="F95" s="79">
        <v>0</v>
      </c>
      <c r="G95" s="79">
        <v>0</v>
      </c>
      <c r="H95" s="79">
        <v>0</v>
      </c>
      <c r="I95" s="79">
        <v>0</v>
      </c>
      <c r="J95" s="79">
        <v>0</v>
      </c>
      <c r="K95" s="80">
        <f t="shared" si="9"/>
        <v>0</v>
      </c>
      <c r="L95" s="80">
        <f t="shared" si="10"/>
        <v>0</v>
      </c>
      <c r="M95" s="80">
        <f t="shared" si="11"/>
        <v>0</v>
      </c>
      <c r="N95" s="80">
        <f t="shared" si="12"/>
        <v>0</v>
      </c>
      <c r="O95" s="42">
        <f t="shared" si="13"/>
        <v>0</v>
      </c>
      <c r="P95">
        <v>15</v>
      </c>
    </row>
    <row r="96" spans="1:16" ht="15" customHeight="1" x14ac:dyDescent="0.2">
      <c r="A96" s="77" t="s">
        <v>104</v>
      </c>
      <c r="B96" s="78">
        <v>1</v>
      </c>
      <c r="C96" s="79">
        <v>0</v>
      </c>
      <c r="D96" s="79">
        <v>0</v>
      </c>
      <c r="E96" s="79">
        <v>0</v>
      </c>
      <c r="F96" s="79">
        <v>0</v>
      </c>
      <c r="G96" s="79">
        <v>0</v>
      </c>
      <c r="H96" s="79">
        <v>0</v>
      </c>
      <c r="I96" s="79">
        <v>0</v>
      </c>
      <c r="J96" s="79">
        <v>0</v>
      </c>
      <c r="K96" s="80">
        <f t="shared" si="9"/>
        <v>0</v>
      </c>
      <c r="L96" s="80">
        <f t="shared" si="10"/>
        <v>0</v>
      </c>
      <c r="M96" s="80">
        <f t="shared" si="11"/>
        <v>0</v>
      </c>
      <c r="N96" s="80">
        <f t="shared" si="12"/>
        <v>1</v>
      </c>
      <c r="O96" s="42">
        <f t="shared" si="13"/>
        <v>0</v>
      </c>
      <c r="P96">
        <v>15</v>
      </c>
    </row>
    <row r="97" spans="1:16" ht="15" customHeight="1" x14ac:dyDescent="0.2">
      <c r="A97" s="77" t="s">
        <v>105</v>
      </c>
      <c r="B97" s="78">
        <v>1</v>
      </c>
      <c r="C97" s="79">
        <v>0</v>
      </c>
      <c r="D97" s="79">
        <v>0</v>
      </c>
      <c r="E97" s="79">
        <v>0</v>
      </c>
      <c r="F97" s="79">
        <v>0</v>
      </c>
      <c r="G97" s="79">
        <v>0</v>
      </c>
      <c r="H97" s="79">
        <v>0</v>
      </c>
      <c r="I97" s="79">
        <v>0</v>
      </c>
      <c r="J97" s="79">
        <v>0</v>
      </c>
      <c r="K97" s="80">
        <f t="shared" si="9"/>
        <v>0</v>
      </c>
      <c r="L97" s="80">
        <f t="shared" si="10"/>
        <v>0</v>
      </c>
      <c r="M97" s="80">
        <f t="shared" si="11"/>
        <v>0</v>
      </c>
      <c r="N97" s="80">
        <f t="shared" si="12"/>
        <v>0</v>
      </c>
      <c r="O97" s="42">
        <f t="shared" si="13"/>
        <v>0</v>
      </c>
      <c r="P97">
        <v>15</v>
      </c>
    </row>
    <row r="98" spans="1:16" ht="15" customHeight="1" x14ac:dyDescent="0.2">
      <c r="A98" s="77" t="s">
        <v>106</v>
      </c>
      <c r="B98" s="78">
        <v>1</v>
      </c>
      <c r="C98" s="79">
        <v>1</v>
      </c>
      <c r="D98" s="79">
        <v>0</v>
      </c>
      <c r="E98" s="79">
        <v>0</v>
      </c>
      <c r="F98" s="79">
        <v>0</v>
      </c>
      <c r="G98" s="79">
        <v>0</v>
      </c>
      <c r="H98" s="79">
        <v>0</v>
      </c>
      <c r="I98" s="79">
        <v>0</v>
      </c>
      <c r="J98" s="79">
        <v>0</v>
      </c>
      <c r="K98" s="80">
        <f t="shared" si="9"/>
        <v>0</v>
      </c>
      <c r="L98" s="80">
        <f t="shared" si="10"/>
        <v>0</v>
      </c>
      <c r="M98" s="80">
        <f t="shared" si="11"/>
        <v>0</v>
      </c>
      <c r="N98" s="80">
        <f t="shared" si="12"/>
        <v>0</v>
      </c>
      <c r="O98" s="42">
        <f t="shared" si="13"/>
        <v>0</v>
      </c>
      <c r="P98">
        <v>15</v>
      </c>
    </row>
    <row r="99" spans="1:16" ht="15" customHeight="1" x14ac:dyDescent="0.2">
      <c r="A99" s="77" t="s">
        <v>107</v>
      </c>
      <c r="B99" s="78">
        <v>1</v>
      </c>
      <c r="C99" s="79">
        <v>0</v>
      </c>
      <c r="D99" s="79">
        <v>0</v>
      </c>
      <c r="E99" s="79">
        <v>0</v>
      </c>
      <c r="F99" s="79">
        <v>0</v>
      </c>
      <c r="G99" s="79">
        <v>0</v>
      </c>
      <c r="H99" s="79">
        <v>0</v>
      </c>
      <c r="I99" s="79">
        <v>0</v>
      </c>
      <c r="J99" s="79">
        <v>0</v>
      </c>
      <c r="K99" s="80">
        <f t="shared" si="9"/>
        <v>0</v>
      </c>
      <c r="L99" s="80">
        <f t="shared" si="10"/>
        <v>1</v>
      </c>
      <c r="M99" s="80">
        <f t="shared" si="11"/>
        <v>0</v>
      </c>
      <c r="N99" s="80">
        <f t="shared" si="12"/>
        <v>0</v>
      </c>
      <c r="O99" s="42">
        <f t="shared" si="13"/>
        <v>0</v>
      </c>
      <c r="P99">
        <v>15</v>
      </c>
    </row>
    <row r="100" spans="1:16" ht="15" customHeight="1" x14ac:dyDescent="0.2">
      <c r="A100" s="77" t="s">
        <v>108</v>
      </c>
      <c r="B100" s="78">
        <v>1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80">
        <f t="shared" si="9"/>
        <v>0</v>
      </c>
      <c r="L100" s="80">
        <f t="shared" si="10"/>
        <v>0</v>
      </c>
      <c r="M100" s="80">
        <f t="shared" si="11"/>
        <v>0</v>
      </c>
      <c r="N100" s="80">
        <f t="shared" si="12"/>
        <v>0</v>
      </c>
      <c r="O100" s="42">
        <f t="shared" si="13"/>
        <v>0</v>
      </c>
      <c r="P100">
        <v>15</v>
      </c>
    </row>
    <row r="101" spans="1:16" ht="15" customHeight="1" x14ac:dyDescent="0.2">
      <c r="A101" s="77" t="s">
        <v>109</v>
      </c>
      <c r="B101" s="78">
        <v>1</v>
      </c>
      <c r="C101" s="79">
        <v>0</v>
      </c>
      <c r="D101" s="79">
        <v>0</v>
      </c>
      <c r="E101" s="79">
        <v>0</v>
      </c>
      <c r="F101" s="79">
        <v>0</v>
      </c>
      <c r="G101" s="79">
        <v>0</v>
      </c>
      <c r="H101" s="79">
        <v>0</v>
      </c>
      <c r="I101" s="79">
        <v>0</v>
      </c>
      <c r="J101" s="79">
        <v>0</v>
      </c>
      <c r="K101" s="80">
        <f t="shared" si="9"/>
        <v>0</v>
      </c>
      <c r="L101" s="80">
        <f t="shared" si="10"/>
        <v>0</v>
      </c>
      <c r="M101" s="80">
        <f t="shared" si="11"/>
        <v>0</v>
      </c>
      <c r="N101" s="80">
        <f t="shared" si="12"/>
        <v>0</v>
      </c>
      <c r="O101" s="42">
        <f t="shared" si="13"/>
        <v>0</v>
      </c>
      <c r="P101">
        <v>15</v>
      </c>
    </row>
    <row r="102" spans="1:16" ht="15" customHeight="1" x14ac:dyDescent="0.2">
      <c r="A102" s="77" t="s">
        <v>110</v>
      </c>
      <c r="B102" s="78">
        <v>1</v>
      </c>
      <c r="C102" s="79">
        <v>0</v>
      </c>
      <c r="D102" s="79">
        <v>0</v>
      </c>
      <c r="E102" s="79">
        <v>0</v>
      </c>
      <c r="F102" s="79">
        <v>0</v>
      </c>
      <c r="G102" s="79">
        <v>0</v>
      </c>
      <c r="H102" s="79">
        <v>0</v>
      </c>
      <c r="I102" s="79">
        <v>0</v>
      </c>
      <c r="J102" s="79">
        <v>0</v>
      </c>
      <c r="K102" s="80">
        <f t="shared" si="9"/>
        <v>0</v>
      </c>
      <c r="L102" s="80">
        <f t="shared" si="10"/>
        <v>0</v>
      </c>
      <c r="M102" s="80">
        <f t="shared" si="11"/>
        <v>0</v>
      </c>
      <c r="N102" s="80">
        <f t="shared" si="12"/>
        <v>0</v>
      </c>
      <c r="O102" s="42">
        <f t="shared" si="13"/>
        <v>0</v>
      </c>
      <c r="P102">
        <v>15</v>
      </c>
    </row>
    <row r="103" spans="1:16" ht="15" customHeight="1" x14ac:dyDescent="0.2">
      <c r="A103" s="77" t="s">
        <v>5</v>
      </c>
      <c r="B103" s="78">
        <v>2</v>
      </c>
      <c r="C103" s="79">
        <v>0</v>
      </c>
      <c r="D103" s="79">
        <v>0</v>
      </c>
      <c r="E103" s="79">
        <v>0</v>
      </c>
      <c r="F103" s="79">
        <v>0</v>
      </c>
      <c r="G103" s="79">
        <v>0</v>
      </c>
      <c r="H103" s="79">
        <v>0</v>
      </c>
      <c r="I103" s="79">
        <v>0</v>
      </c>
      <c r="J103" s="79">
        <v>0</v>
      </c>
      <c r="K103" s="80">
        <f t="shared" ref="K103:K134" si="14">SUM(E103,G103)</f>
        <v>0</v>
      </c>
      <c r="L103" s="80">
        <f t="shared" ref="L103:L134" si="15">SUM(C102,I102)</f>
        <v>0</v>
      </c>
      <c r="M103" s="80">
        <f t="shared" ref="M103:M134" si="16">SUM(F103,H103)</f>
        <v>0</v>
      </c>
      <c r="N103" s="80">
        <f t="shared" ref="N103:N134" si="17">SUM(D102,J102)</f>
        <v>0</v>
      </c>
      <c r="O103" s="42">
        <f t="shared" si="13"/>
        <v>0</v>
      </c>
      <c r="P103">
        <v>15</v>
      </c>
    </row>
    <row r="104" spans="1:16" ht="15" customHeight="1" x14ac:dyDescent="0.2">
      <c r="A104" s="77" t="s">
        <v>16</v>
      </c>
      <c r="B104" s="78">
        <v>2</v>
      </c>
      <c r="C104" s="79">
        <v>0</v>
      </c>
      <c r="D104" s="79">
        <v>0</v>
      </c>
      <c r="E104" s="79">
        <v>0</v>
      </c>
      <c r="F104" s="79">
        <v>0</v>
      </c>
      <c r="G104" s="79">
        <v>0</v>
      </c>
      <c r="H104" s="79">
        <v>0</v>
      </c>
      <c r="I104" s="79">
        <v>0</v>
      </c>
      <c r="J104" s="79">
        <v>0</v>
      </c>
      <c r="K104" s="80">
        <f t="shared" si="14"/>
        <v>0</v>
      </c>
      <c r="L104" s="80">
        <f t="shared" si="15"/>
        <v>0</v>
      </c>
      <c r="M104" s="80">
        <f t="shared" si="16"/>
        <v>0</v>
      </c>
      <c r="N104" s="80">
        <f t="shared" si="17"/>
        <v>0</v>
      </c>
      <c r="O104" s="42">
        <f t="shared" si="13"/>
        <v>0</v>
      </c>
      <c r="P104">
        <v>15</v>
      </c>
    </row>
    <row r="105" spans="1:16" ht="15" customHeight="1" x14ac:dyDescent="0.2">
      <c r="A105" s="77" t="s">
        <v>17</v>
      </c>
      <c r="B105" s="78">
        <v>2</v>
      </c>
      <c r="C105" s="79">
        <v>0</v>
      </c>
      <c r="D105" s="79">
        <v>0</v>
      </c>
      <c r="E105" s="79">
        <v>0</v>
      </c>
      <c r="F105" s="79">
        <v>0</v>
      </c>
      <c r="G105" s="79">
        <v>0</v>
      </c>
      <c r="H105" s="79">
        <v>0</v>
      </c>
      <c r="I105" s="79">
        <v>0</v>
      </c>
      <c r="J105" s="79">
        <v>0</v>
      </c>
      <c r="K105" s="80">
        <f t="shared" si="14"/>
        <v>0</v>
      </c>
      <c r="L105" s="80">
        <f t="shared" si="15"/>
        <v>0</v>
      </c>
      <c r="M105" s="80">
        <f t="shared" si="16"/>
        <v>0</v>
      </c>
      <c r="N105" s="80">
        <f t="shared" si="17"/>
        <v>0</v>
      </c>
      <c r="O105" s="42">
        <f t="shared" si="13"/>
        <v>0</v>
      </c>
      <c r="P105">
        <v>15</v>
      </c>
    </row>
    <row r="106" spans="1:16" ht="15" customHeight="1" x14ac:dyDescent="0.2">
      <c r="A106" s="77" t="s">
        <v>18</v>
      </c>
      <c r="B106" s="78">
        <v>2</v>
      </c>
      <c r="C106" s="79">
        <v>0</v>
      </c>
      <c r="D106" s="79">
        <v>0</v>
      </c>
      <c r="E106" s="79">
        <v>0</v>
      </c>
      <c r="F106" s="79">
        <v>0</v>
      </c>
      <c r="G106" s="79">
        <v>0</v>
      </c>
      <c r="H106" s="79">
        <v>0</v>
      </c>
      <c r="I106" s="79">
        <v>0</v>
      </c>
      <c r="J106" s="79">
        <v>0</v>
      </c>
      <c r="K106" s="80">
        <f t="shared" si="14"/>
        <v>0</v>
      </c>
      <c r="L106" s="80">
        <f t="shared" si="15"/>
        <v>0</v>
      </c>
      <c r="M106" s="80">
        <f t="shared" si="16"/>
        <v>0</v>
      </c>
      <c r="N106" s="80">
        <f t="shared" si="17"/>
        <v>0</v>
      </c>
      <c r="O106" s="42">
        <f t="shared" si="13"/>
        <v>0</v>
      </c>
      <c r="P106">
        <v>15</v>
      </c>
    </row>
    <row r="107" spans="1:16" ht="15" customHeight="1" x14ac:dyDescent="0.2">
      <c r="A107" s="77" t="s">
        <v>19</v>
      </c>
      <c r="B107" s="78">
        <v>2</v>
      </c>
      <c r="C107" s="79">
        <v>0</v>
      </c>
      <c r="D107" s="79">
        <v>0</v>
      </c>
      <c r="E107" s="79">
        <v>0</v>
      </c>
      <c r="F107" s="79">
        <v>0</v>
      </c>
      <c r="G107" s="79">
        <v>0</v>
      </c>
      <c r="H107" s="79">
        <v>0</v>
      </c>
      <c r="I107" s="79">
        <v>0</v>
      </c>
      <c r="J107" s="79">
        <v>0</v>
      </c>
      <c r="K107" s="80">
        <f t="shared" si="14"/>
        <v>0</v>
      </c>
      <c r="L107" s="80">
        <f t="shared" si="15"/>
        <v>0</v>
      </c>
      <c r="M107" s="80">
        <f t="shared" si="16"/>
        <v>0</v>
      </c>
      <c r="N107" s="80">
        <f t="shared" si="17"/>
        <v>0</v>
      </c>
      <c r="O107" s="42">
        <f t="shared" si="13"/>
        <v>0</v>
      </c>
      <c r="P107">
        <v>15</v>
      </c>
    </row>
    <row r="108" spans="1:16" ht="15" customHeight="1" x14ac:dyDescent="0.2">
      <c r="A108" s="77" t="s">
        <v>20</v>
      </c>
      <c r="B108" s="78">
        <v>2</v>
      </c>
      <c r="C108" s="79">
        <v>0</v>
      </c>
      <c r="D108" s="79">
        <v>0</v>
      </c>
      <c r="E108" s="79">
        <v>0</v>
      </c>
      <c r="F108" s="79">
        <v>0</v>
      </c>
      <c r="G108" s="79">
        <v>0</v>
      </c>
      <c r="H108" s="79">
        <v>0</v>
      </c>
      <c r="I108" s="79">
        <v>0</v>
      </c>
      <c r="J108" s="79">
        <v>0</v>
      </c>
      <c r="K108" s="80">
        <f t="shared" si="14"/>
        <v>0</v>
      </c>
      <c r="L108" s="80">
        <f t="shared" si="15"/>
        <v>0</v>
      </c>
      <c r="M108" s="80">
        <f t="shared" si="16"/>
        <v>0</v>
      </c>
      <c r="N108" s="80">
        <f t="shared" si="17"/>
        <v>0</v>
      </c>
      <c r="O108" s="42">
        <f t="shared" si="13"/>
        <v>0</v>
      </c>
      <c r="P108">
        <v>15</v>
      </c>
    </row>
    <row r="109" spans="1:16" ht="15" customHeight="1" x14ac:dyDescent="0.2">
      <c r="A109" s="77" t="s">
        <v>21</v>
      </c>
      <c r="B109" s="78">
        <v>2</v>
      </c>
      <c r="C109" s="79">
        <v>0</v>
      </c>
      <c r="D109" s="79">
        <v>0</v>
      </c>
      <c r="E109" s="79">
        <v>0</v>
      </c>
      <c r="F109" s="79">
        <v>0</v>
      </c>
      <c r="G109" s="79">
        <v>0</v>
      </c>
      <c r="H109" s="79">
        <v>0</v>
      </c>
      <c r="I109" s="79">
        <v>0</v>
      </c>
      <c r="J109" s="79">
        <v>0</v>
      </c>
      <c r="K109" s="80">
        <f t="shared" si="14"/>
        <v>0</v>
      </c>
      <c r="L109" s="80">
        <f t="shared" si="15"/>
        <v>0</v>
      </c>
      <c r="M109" s="80">
        <f t="shared" si="16"/>
        <v>0</v>
      </c>
      <c r="N109" s="80">
        <f t="shared" si="17"/>
        <v>0</v>
      </c>
      <c r="O109" s="42">
        <f t="shared" si="13"/>
        <v>0</v>
      </c>
      <c r="P109">
        <v>15</v>
      </c>
    </row>
    <row r="110" spans="1:16" ht="15" customHeight="1" x14ac:dyDescent="0.2">
      <c r="A110" s="77" t="s">
        <v>22</v>
      </c>
      <c r="B110" s="78">
        <v>2</v>
      </c>
      <c r="C110" s="79">
        <v>0</v>
      </c>
      <c r="D110" s="79">
        <v>0</v>
      </c>
      <c r="E110" s="79">
        <v>0</v>
      </c>
      <c r="F110" s="79">
        <v>0</v>
      </c>
      <c r="G110" s="79">
        <v>0</v>
      </c>
      <c r="H110" s="79">
        <v>0</v>
      </c>
      <c r="I110" s="79">
        <v>0</v>
      </c>
      <c r="J110" s="79">
        <v>0</v>
      </c>
      <c r="K110" s="80">
        <f t="shared" si="14"/>
        <v>0</v>
      </c>
      <c r="L110" s="80">
        <f t="shared" si="15"/>
        <v>0</v>
      </c>
      <c r="M110" s="80">
        <f t="shared" si="16"/>
        <v>0</v>
      </c>
      <c r="N110" s="80">
        <f t="shared" si="17"/>
        <v>0</v>
      </c>
      <c r="O110" s="42">
        <f t="shared" si="13"/>
        <v>0</v>
      </c>
      <c r="P110">
        <v>15</v>
      </c>
    </row>
    <row r="111" spans="1:16" ht="15" customHeight="1" x14ac:dyDescent="0.2">
      <c r="A111" s="77" t="s">
        <v>23</v>
      </c>
      <c r="B111" s="78">
        <v>2</v>
      </c>
      <c r="C111" s="79">
        <v>0</v>
      </c>
      <c r="D111" s="79">
        <v>0</v>
      </c>
      <c r="E111" s="79">
        <v>0</v>
      </c>
      <c r="F111" s="79">
        <v>0</v>
      </c>
      <c r="G111" s="79">
        <v>0</v>
      </c>
      <c r="H111" s="79">
        <v>0</v>
      </c>
      <c r="I111" s="79">
        <v>0</v>
      </c>
      <c r="J111" s="79">
        <v>0</v>
      </c>
      <c r="K111" s="80">
        <f t="shared" si="14"/>
        <v>0</v>
      </c>
      <c r="L111" s="80">
        <f t="shared" si="15"/>
        <v>0</v>
      </c>
      <c r="M111" s="80">
        <f t="shared" si="16"/>
        <v>0</v>
      </c>
      <c r="N111" s="80">
        <f t="shared" si="17"/>
        <v>0</v>
      </c>
      <c r="O111" s="42">
        <f t="shared" si="13"/>
        <v>0</v>
      </c>
      <c r="P111">
        <v>15</v>
      </c>
    </row>
    <row r="112" spans="1:16" ht="15" customHeight="1" x14ac:dyDescent="0.2">
      <c r="A112" s="77" t="s">
        <v>24</v>
      </c>
      <c r="B112" s="78">
        <v>2</v>
      </c>
      <c r="C112" s="79">
        <v>0</v>
      </c>
      <c r="D112" s="79">
        <v>0</v>
      </c>
      <c r="E112" s="79">
        <v>0</v>
      </c>
      <c r="F112" s="79">
        <v>0</v>
      </c>
      <c r="G112" s="79">
        <v>0</v>
      </c>
      <c r="H112" s="79">
        <v>0</v>
      </c>
      <c r="I112" s="79">
        <v>0</v>
      </c>
      <c r="J112" s="79">
        <v>0</v>
      </c>
      <c r="K112" s="80">
        <f t="shared" si="14"/>
        <v>0</v>
      </c>
      <c r="L112" s="80">
        <f t="shared" si="15"/>
        <v>0</v>
      </c>
      <c r="M112" s="80">
        <f t="shared" si="16"/>
        <v>0</v>
      </c>
      <c r="N112" s="80">
        <f t="shared" si="17"/>
        <v>0</v>
      </c>
      <c r="O112" s="42">
        <f t="shared" si="13"/>
        <v>0</v>
      </c>
      <c r="P112">
        <v>15</v>
      </c>
    </row>
    <row r="113" spans="1:16" ht="15" customHeight="1" x14ac:dyDescent="0.2">
      <c r="A113" s="77" t="s">
        <v>25</v>
      </c>
      <c r="B113" s="78">
        <v>2</v>
      </c>
      <c r="C113" s="79">
        <v>0</v>
      </c>
      <c r="D113" s="79">
        <v>0</v>
      </c>
      <c r="E113" s="79">
        <v>0</v>
      </c>
      <c r="F113" s="79">
        <v>0</v>
      </c>
      <c r="G113" s="79">
        <v>0</v>
      </c>
      <c r="H113" s="79">
        <v>0</v>
      </c>
      <c r="I113" s="79">
        <v>0</v>
      </c>
      <c r="J113" s="79">
        <v>0</v>
      </c>
      <c r="K113" s="80">
        <f t="shared" si="14"/>
        <v>0</v>
      </c>
      <c r="L113" s="80">
        <f t="shared" si="15"/>
        <v>0</v>
      </c>
      <c r="M113" s="80">
        <f t="shared" si="16"/>
        <v>0</v>
      </c>
      <c r="N113" s="80">
        <f t="shared" si="17"/>
        <v>0</v>
      </c>
      <c r="O113" s="42">
        <f t="shared" si="13"/>
        <v>0</v>
      </c>
      <c r="P113">
        <v>15</v>
      </c>
    </row>
    <row r="114" spans="1:16" ht="15" customHeight="1" x14ac:dyDescent="0.2">
      <c r="A114" s="77" t="s">
        <v>26</v>
      </c>
      <c r="B114" s="78">
        <v>2</v>
      </c>
      <c r="C114" s="79">
        <v>0</v>
      </c>
      <c r="D114" s="79">
        <v>0</v>
      </c>
      <c r="E114" s="79">
        <v>0</v>
      </c>
      <c r="F114" s="79">
        <v>0</v>
      </c>
      <c r="G114" s="79">
        <v>0</v>
      </c>
      <c r="H114" s="79">
        <v>0</v>
      </c>
      <c r="I114" s="79">
        <v>0</v>
      </c>
      <c r="J114" s="79">
        <v>0</v>
      </c>
      <c r="K114" s="80">
        <f t="shared" si="14"/>
        <v>0</v>
      </c>
      <c r="L114" s="80">
        <f t="shared" si="15"/>
        <v>0</v>
      </c>
      <c r="M114" s="80">
        <f t="shared" si="16"/>
        <v>0</v>
      </c>
      <c r="N114" s="80">
        <f t="shared" si="17"/>
        <v>0</v>
      </c>
      <c r="O114" s="42">
        <f t="shared" si="13"/>
        <v>0</v>
      </c>
      <c r="P114">
        <v>15</v>
      </c>
    </row>
    <row r="115" spans="1:16" ht="15" customHeight="1" x14ac:dyDescent="0.2">
      <c r="A115" s="77" t="s">
        <v>27</v>
      </c>
      <c r="B115" s="78">
        <v>2</v>
      </c>
      <c r="C115" s="79">
        <v>0</v>
      </c>
      <c r="D115" s="79">
        <v>0</v>
      </c>
      <c r="E115" s="79">
        <v>0</v>
      </c>
      <c r="F115" s="79">
        <v>0</v>
      </c>
      <c r="G115" s="79">
        <v>0</v>
      </c>
      <c r="H115" s="79">
        <v>0</v>
      </c>
      <c r="I115" s="79">
        <v>0</v>
      </c>
      <c r="J115" s="79">
        <v>0</v>
      </c>
      <c r="K115" s="80">
        <f t="shared" si="14"/>
        <v>0</v>
      </c>
      <c r="L115" s="80">
        <f t="shared" si="15"/>
        <v>0</v>
      </c>
      <c r="M115" s="80">
        <f t="shared" si="16"/>
        <v>0</v>
      </c>
      <c r="N115" s="80">
        <f t="shared" si="17"/>
        <v>0</v>
      </c>
      <c r="O115" s="42">
        <f t="shared" si="13"/>
        <v>0</v>
      </c>
      <c r="P115">
        <v>15</v>
      </c>
    </row>
    <row r="116" spans="1:16" ht="15" customHeight="1" x14ac:dyDescent="0.2">
      <c r="A116" s="77" t="s">
        <v>28</v>
      </c>
      <c r="B116" s="78">
        <v>2</v>
      </c>
      <c r="C116" s="79">
        <v>0</v>
      </c>
      <c r="D116" s="79">
        <v>0</v>
      </c>
      <c r="E116" s="79">
        <v>0</v>
      </c>
      <c r="F116" s="79">
        <v>0</v>
      </c>
      <c r="G116" s="79">
        <v>0</v>
      </c>
      <c r="H116" s="79">
        <v>0</v>
      </c>
      <c r="I116" s="79">
        <v>0</v>
      </c>
      <c r="J116" s="79">
        <v>0</v>
      </c>
      <c r="K116" s="80">
        <f t="shared" si="14"/>
        <v>0</v>
      </c>
      <c r="L116" s="80">
        <f t="shared" si="15"/>
        <v>0</v>
      </c>
      <c r="M116" s="80">
        <f t="shared" si="16"/>
        <v>0</v>
      </c>
      <c r="N116" s="80">
        <f t="shared" si="17"/>
        <v>0</v>
      </c>
      <c r="O116" s="42">
        <f t="shared" si="13"/>
        <v>0</v>
      </c>
      <c r="P116">
        <v>15</v>
      </c>
    </row>
    <row r="117" spans="1:16" ht="15" customHeight="1" x14ac:dyDescent="0.2">
      <c r="A117" s="77" t="s">
        <v>29</v>
      </c>
      <c r="B117" s="78">
        <v>2</v>
      </c>
      <c r="C117" s="79">
        <v>0</v>
      </c>
      <c r="D117" s="79">
        <v>0</v>
      </c>
      <c r="E117" s="79">
        <v>0</v>
      </c>
      <c r="F117" s="79">
        <v>0</v>
      </c>
      <c r="G117" s="79">
        <v>0</v>
      </c>
      <c r="H117" s="79">
        <v>0</v>
      </c>
      <c r="I117" s="79">
        <v>0</v>
      </c>
      <c r="J117" s="79">
        <v>0</v>
      </c>
      <c r="K117" s="80">
        <f t="shared" si="14"/>
        <v>0</v>
      </c>
      <c r="L117" s="80">
        <f t="shared" si="15"/>
        <v>0</v>
      </c>
      <c r="M117" s="80">
        <f t="shared" si="16"/>
        <v>0</v>
      </c>
      <c r="N117" s="80">
        <f t="shared" si="17"/>
        <v>0</v>
      </c>
      <c r="O117" s="42">
        <f t="shared" si="13"/>
        <v>0</v>
      </c>
      <c r="P117">
        <v>15</v>
      </c>
    </row>
    <row r="118" spans="1:16" ht="15" customHeight="1" x14ac:dyDescent="0.2">
      <c r="A118" s="77" t="s">
        <v>30</v>
      </c>
      <c r="B118" s="78">
        <v>2</v>
      </c>
      <c r="C118" s="79">
        <v>0</v>
      </c>
      <c r="D118" s="79">
        <v>0</v>
      </c>
      <c r="E118" s="79">
        <v>0</v>
      </c>
      <c r="F118" s="79">
        <v>0</v>
      </c>
      <c r="G118" s="79">
        <v>0</v>
      </c>
      <c r="H118" s="79">
        <v>0</v>
      </c>
      <c r="I118" s="79">
        <v>0</v>
      </c>
      <c r="J118" s="79">
        <v>0</v>
      </c>
      <c r="K118" s="80">
        <f t="shared" si="14"/>
        <v>0</v>
      </c>
      <c r="L118" s="80">
        <f t="shared" si="15"/>
        <v>0</v>
      </c>
      <c r="M118" s="80">
        <f t="shared" si="16"/>
        <v>0</v>
      </c>
      <c r="N118" s="80">
        <f t="shared" si="17"/>
        <v>0</v>
      </c>
      <c r="O118" s="42">
        <f t="shared" si="13"/>
        <v>0</v>
      </c>
      <c r="P118">
        <v>15</v>
      </c>
    </row>
    <row r="119" spans="1:16" ht="15" customHeight="1" x14ac:dyDescent="0.2">
      <c r="A119" s="77" t="s">
        <v>31</v>
      </c>
      <c r="B119" s="78">
        <v>2</v>
      </c>
      <c r="C119" s="79">
        <v>0</v>
      </c>
      <c r="D119" s="79">
        <v>0</v>
      </c>
      <c r="E119" s="79">
        <v>0</v>
      </c>
      <c r="F119" s="79">
        <v>0</v>
      </c>
      <c r="G119" s="79">
        <v>0</v>
      </c>
      <c r="H119" s="79">
        <v>0</v>
      </c>
      <c r="I119" s="79">
        <v>0</v>
      </c>
      <c r="J119" s="79">
        <v>0</v>
      </c>
      <c r="K119" s="80">
        <f t="shared" si="14"/>
        <v>0</v>
      </c>
      <c r="L119" s="80">
        <f t="shared" si="15"/>
        <v>0</v>
      </c>
      <c r="M119" s="80">
        <f t="shared" si="16"/>
        <v>0</v>
      </c>
      <c r="N119" s="80">
        <f t="shared" si="17"/>
        <v>0</v>
      </c>
      <c r="O119" s="42">
        <f t="shared" si="13"/>
        <v>0</v>
      </c>
      <c r="P119">
        <v>15</v>
      </c>
    </row>
    <row r="120" spans="1:16" ht="15" customHeight="1" x14ac:dyDescent="0.2">
      <c r="A120" s="77" t="s">
        <v>32</v>
      </c>
      <c r="B120" s="78">
        <v>2</v>
      </c>
      <c r="C120" s="79">
        <v>0</v>
      </c>
      <c r="D120" s="79">
        <v>0</v>
      </c>
      <c r="E120" s="79">
        <v>0</v>
      </c>
      <c r="F120" s="79">
        <v>0</v>
      </c>
      <c r="G120" s="79">
        <v>0</v>
      </c>
      <c r="H120" s="79">
        <v>0</v>
      </c>
      <c r="I120" s="79">
        <v>0</v>
      </c>
      <c r="J120" s="79">
        <v>0</v>
      </c>
      <c r="K120" s="80">
        <f t="shared" si="14"/>
        <v>0</v>
      </c>
      <c r="L120" s="80">
        <f t="shared" si="15"/>
        <v>0</v>
      </c>
      <c r="M120" s="80">
        <f t="shared" si="16"/>
        <v>0</v>
      </c>
      <c r="N120" s="80">
        <f t="shared" si="17"/>
        <v>0</v>
      </c>
      <c r="O120" s="42">
        <f t="shared" si="13"/>
        <v>0</v>
      </c>
      <c r="P120">
        <v>15</v>
      </c>
    </row>
    <row r="121" spans="1:16" ht="15" customHeight="1" x14ac:dyDescent="0.2">
      <c r="A121" s="77" t="s">
        <v>33</v>
      </c>
      <c r="B121" s="78">
        <v>2</v>
      </c>
      <c r="C121" s="79">
        <v>0</v>
      </c>
      <c r="D121" s="79">
        <v>0</v>
      </c>
      <c r="E121" s="79">
        <v>0</v>
      </c>
      <c r="F121" s="79">
        <v>0</v>
      </c>
      <c r="G121" s="79">
        <v>0</v>
      </c>
      <c r="H121" s="79">
        <v>0</v>
      </c>
      <c r="I121" s="79">
        <v>0</v>
      </c>
      <c r="J121" s="79">
        <v>0</v>
      </c>
      <c r="K121" s="80">
        <f t="shared" si="14"/>
        <v>0</v>
      </c>
      <c r="L121" s="80">
        <f t="shared" si="15"/>
        <v>0</v>
      </c>
      <c r="M121" s="80">
        <f t="shared" si="16"/>
        <v>0</v>
      </c>
      <c r="N121" s="80">
        <f t="shared" si="17"/>
        <v>0</v>
      </c>
      <c r="O121" s="42">
        <f t="shared" si="13"/>
        <v>0</v>
      </c>
      <c r="P121">
        <v>15</v>
      </c>
    </row>
    <row r="122" spans="1:16" ht="15" customHeight="1" x14ac:dyDescent="0.2">
      <c r="A122" s="77" t="s">
        <v>34</v>
      </c>
      <c r="B122" s="78">
        <v>2</v>
      </c>
      <c r="C122" s="79">
        <v>0</v>
      </c>
      <c r="D122" s="79">
        <v>0</v>
      </c>
      <c r="E122" s="79">
        <v>0</v>
      </c>
      <c r="F122" s="79">
        <v>0</v>
      </c>
      <c r="G122" s="79">
        <v>0</v>
      </c>
      <c r="H122" s="79">
        <v>0</v>
      </c>
      <c r="I122" s="79">
        <v>0</v>
      </c>
      <c r="J122" s="79">
        <v>0</v>
      </c>
      <c r="K122" s="80">
        <f t="shared" si="14"/>
        <v>0</v>
      </c>
      <c r="L122" s="80">
        <f t="shared" si="15"/>
        <v>0</v>
      </c>
      <c r="M122" s="80">
        <f t="shared" si="16"/>
        <v>0</v>
      </c>
      <c r="N122" s="80">
        <f t="shared" si="17"/>
        <v>0</v>
      </c>
      <c r="O122" s="42">
        <f t="shared" si="13"/>
        <v>0</v>
      </c>
      <c r="P122">
        <v>15</v>
      </c>
    </row>
    <row r="123" spans="1:16" ht="15" customHeight="1" x14ac:dyDescent="0.2">
      <c r="A123" s="77" t="s">
        <v>35</v>
      </c>
      <c r="B123" s="78">
        <v>2</v>
      </c>
      <c r="C123" s="79">
        <v>0</v>
      </c>
      <c r="D123" s="79">
        <v>0</v>
      </c>
      <c r="E123" s="79">
        <v>0</v>
      </c>
      <c r="F123" s="79">
        <v>0</v>
      </c>
      <c r="G123" s="79">
        <v>0</v>
      </c>
      <c r="H123" s="79">
        <v>0</v>
      </c>
      <c r="I123" s="79">
        <v>0</v>
      </c>
      <c r="J123" s="79">
        <v>0</v>
      </c>
      <c r="K123" s="80">
        <f t="shared" si="14"/>
        <v>0</v>
      </c>
      <c r="L123" s="80">
        <f t="shared" si="15"/>
        <v>0</v>
      </c>
      <c r="M123" s="80">
        <f t="shared" si="16"/>
        <v>0</v>
      </c>
      <c r="N123" s="80">
        <f t="shared" si="17"/>
        <v>0</v>
      </c>
      <c r="O123" s="42">
        <f t="shared" si="13"/>
        <v>0</v>
      </c>
      <c r="P123">
        <v>15</v>
      </c>
    </row>
    <row r="124" spans="1:16" s="33" customFormat="1" ht="15" customHeight="1" x14ac:dyDescent="0.2">
      <c r="A124" s="77" t="s">
        <v>36</v>
      </c>
      <c r="B124" s="78">
        <v>2</v>
      </c>
      <c r="C124" s="79">
        <v>0</v>
      </c>
      <c r="D124" s="79">
        <v>0</v>
      </c>
      <c r="E124" s="79">
        <v>0</v>
      </c>
      <c r="F124" s="79">
        <v>1</v>
      </c>
      <c r="G124" s="79">
        <v>0</v>
      </c>
      <c r="H124" s="79">
        <v>0</v>
      </c>
      <c r="I124" s="79">
        <v>0</v>
      </c>
      <c r="J124" s="79">
        <v>0</v>
      </c>
      <c r="K124" s="80">
        <f t="shared" si="14"/>
        <v>0</v>
      </c>
      <c r="L124" s="80">
        <f t="shared" si="15"/>
        <v>0</v>
      </c>
      <c r="M124" s="80">
        <f t="shared" si="16"/>
        <v>1</v>
      </c>
      <c r="N124" s="80">
        <f t="shared" si="17"/>
        <v>0</v>
      </c>
      <c r="O124" s="42">
        <f t="shared" si="13"/>
        <v>1</v>
      </c>
      <c r="P124">
        <v>15</v>
      </c>
    </row>
    <row r="125" spans="1:16" ht="15" customHeight="1" x14ac:dyDescent="0.2">
      <c r="A125" s="77" t="s">
        <v>37</v>
      </c>
      <c r="B125" s="78">
        <v>2</v>
      </c>
      <c r="C125" s="79">
        <v>0</v>
      </c>
      <c r="D125" s="79">
        <v>0</v>
      </c>
      <c r="E125" s="79">
        <v>0</v>
      </c>
      <c r="F125" s="79">
        <v>0</v>
      </c>
      <c r="G125" s="79">
        <v>0</v>
      </c>
      <c r="H125" s="79">
        <v>0</v>
      </c>
      <c r="I125" s="79">
        <v>0</v>
      </c>
      <c r="J125" s="79">
        <v>0</v>
      </c>
      <c r="K125" s="80">
        <f t="shared" si="14"/>
        <v>0</v>
      </c>
      <c r="L125" s="80">
        <f t="shared" si="15"/>
        <v>0</v>
      </c>
      <c r="M125" s="80">
        <f t="shared" si="16"/>
        <v>0</v>
      </c>
      <c r="N125" s="80">
        <f t="shared" si="17"/>
        <v>0</v>
      </c>
      <c r="O125" s="42">
        <f t="shared" si="13"/>
        <v>0</v>
      </c>
      <c r="P125">
        <v>15</v>
      </c>
    </row>
    <row r="126" spans="1:16" ht="15" customHeight="1" x14ac:dyDescent="0.2">
      <c r="A126" s="77" t="s">
        <v>38</v>
      </c>
      <c r="B126" s="78">
        <v>2</v>
      </c>
      <c r="C126" s="79">
        <v>0</v>
      </c>
      <c r="D126" s="79">
        <v>0</v>
      </c>
      <c r="E126" s="79">
        <v>0</v>
      </c>
      <c r="F126" s="79">
        <v>0</v>
      </c>
      <c r="G126" s="79">
        <v>0</v>
      </c>
      <c r="H126" s="79">
        <v>0</v>
      </c>
      <c r="I126" s="79">
        <v>0</v>
      </c>
      <c r="J126" s="79">
        <v>0</v>
      </c>
      <c r="K126" s="80">
        <f t="shared" si="14"/>
        <v>0</v>
      </c>
      <c r="L126" s="80">
        <f t="shared" si="15"/>
        <v>0</v>
      </c>
      <c r="M126" s="80">
        <f t="shared" si="16"/>
        <v>0</v>
      </c>
      <c r="N126" s="80">
        <f t="shared" si="17"/>
        <v>0</v>
      </c>
      <c r="O126" s="42">
        <f t="shared" si="13"/>
        <v>0</v>
      </c>
      <c r="P126">
        <v>15</v>
      </c>
    </row>
    <row r="127" spans="1:16" ht="15" customHeight="1" x14ac:dyDescent="0.2">
      <c r="A127" s="77" t="s">
        <v>39</v>
      </c>
      <c r="B127" s="78">
        <v>2</v>
      </c>
      <c r="C127" s="79">
        <v>0</v>
      </c>
      <c r="D127" s="79">
        <v>0</v>
      </c>
      <c r="E127" s="79">
        <v>0</v>
      </c>
      <c r="F127" s="79">
        <v>0</v>
      </c>
      <c r="G127" s="79">
        <v>0</v>
      </c>
      <c r="H127" s="79">
        <v>0</v>
      </c>
      <c r="I127" s="79">
        <v>0</v>
      </c>
      <c r="J127" s="79">
        <v>0</v>
      </c>
      <c r="K127" s="80">
        <f t="shared" si="14"/>
        <v>0</v>
      </c>
      <c r="L127" s="80">
        <f t="shared" si="15"/>
        <v>0</v>
      </c>
      <c r="M127" s="80">
        <f t="shared" si="16"/>
        <v>0</v>
      </c>
      <c r="N127" s="80">
        <f t="shared" si="17"/>
        <v>0</v>
      </c>
      <c r="O127" s="42">
        <f t="shared" si="13"/>
        <v>0</v>
      </c>
      <c r="P127">
        <v>15</v>
      </c>
    </row>
    <row r="128" spans="1:16" ht="15" customHeight="1" x14ac:dyDescent="0.2">
      <c r="A128" s="77" t="s">
        <v>40</v>
      </c>
      <c r="B128" s="78">
        <v>2</v>
      </c>
      <c r="C128" s="79">
        <v>0</v>
      </c>
      <c r="D128" s="79">
        <v>0</v>
      </c>
      <c r="E128" s="79">
        <v>0</v>
      </c>
      <c r="F128" s="79">
        <v>0</v>
      </c>
      <c r="G128" s="79">
        <v>0</v>
      </c>
      <c r="H128" s="79">
        <v>0</v>
      </c>
      <c r="I128" s="79">
        <v>0</v>
      </c>
      <c r="J128" s="79">
        <v>0</v>
      </c>
      <c r="K128" s="80">
        <f t="shared" si="14"/>
        <v>0</v>
      </c>
      <c r="L128" s="80">
        <f t="shared" si="15"/>
        <v>0</v>
      </c>
      <c r="M128" s="80">
        <f t="shared" si="16"/>
        <v>0</v>
      </c>
      <c r="N128" s="80">
        <f t="shared" si="17"/>
        <v>0</v>
      </c>
      <c r="O128" s="42">
        <f t="shared" si="13"/>
        <v>0</v>
      </c>
      <c r="P128">
        <v>15</v>
      </c>
    </row>
    <row r="129" spans="1:16" s="33" customFormat="1" ht="15" customHeight="1" x14ac:dyDescent="0.2">
      <c r="A129" s="77" t="s">
        <v>41</v>
      </c>
      <c r="B129" s="78">
        <v>2</v>
      </c>
      <c r="C129" s="79">
        <v>0</v>
      </c>
      <c r="D129" s="79">
        <v>0</v>
      </c>
      <c r="E129" s="79">
        <v>0</v>
      </c>
      <c r="F129" s="79">
        <v>0</v>
      </c>
      <c r="G129" s="79">
        <v>0</v>
      </c>
      <c r="H129" s="79">
        <v>1</v>
      </c>
      <c r="I129" s="79">
        <v>0</v>
      </c>
      <c r="J129" s="79">
        <v>0</v>
      </c>
      <c r="K129" s="80">
        <f t="shared" si="14"/>
        <v>0</v>
      </c>
      <c r="L129" s="80">
        <f t="shared" si="15"/>
        <v>0</v>
      </c>
      <c r="M129" s="80">
        <f t="shared" si="16"/>
        <v>1</v>
      </c>
      <c r="N129" s="80">
        <f t="shared" si="17"/>
        <v>0</v>
      </c>
      <c r="O129" s="42">
        <f t="shared" si="13"/>
        <v>1</v>
      </c>
      <c r="P129">
        <v>15</v>
      </c>
    </row>
    <row r="130" spans="1:16" s="33" customFormat="1" ht="15" customHeight="1" x14ac:dyDescent="0.2">
      <c r="A130" s="46" t="s">
        <v>42</v>
      </c>
      <c r="B130" s="47">
        <v>2</v>
      </c>
      <c r="C130" s="48">
        <v>0</v>
      </c>
      <c r="D130" s="48">
        <v>0</v>
      </c>
      <c r="E130" s="48">
        <v>0</v>
      </c>
      <c r="F130" s="48">
        <v>0</v>
      </c>
      <c r="G130" s="48">
        <v>0</v>
      </c>
      <c r="H130" s="48">
        <v>0</v>
      </c>
      <c r="I130" s="48">
        <v>0</v>
      </c>
      <c r="J130" s="48">
        <v>0</v>
      </c>
      <c r="K130" s="49">
        <f t="shared" si="14"/>
        <v>0</v>
      </c>
      <c r="L130" s="49">
        <f t="shared" si="15"/>
        <v>0</v>
      </c>
      <c r="M130" s="49">
        <f t="shared" si="16"/>
        <v>0</v>
      </c>
      <c r="N130" s="49">
        <f t="shared" si="17"/>
        <v>0</v>
      </c>
      <c r="O130" s="81">
        <f t="shared" si="13"/>
        <v>0</v>
      </c>
      <c r="P130">
        <v>15</v>
      </c>
    </row>
    <row r="131" spans="1:16" s="33" customFormat="1" ht="15" customHeight="1" x14ac:dyDescent="0.2">
      <c r="A131" s="46" t="s">
        <v>43</v>
      </c>
      <c r="B131" s="47">
        <v>2</v>
      </c>
      <c r="C131" s="48">
        <v>0</v>
      </c>
      <c r="D131" s="48">
        <v>0</v>
      </c>
      <c r="E131" s="48">
        <v>0</v>
      </c>
      <c r="F131" s="48">
        <v>0</v>
      </c>
      <c r="G131" s="48">
        <v>0</v>
      </c>
      <c r="H131" s="48">
        <v>0</v>
      </c>
      <c r="I131" s="48">
        <v>0</v>
      </c>
      <c r="J131" s="48">
        <v>0</v>
      </c>
      <c r="K131" s="49">
        <f t="shared" si="14"/>
        <v>0</v>
      </c>
      <c r="L131" s="49">
        <f t="shared" si="15"/>
        <v>0</v>
      </c>
      <c r="M131" s="49">
        <f t="shared" si="16"/>
        <v>0</v>
      </c>
      <c r="N131" s="49">
        <f t="shared" si="17"/>
        <v>0</v>
      </c>
      <c r="O131" s="81">
        <f t="shared" si="13"/>
        <v>0</v>
      </c>
      <c r="P131">
        <v>15</v>
      </c>
    </row>
    <row r="132" spans="1:16" s="33" customFormat="1" ht="15" customHeight="1" x14ac:dyDescent="0.2">
      <c r="A132" s="46" t="s">
        <v>44</v>
      </c>
      <c r="B132" s="47">
        <v>2</v>
      </c>
      <c r="C132" s="48">
        <v>0</v>
      </c>
      <c r="D132" s="48">
        <v>0</v>
      </c>
      <c r="E132" s="48">
        <v>0</v>
      </c>
      <c r="F132" s="48">
        <v>0</v>
      </c>
      <c r="G132" s="48">
        <v>0</v>
      </c>
      <c r="H132" s="48">
        <v>0</v>
      </c>
      <c r="I132" s="48">
        <v>0</v>
      </c>
      <c r="J132" s="48">
        <v>0</v>
      </c>
      <c r="K132" s="49">
        <f t="shared" si="14"/>
        <v>0</v>
      </c>
      <c r="L132" s="49">
        <f t="shared" si="15"/>
        <v>0</v>
      </c>
      <c r="M132" s="49">
        <f t="shared" si="16"/>
        <v>0</v>
      </c>
      <c r="N132" s="49">
        <f t="shared" si="17"/>
        <v>0</v>
      </c>
      <c r="O132" s="81">
        <f t="shared" si="13"/>
        <v>0</v>
      </c>
      <c r="P132">
        <v>15</v>
      </c>
    </row>
    <row r="133" spans="1:16" s="33" customFormat="1" ht="15" customHeight="1" x14ac:dyDescent="0.2">
      <c r="A133" s="46" t="s">
        <v>45</v>
      </c>
      <c r="B133" s="47">
        <v>2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2</v>
      </c>
      <c r="J133" s="48">
        <v>0</v>
      </c>
      <c r="K133" s="49">
        <f t="shared" si="14"/>
        <v>0</v>
      </c>
      <c r="L133" s="49">
        <f t="shared" si="15"/>
        <v>0</v>
      </c>
      <c r="M133" s="49">
        <f t="shared" si="16"/>
        <v>0</v>
      </c>
      <c r="N133" s="49">
        <f t="shared" si="17"/>
        <v>0</v>
      </c>
      <c r="O133" s="81">
        <f t="shared" si="13"/>
        <v>0</v>
      </c>
      <c r="P133">
        <v>15</v>
      </c>
    </row>
    <row r="134" spans="1:16" s="33" customFormat="1" ht="15" customHeight="1" x14ac:dyDescent="0.2">
      <c r="A134" s="46" t="s">
        <v>46</v>
      </c>
      <c r="B134" s="47">
        <v>2</v>
      </c>
      <c r="C134" s="48">
        <v>0</v>
      </c>
      <c r="D134" s="48">
        <v>0</v>
      </c>
      <c r="E134" s="48">
        <v>3</v>
      </c>
      <c r="F134" s="48">
        <v>0</v>
      </c>
      <c r="G134" s="48">
        <v>0</v>
      </c>
      <c r="H134" s="48">
        <v>0</v>
      </c>
      <c r="I134" s="48">
        <v>0</v>
      </c>
      <c r="J134" s="48">
        <v>0</v>
      </c>
      <c r="K134" s="49">
        <f t="shared" si="14"/>
        <v>3</v>
      </c>
      <c r="L134" s="49">
        <f t="shared" si="15"/>
        <v>2</v>
      </c>
      <c r="M134" s="49">
        <f t="shared" si="16"/>
        <v>0</v>
      </c>
      <c r="N134" s="49">
        <f t="shared" si="17"/>
        <v>0</v>
      </c>
      <c r="O134" s="81">
        <f t="shared" si="13"/>
        <v>0</v>
      </c>
      <c r="P134">
        <v>15</v>
      </c>
    </row>
    <row r="135" spans="1:16" s="33" customFormat="1" ht="15" customHeight="1" x14ac:dyDescent="0.2">
      <c r="A135" s="46" t="s">
        <v>47</v>
      </c>
      <c r="B135" s="47">
        <v>2</v>
      </c>
      <c r="C135" s="48">
        <v>0</v>
      </c>
      <c r="D135" s="48">
        <v>0</v>
      </c>
      <c r="E135" s="48">
        <v>4</v>
      </c>
      <c r="F135" s="48">
        <v>0</v>
      </c>
      <c r="G135" s="48">
        <v>1</v>
      </c>
      <c r="H135" s="48">
        <v>0</v>
      </c>
      <c r="I135" s="48">
        <v>0</v>
      </c>
      <c r="J135" s="48">
        <v>0</v>
      </c>
      <c r="K135" s="49">
        <f t="shared" ref="K135:K166" si="18">SUM(E135,G135)</f>
        <v>5</v>
      </c>
      <c r="L135" s="49">
        <f t="shared" ref="L135:L166" si="19">SUM(C134,I134)</f>
        <v>0</v>
      </c>
      <c r="M135" s="49">
        <f t="shared" ref="M135:M166" si="20">SUM(F135,H135)</f>
        <v>0</v>
      </c>
      <c r="N135" s="49">
        <f t="shared" ref="N135:N166" si="21">SUM(D134,J134)</f>
        <v>0</v>
      </c>
      <c r="O135" s="81">
        <f t="shared" si="13"/>
        <v>1</v>
      </c>
      <c r="P135">
        <v>15</v>
      </c>
    </row>
    <row r="136" spans="1:16" s="33" customFormat="1" ht="15" customHeight="1" x14ac:dyDescent="0.2">
      <c r="A136" s="46" t="s">
        <v>48</v>
      </c>
      <c r="B136" s="47">
        <v>2</v>
      </c>
      <c r="C136" s="48">
        <v>2</v>
      </c>
      <c r="D136" s="48">
        <v>0</v>
      </c>
      <c r="E136" s="48">
        <v>5</v>
      </c>
      <c r="F136" s="48">
        <v>0</v>
      </c>
      <c r="G136" s="48">
        <v>0</v>
      </c>
      <c r="H136" s="48">
        <v>0</v>
      </c>
      <c r="I136" s="48">
        <v>0</v>
      </c>
      <c r="J136" s="48">
        <v>0</v>
      </c>
      <c r="K136" s="49">
        <f t="shared" si="18"/>
        <v>5</v>
      </c>
      <c r="L136" s="49">
        <f t="shared" si="19"/>
        <v>0</v>
      </c>
      <c r="M136" s="49">
        <f t="shared" si="20"/>
        <v>0</v>
      </c>
      <c r="N136" s="49">
        <f t="shared" si="21"/>
        <v>0</v>
      </c>
      <c r="O136" s="81">
        <f t="shared" ref="O136:O198" si="22">SUM(F136:H136)</f>
        <v>0</v>
      </c>
      <c r="P136">
        <v>15</v>
      </c>
    </row>
    <row r="137" spans="1:16" s="33" customFormat="1" ht="15" customHeight="1" x14ac:dyDescent="0.2">
      <c r="A137" s="46" t="s">
        <v>49</v>
      </c>
      <c r="B137" s="47">
        <v>2</v>
      </c>
      <c r="C137" s="48">
        <v>0</v>
      </c>
      <c r="D137" s="48">
        <v>0</v>
      </c>
      <c r="E137" s="48">
        <v>6</v>
      </c>
      <c r="F137" s="48">
        <v>0</v>
      </c>
      <c r="G137" s="48">
        <v>1</v>
      </c>
      <c r="H137" s="48">
        <v>0</v>
      </c>
      <c r="I137" s="48">
        <v>0</v>
      </c>
      <c r="J137" s="48">
        <v>0</v>
      </c>
      <c r="K137" s="49">
        <f t="shared" si="18"/>
        <v>7</v>
      </c>
      <c r="L137" s="49">
        <f t="shared" si="19"/>
        <v>2</v>
      </c>
      <c r="M137" s="49">
        <f t="shared" si="20"/>
        <v>0</v>
      </c>
      <c r="N137" s="49">
        <f t="shared" si="21"/>
        <v>0</v>
      </c>
      <c r="O137" s="81">
        <f t="shared" si="22"/>
        <v>1</v>
      </c>
      <c r="P137">
        <v>15</v>
      </c>
    </row>
    <row r="138" spans="1:16" s="33" customFormat="1" ht="15" customHeight="1" x14ac:dyDescent="0.2">
      <c r="A138" s="46" t="s">
        <v>50</v>
      </c>
      <c r="B138" s="47">
        <v>2</v>
      </c>
      <c r="C138" s="48">
        <v>0</v>
      </c>
      <c r="D138" s="48">
        <v>0</v>
      </c>
      <c r="E138" s="48">
        <v>0</v>
      </c>
      <c r="F138" s="48">
        <v>0</v>
      </c>
      <c r="G138" s="48">
        <v>0</v>
      </c>
      <c r="H138" s="48">
        <v>0</v>
      </c>
      <c r="I138" s="48">
        <v>0</v>
      </c>
      <c r="J138" s="48">
        <v>0</v>
      </c>
      <c r="K138" s="49">
        <f t="shared" si="18"/>
        <v>0</v>
      </c>
      <c r="L138" s="49">
        <f t="shared" si="19"/>
        <v>0</v>
      </c>
      <c r="M138" s="49">
        <f t="shared" si="20"/>
        <v>0</v>
      </c>
      <c r="N138" s="49">
        <f t="shared" si="21"/>
        <v>0</v>
      </c>
      <c r="O138" s="81">
        <f t="shared" si="22"/>
        <v>0</v>
      </c>
      <c r="P138">
        <v>15</v>
      </c>
    </row>
    <row r="139" spans="1:16" s="33" customFormat="1" ht="15" customHeight="1" x14ac:dyDescent="0.2">
      <c r="A139" s="46" t="s">
        <v>51</v>
      </c>
      <c r="B139" s="47">
        <v>2</v>
      </c>
      <c r="C139" s="48">
        <v>0</v>
      </c>
      <c r="D139" s="48">
        <v>0</v>
      </c>
      <c r="E139" s="48">
        <v>0</v>
      </c>
      <c r="F139" s="48">
        <v>0</v>
      </c>
      <c r="G139" s="48">
        <v>0</v>
      </c>
      <c r="H139" s="48">
        <v>0</v>
      </c>
      <c r="I139" s="48">
        <v>0</v>
      </c>
      <c r="J139" s="48">
        <v>0</v>
      </c>
      <c r="K139" s="49">
        <f t="shared" si="18"/>
        <v>0</v>
      </c>
      <c r="L139" s="49">
        <f t="shared" si="19"/>
        <v>0</v>
      </c>
      <c r="M139" s="49">
        <f t="shared" si="20"/>
        <v>0</v>
      </c>
      <c r="N139" s="49">
        <f t="shared" si="21"/>
        <v>0</v>
      </c>
      <c r="O139" s="81">
        <f t="shared" si="22"/>
        <v>0</v>
      </c>
      <c r="P139">
        <v>15</v>
      </c>
    </row>
    <row r="140" spans="1:16" s="33" customFormat="1" ht="15" customHeight="1" x14ac:dyDescent="0.2">
      <c r="A140" s="46" t="s">
        <v>52</v>
      </c>
      <c r="B140" s="47">
        <v>2</v>
      </c>
      <c r="C140" s="48">
        <v>0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8">
        <v>0</v>
      </c>
      <c r="K140" s="49">
        <f t="shared" si="18"/>
        <v>0</v>
      </c>
      <c r="L140" s="49">
        <f t="shared" si="19"/>
        <v>0</v>
      </c>
      <c r="M140" s="49">
        <f t="shared" si="20"/>
        <v>0</v>
      </c>
      <c r="N140" s="49">
        <f t="shared" si="21"/>
        <v>0</v>
      </c>
      <c r="O140" s="81">
        <f t="shared" si="22"/>
        <v>0</v>
      </c>
      <c r="P140">
        <v>15</v>
      </c>
    </row>
    <row r="141" spans="1:16" s="33" customFormat="1" ht="15" customHeight="1" x14ac:dyDescent="0.2">
      <c r="A141" s="46" t="s">
        <v>53</v>
      </c>
      <c r="B141" s="47">
        <v>2</v>
      </c>
      <c r="C141" s="48">
        <v>0</v>
      </c>
      <c r="D141" s="48">
        <v>0</v>
      </c>
      <c r="E141" s="48">
        <v>0</v>
      </c>
      <c r="F141" s="48">
        <v>0</v>
      </c>
      <c r="G141" s="48">
        <v>0</v>
      </c>
      <c r="H141" s="48">
        <v>0</v>
      </c>
      <c r="I141" s="48">
        <v>0</v>
      </c>
      <c r="J141" s="48">
        <v>0</v>
      </c>
      <c r="K141" s="49">
        <f t="shared" si="18"/>
        <v>0</v>
      </c>
      <c r="L141" s="49">
        <f t="shared" si="19"/>
        <v>0</v>
      </c>
      <c r="M141" s="49">
        <f t="shared" si="20"/>
        <v>0</v>
      </c>
      <c r="N141" s="49">
        <f t="shared" si="21"/>
        <v>0</v>
      </c>
      <c r="O141" s="81">
        <f t="shared" si="22"/>
        <v>0</v>
      </c>
      <c r="P141">
        <v>15</v>
      </c>
    </row>
    <row r="142" spans="1:16" s="33" customFormat="1" ht="15" customHeight="1" x14ac:dyDescent="0.2">
      <c r="A142" s="46" t="s">
        <v>54</v>
      </c>
      <c r="B142" s="47">
        <v>2</v>
      </c>
      <c r="C142" s="48">
        <v>0</v>
      </c>
      <c r="D142" s="48">
        <v>0</v>
      </c>
      <c r="E142" s="48">
        <v>0</v>
      </c>
      <c r="F142" s="48">
        <v>0</v>
      </c>
      <c r="G142" s="48">
        <v>0</v>
      </c>
      <c r="H142" s="48">
        <v>0</v>
      </c>
      <c r="I142" s="48">
        <v>0</v>
      </c>
      <c r="J142" s="48">
        <v>0</v>
      </c>
      <c r="K142" s="49">
        <f t="shared" si="18"/>
        <v>0</v>
      </c>
      <c r="L142" s="49">
        <f t="shared" si="19"/>
        <v>0</v>
      </c>
      <c r="M142" s="49">
        <f t="shared" si="20"/>
        <v>0</v>
      </c>
      <c r="N142" s="49">
        <f t="shared" si="21"/>
        <v>0</v>
      </c>
      <c r="O142" s="81">
        <f t="shared" si="22"/>
        <v>0</v>
      </c>
      <c r="P142">
        <v>15</v>
      </c>
    </row>
    <row r="143" spans="1:16" s="33" customFormat="1" ht="15" customHeight="1" x14ac:dyDescent="0.2">
      <c r="A143" s="46" t="s">
        <v>55</v>
      </c>
      <c r="B143" s="47">
        <v>2</v>
      </c>
      <c r="C143" s="48">
        <v>0</v>
      </c>
      <c r="D143" s="48">
        <v>0</v>
      </c>
      <c r="E143" s="48">
        <v>0</v>
      </c>
      <c r="F143" s="48">
        <v>0</v>
      </c>
      <c r="G143" s="48">
        <v>0</v>
      </c>
      <c r="H143" s="48">
        <v>0</v>
      </c>
      <c r="I143" s="48">
        <v>0</v>
      </c>
      <c r="J143" s="48">
        <v>0</v>
      </c>
      <c r="K143" s="49">
        <f t="shared" si="18"/>
        <v>0</v>
      </c>
      <c r="L143" s="49">
        <f t="shared" si="19"/>
        <v>0</v>
      </c>
      <c r="M143" s="49">
        <f t="shared" si="20"/>
        <v>0</v>
      </c>
      <c r="N143" s="49">
        <f t="shared" si="21"/>
        <v>0</v>
      </c>
      <c r="O143" s="81">
        <f t="shared" si="22"/>
        <v>0</v>
      </c>
      <c r="P143">
        <v>15</v>
      </c>
    </row>
    <row r="144" spans="1:16" s="33" customFormat="1" ht="15" customHeight="1" x14ac:dyDescent="0.2">
      <c r="A144" s="46" t="s">
        <v>56</v>
      </c>
      <c r="B144" s="47">
        <v>2</v>
      </c>
      <c r="C144" s="48">
        <v>0</v>
      </c>
      <c r="D144" s="48">
        <v>0</v>
      </c>
      <c r="E144" s="48">
        <v>0</v>
      </c>
      <c r="F144" s="48">
        <v>0</v>
      </c>
      <c r="G144" s="48">
        <v>0</v>
      </c>
      <c r="H144" s="48">
        <v>0</v>
      </c>
      <c r="I144" s="48">
        <v>0</v>
      </c>
      <c r="J144" s="48">
        <v>0</v>
      </c>
      <c r="K144" s="49">
        <f t="shared" si="18"/>
        <v>0</v>
      </c>
      <c r="L144" s="49">
        <f t="shared" si="19"/>
        <v>0</v>
      </c>
      <c r="M144" s="49">
        <f t="shared" si="20"/>
        <v>0</v>
      </c>
      <c r="N144" s="49">
        <f t="shared" si="21"/>
        <v>0</v>
      </c>
      <c r="O144" s="81">
        <f t="shared" si="22"/>
        <v>0</v>
      </c>
      <c r="P144">
        <v>15</v>
      </c>
    </row>
    <row r="145" spans="1:16" s="33" customFormat="1" ht="15" customHeight="1" x14ac:dyDescent="0.2">
      <c r="A145" s="46" t="s">
        <v>57</v>
      </c>
      <c r="B145" s="47">
        <v>2</v>
      </c>
      <c r="C145" s="48">
        <v>0</v>
      </c>
      <c r="D145" s="48">
        <v>0</v>
      </c>
      <c r="E145" s="48">
        <v>0</v>
      </c>
      <c r="F145" s="48">
        <v>0</v>
      </c>
      <c r="G145" s="48">
        <v>0</v>
      </c>
      <c r="H145" s="48">
        <v>0</v>
      </c>
      <c r="I145" s="48">
        <v>0</v>
      </c>
      <c r="J145" s="48">
        <v>0</v>
      </c>
      <c r="K145" s="49">
        <f t="shared" si="18"/>
        <v>0</v>
      </c>
      <c r="L145" s="49">
        <f t="shared" si="19"/>
        <v>0</v>
      </c>
      <c r="M145" s="49">
        <f t="shared" si="20"/>
        <v>0</v>
      </c>
      <c r="N145" s="49">
        <f t="shared" si="21"/>
        <v>0</v>
      </c>
      <c r="O145" s="81">
        <f t="shared" si="22"/>
        <v>0</v>
      </c>
      <c r="P145">
        <v>15</v>
      </c>
    </row>
    <row r="146" spans="1:16" s="33" customFormat="1" ht="15" customHeight="1" x14ac:dyDescent="0.2">
      <c r="A146" s="46" t="s">
        <v>58</v>
      </c>
      <c r="B146" s="47">
        <v>2</v>
      </c>
      <c r="C146" s="48">
        <v>0</v>
      </c>
      <c r="D146" s="48">
        <v>0</v>
      </c>
      <c r="E146" s="48">
        <v>1</v>
      </c>
      <c r="F146" s="48">
        <v>0</v>
      </c>
      <c r="G146" s="48">
        <v>0</v>
      </c>
      <c r="H146" s="48">
        <v>0</v>
      </c>
      <c r="I146" s="48">
        <v>0</v>
      </c>
      <c r="J146" s="48">
        <v>0</v>
      </c>
      <c r="K146" s="49">
        <f t="shared" si="18"/>
        <v>1</v>
      </c>
      <c r="L146" s="49">
        <f t="shared" si="19"/>
        <v>0</v>
      </c>
      <c r="M146" s="49">
        <f t="shared" si="20"/>
        <v>0</v>
      </c>
      <c r="N146" s="49">
        <f t="shared" si="21"/>
        <v>0</v>
      </c>
      <c r="O146" s="81">
        <f t="shared" si="22"/>
        <v>0</v>
      </c>
      <c r="P146">
        <v>15</v>
      </c>
    </row>
    <row r="147" spans="1:16" s="33" customFormat="1" ht="15" customHeight="1" x14ac:dyDescent="0.2">
      <c r="A147" s="46" t="s">
        <v>59</v>
      </c>
      <c r="B147" s="47">
        <v>2</v>
      </c>
      <c r="C147" s="48">
        <v>0</v>
      </c>
      <c r="D147" s="48">
        <v>0</v>
      </c>
      <c r="E147" s="48">
        <v>1</v>
      </c>
      <c r="F147" s="48">
        <v>0</v>
      </c>
      <c r="G147" s="48">
        <v>0</v>
      </c>
      <c r="H147" s="48">
        <v>0</v>
      </c>
      <c r="I147" s="48">
        <v>0</v>
      </c>
      <c r="J147" s="48">
        <v>0</v>
      </c>
      <c r="K147" s="49">
        <f t="shared" si="18"/>
        <v>1</v>
      </c>
      <c r="L147" s="49">
        <f t="shared" si="19"/>
        <v>0</v>
      </c>
      <c r="M147" s="49">
        <f t="shared" si="20"/>
        <v>0</v>
      </c>
      <c r="N147" s="49">
        <f t="shared" si="21"/>
        <v>0</v>
      </c>
      <c r="O147" s="81">
        <f t="shared" si="22"/>
        <v>0</v>
      </c>
      <c r="P147">
        <v>15</v>
      </c>
    </row>
    <row r="148" spans="1:16" s="33" customFormat="1" ht="15" customHeight="1" x14ac:dyDescent="0.2">
      <c r="A148" s="46" t="s">
        <v>60</v>
      </c>
      <c r="B148" s="47">
        <v>2</v>
      </c>
      <c r="C148" s="48">
        <v>0</v>
      </c>
      <c r="D148" s="48">
        <v>0</v>
      </c>
      <c r="E148" s="48">
        <v>0</v>
      </c>
      <c r="F148" s="48">
        <v>0</v>
      </c>
      <c r="G148" s="48">
        <v>0</v>
      </c>
      <c r="H148" s="48">
        <v>0</v>
      </c>
      <c r="I148" s="48">
        <v>0</v>
      </c>
      <c r="J148" s="48">
        <v>0</v>
      </c>
      <c r="K148" s="49">
        <f t="shared" si="18"/>
        <v>0</v>
      </c>
      <c r="L148" s="49">
        <f t="shared" si="19"/>
        <v>0</v>
      </c>
      <c r="M148" s="49">
        <f t="shared" si="20"/>
        <v>0</v>
      </c>
      <c r="N148" s="49">
        <f t="shared" si="21"/>
        <v>0</v>
      </c>
      <c r="O148" s="81">
        <f t="shared" si="22"/>
        <v>0</v>
      </c>
      <c r="P148">
        <v>15</v>
      </c>
    </row>
    <row r="149" spans="1:16" s="33" customFormat="1" ht="15" customHeight="1" x14ac:dyDescent="0.2">
      <c r="A149" s="46" t="s">
        <v>61</v>
      </c>
      <c r="B149" s="47">
        <v>2</v>
      </c>
      <c r="C149" s="48">
        <v>0</v>
      </c>
      <c r="D149" s="48">
        <v>0</v>
      </c>
      <c r="E149" s="48">
        <v>0</v>
      </c>
      <c r="F149" s="48">
        <v>1</v>
      </c>
      <c r="G149" s="48">
        <v>0</v>
      </c>
      <c r="H149" s="48">
        <v>0</v>
      </c>
      <c r="I149" s="48">
        <v>0</v>
      </c>
      <c r="J149" s="48">
        <v>0</v>
      </c>
      <c r="K149" s="49">
        <f t="shared" si="18"/>
        <v>0</v>
      </c>
      <c r="L149" s="49">
        <f t="shared" si="19"/>
        <v>0</v>
      </c>
      <c r="M149" s="49">
        <f t="shared" si="20"/>
        <v>1</v>
      </c>
      <c r="N149" s="49">
        <f t="shared" si="21"/>
        <v>0</v>
      </c>
      <c r="O149" s="81">
        <f t="shared" si="22"/>
        <v>1</v>
      </c>
      <c r="P149">
        <v>15</v>
      </c>
    </row>
    <row r="150" spans="1:16" s="33" customFormat="1" ht="15" customHeight="1" x14ac:dyDescent="0.2">
      <c r="A150" s="46" t="s">
        <v>62</v>
      </c>
      <c r="B150" s="47">
        <v>2</v>
      </c>
      <c r="C150" s="48">
        <v>0</v>
      </c>
      <c r="D150" s="48">
        <v>0</v>
      </c>
      <c r="E150" s="48">
        <v>0</v>
      </c>
      <c r="F150" s="48">
        <v>0</v>
      </c>
      <c r="G150" s="48">
        <v>0</v>
      </c>
      <c r="H150" s="48">
        <v>0</v>
      </c>
      <c r="I150" s="48">
        <v>0</v>
      </c>
      <c r="J150" s="48">
        <v>0</v>
      </c>
      <c r="K150" s="49">
        <f t="shared" si="18"/>
        <v>0</v>
      </c>
      <c r="L150" s="49">
        <f t="shared" si="19"/>
        <v>0</v>
      </c>
      <c r="M150" s="49">
        <f t="shared" si="20"/>
        <v>0</v>
      </c>
      <c r="N150" s="49">
        <f t="shared" si="21"/>
        <v>0</v>
      </c>
      <c r="O150" s="81">
        <f t="shared" si="22"/>
        <v>0</v>
      </c>
      <c r="P150">
        <v>15</v>
      </c>
    </row>
    <row r="151" spans="1:16" s="33" customFormat="1" ht="15" customHeight="1" x14ac:dyDescent="0.2">
      <c r="A151" s="46" t="s">
        <v>63</v>
      </c>
      <c r="B151" s="47">
        <v>2</v>
      </c>
      <c r="C151" s="48">
        <v>1</v>
      </c>
      <c r="D151" s="48">
        <v>0</v>
      </c>
      <c r="E151" s="48">
        <v>0</v>
      </c>
      <c r="F151" s="48">
        <v>0</v>
      </c>
      <c r="G151" s="48">
        <v>0</v>
      </c>
      <c r="H151" s="48">
        <v>0</v>
      </c>
      <c r="I151" s="48">
        <v>0</v>
      </c>
      <c r="J151" s="48">
        <v>0</v>
      </c>
      <c r="K151" s="49">
        <f t="shared" si="18"/>
        <v>0</v>
      </c>
      <c r="L151" s="49">
        <f t="shared" si="19"/>
        <v>0</v>
      </c>
      <c r="M151" s="49">
        <f t="shared" si="20"/>
        <v>0</v>
      </c>
      <c r="N151" s="49">
        <f t="shared" si="21"/>
        <v>0</v>
      </c>
      <c r="O151" s="81">
        <f t="shared" si="22"/>
        <v>0</v>
      </c>
      <c r="P151">
        <v>15</v>
      </c>
    </row>
    <row r="152" spans="1:16" s="33" customFormat="1" ht="15" customHeight="1" x14ac:dyDescent="0.2">
      <c r="A152" s="46" t="s">
        <v>64</v>
      </c>
      <c r="B152" s="47">
        <v>2</v>
      </c>
      <c r="C152" s="48">
        <v>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8">
        <v>0</v>
      </c>
      <c r="K152" s="49">
        <f t="shared" si="18"/>
        <v>0</v>
      </c>
      <c r="L152" s="49">
        <f t="shared" si="19"/>
        <v>1</v>
      </c>
      <c r="M152" s="49">
        <f t="shared" si="20"/>
        <v>0</v>
      </c>
      <c r="N152" s="49">
        <f t="shared" si="21"/>
        <v>0</v>
      </c>
      <c r="O152" s="81">
        <f t="shared" si="22"/>
        <v>0</v>
      </c>
      <c r="P152">
        <v>15</v>
      </c>
    </row>
    <row r="153" spans="1:16" s="33" customFormat="1" ht="15" customHeight="1" x14ac:dyDescent="0.2">
      <c r="A153" s="46" t="s">
        <v>65</v>
      </c>
      <c r="B153" s="47">
        <v>2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2</v>
      </c>
      <c r="J153" s="48">
        <v>0</v>
      </c>
      <c r="K153" s="49">
        <f t="shared" si="18"/>
        <v>0</v>
      </c>
      <c r="L153" s="49">
        <f t="shared" si="19"/>
        <v>0</v>
      </c>
      <c r="M153" s="49">
        <f t="shared" si="20"/>
        <v>0</v>
      </c>
      <c r="N153" s="49">
        <f t="shared" si="21"/>
        <v>0</v>
      </c>
      <c r="O153" s="81">
        <f t="shared" si="22"/>
        <v>0</v>
      </c>
      <c r="P153">
        <v>15</v>
      </c>
    </row>
    <row r="154" spans="1:16" s="33" customFormat="1" ht="15" customHeight="1" x14ac:dyDescent="0.2">
      <c r="A154" s="46" t="s">
        <v>66</v>
      </c>
      <c r="B154" s="47">
        <v>2</v>
      </c>
      <c r="C154" s="48">
        <v>0</v>
      </c>
      <c r="D154" s="48">
        <v>0</v>
      </c>
      <c r="E154" s="48">
        <v>0</v>
      </c>
      <c r="F154" s="48">
        <v>0</v>
      </c>
      <c r="G154" s="48">
        <v>0</v>
      </c>
      <c r="H154" s="48">
        <v>0</v>
      </c>
      <c r="I154" s="48">
        <v>0</v>
      </c>
      <c r="J154" s="48">
        <v>0</v>
      </c>
      <c r="K154" s="49">
        <f t="shared" si="18"/>
        <v>0</v>
      </c>
      <c r="L154" s="49">
        <f t="shared" si="19"/>
        <v>2</v>
      </c>
      <c r="M154" s="49">
        <f t="shared" si="20"/>
        <v>0</v>
      </c>
      <c r="N154" s="49">
        <f t="shared" si="21"/>
        <v>0</v>
      </c>
      <c r="O154" s="81">
        <f t="shared" si="22"/>
        <v>0</v>
      </c>
      <c r="P154">
        <v>15</v>
      </c>
    </row>
    <row r="155" spans="1:16" s="33" customFormat="1" ht="15" customHeight="1" x14ac:dyDescent="0.2">
      <c r="A155" s="46" t="s">
        <v>67</v>
      </c>
      <c r="B155" s="47">
        <v>2</v>
      </c>
      <c r="C155" s="48">
        <v>0</v>
      </c>
      <c r="D155" s="48">
        <v>0</v>
      </c>
      <c r="E155" s="48">
        <v>0</v>
      </c>
      <c r="F155" s="48">
        <v>0</v>
      </c>
      <c r="G155" s="48">
        <v>0</v>
      </c>
      <c r="H155" s="48">
        <v>0</v>
      </c>
      <c r="I155" s="48">
        <v>0</v>
      </c>
      <c r="J155" s="48">
        <v>1</v>
      </c>
      <c r="K155" s="49">
        <f t="shared" si="18"/>
        <v>0</v>
      </c>
      <c r="L155" s="49">
        <f t="shared" si="19"/>
        <v>0</v>
      </c>
      <c r="M155" s="49">
        <f t="shared" si="20"/>
        <v>0</v>
      </c>
      <c r="N155" s="49">
        <f t="shared" si="21"/>
        <v>0</v>
      </c>
      <c r="O155" s="81">
        <f t="shared" si="22"/>
        <v>0</v>
      </c>
      <c r="P155">
        <v>15</v>
      </c>
    </row>
    <row r="156" spans="1:16" s="33" customFormat="1" ht="15" customHeight="1" x14ac:dyDescent="0.2">
      <c r="A156" s="46" t="s">
        <v>68</v>
      </c>
      <c r="B156" s="47">
        <v>2</v>
      </c>
      <c r="C156" s="48">
        <v>0</v>
      </c>
      <c r="D156" s="48">
        <v>0</v>
      </c>
      <c r="E156" s="48">
        <v>0</v>
      </c>
      <c r="F156" s="48">
        <v>0</v>
      </c>
      <c r="G156" s="48">
        <v>0</v>
      </c>
      <c r="H156" s="48">
        <v>0</v>
      </c>
      <c r="I156" s="48">
        <v>0</v>
      </c>
      <c r="J156" s="48">
        <v>0</v>
      </c>
      <c r="K156" s="49">
        <f t="shared" si="18"/>
        <v>0</v>
      </c>
      <c r="L156" s="49">
        <f t="shared" si="19"/>
        <v>0</v>
      </c>
      <c r="M156" s="49">
        <f t="shared" si="20"/>
        <v>0</v>
      </c>
      <c r="N156" s="49">
        <f t="shared" si="21"/>
        <v>1</v>
      </c>
      <c r="O156" s="81">
        <f t="shared" si="22"/>
        <v>0</v>
      </c>
      <c r="P156">
        <v>15</v>
      </c>
    </row>
    <row r="157" spans="1:16" s="33" customFormat="1" ht="15" customHeight="1" x14ac:dyDescent="0.2">
      <c r="A157" s="46" t="s">
        <v>69</v>
      </c>
      <c r="B157" s="47">
        <v>2</v>
      </c>
      <c r="C157" s="48">
        <v>0</v>
      </c>
      <c r="D157" s="48">
        <v>0</v>
      </c>
      <c r="E157" s="48">
        <v>2</v>
      </c>
      <c r="F157" s="48">
        <v>0</v>
      </c>
      <c r="G157" s="48">
        <v>0</v>
      </c>
      <c r="H157" s="48">
        <v>0</v>
      </c>
      <c r="I157" s="48">
        <v>0</v>
      </c>
      <c r="J157" s="48">
        <v>0</v>
      </c>
      <c r="K157" s="49">
        <f t="shared" si="18"/>
        <v>2</v>
      </c>
      <c r="L157" s="49">
        <f t="shared" si="19"/>
        <v>0</v>
      </c>
      <c r="M157" s="49">
        <f t="shared" si="20"/>
        <v>0</v>
      </c>
      <c r="N157" s="49">
        <f t="shared" si="21"/>
        <v>0</v>
      </c>
      <c r="O157" s="81">
        <f t="shared" si="22"/>
        <v>0</v>
      </c>
      <c r="P157">
        <v>15</v>
      </c>
    </row>
    <row r="158" spans="1:16" s="33" customFormat="1" ht="15" customHeight="1" x14ac:dyDescent="0.2">
      <c r="A158" s="46" t="s">
        <v>70</v>
      </c>
      <c r="B158" s="47">
        <v>2</v>
      </c>
      <c r="C158" s="48">
        <v>0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8">
        <v>1</v>
      </c>
      <c r="J158" s="48">
        <v>0</v>
      </c>
      <c r="K158" s="49">
        <f t="shared" si="18"/>
        <v>0</v>
      </c>
      <c r="L158" s="49">
        <f t="shared" si="19"/>
        <v>0</v>
      </c>
      <c r="M158" s="49">
        <f t="shared" si="20"/>
        <v>0</v>
      </c>
      <c r="N158" s="49">
        <f t="shared" si="21"/>
        <v>0</v>
      </c>
      <c r="O158" s="81">
        <f t="shared" si="22"/>
        <v>0</v>
      </c>
      <c r="P158">
        <v>15</v>
      </c>
    </row>
    <row r="159" spans="1:16" s="33" customFormat="1" ht="15" customHeight="1" x14ac:dyDescent="0.2">
      <c r="A159" s="46" t="s">
        <v>71</v>
      </c>
      <c r="B159" s="47">
        <v>2</v>
      </c>
      <c r="C159" s="48">
        <v>0</v>
      </c>
      <c r="D159" s="48">
        <v>0</v>
      </c>
      <c r="E159" s="48">
        <v>0</v>
      </c>
      <c r="F159" s="48">
        <v>0</v>
      </c>
      <c r="G159" s="48">
        <v>0</v>
      </c>
      <c r="H159" s="48">
        <v>0</v>
      </c>
      <c r="I159" s="48">
        <v>0</v>
      </c>
      <c r="J159" s="48">
        <v>0</v>
      </c>
      <c r="K159" s="49">
        <f t="shared" si="18"/>
        <v>0</v>
      </c>
      <c r="L159" s="49">
        <f t="shared" si="19"/>
        <v>1</v>
      </c>
      <c r="M159" s="49">
        <f t="shared" si="20"/>
        <v>0</v>
      </c>
      <c r="N159" s="49">
        <f t="shared" si="21"/>
        <v>0</v>
      </c>
      <c r="O159" s="81">
        <f t="shared" si="22"/>
        <v>0</v>
      </c>
      <c r="P159">
        <v>15</v>
      </c>
    </row>
    <row r="160" spans="1:16" s="33" customFormat="1" ht="15" customHeight="1" x14ac:dyDescent="0.2">
      <c r="A160" s="46" t="s">
        <v>72</v>
      </c>
      <c r="B160" s="47">
        <v>2</v>
      </c>
      <c r="C160" s="48">
        <v>0</v>
      </c>
      <c r="D160" s="48">
        <v>0</v>
      </c>
      <c r="E160" s="48">
        <v>0</v>
      </c>
      <c r="F160" s="48">
        <v>0</v>
      </c>
      <c r="G160" s="48">
        <v>0</v>
      </c>
      <c r="H160" s="48">
        <v>0</v>
      </c>
      <c r="I160" s="48">
        <v>0</v>
      </c>
      <c r="J160" s="48">
        <v>0</v>
      </c>
      <c r="K160" s="49">
        <f t="shared" si="18"/>
        <v>0</v>
      </c>
      <c r="L160" s="49">
        <f t="shared" si="19"/>
        <v>0</v>
      </c>
      <c r="M160" s="49">
        <f t="shared" si="20"/>
        <v>0</v>
      </c>
      <c r="N160" s="49">
        <f t="shared" si="21"/>
        <v>0</v>
      </c>
      <c r="O160" s="81">
        <f t="shared" si="22"/>
        <v>0</v>
      </c>
      <c r="P160">
        <v>15</v>
      </c>
    </row>
    <row r="161" spans="1:16" s="33" customFormat="1" ht="15" customHeight="1" x14ac:dyDescent="0.2">
      <c r="A161" s="46" t="s">
        <v>73</v>
      </c>
      <c r="B161" s="47">
        <v>2</v>
      </c>
      <c r="C161" s="48">
        <v>0</v>
      </c>
      <c r="D161" s="48">
        <v>0</v>
      </c>
      <c r="E161" s="48">
        <v>0</v>
      </c>
      <c r="F161" s="48">
        <v>0</v>
      </c>
      <c r="G161" s="48">
        <v>0</v>
      </c>
      <c r="H161" s="48">
        <v>0</v>
      </c>
      <c r="I161" s="48">
        <v>0</v>
      </c>
      <c r="J161" s="48">
        <v>0</v>
      </c>
      <c r="K161" s="49">
        <f t="shared" si="18"/>
        <v>0</v>
      </c>
      <c r="L161" s="49">
        <f t="shared" si="19"/>
        <v>0</v>
      </c>
      <c r="M161" s="49">
        <f t="shared" si="20"/>
        <v>0</v>
      </c>
      <c r="N161" s="49">
        <f t="shared" si="21"/>
        <v>0</v>
      </c>
      <c r="O161" s="81">
        <f t="shared" si="22"/>
        <v>0</v>
      </c>
      <c r="P161">
        <v>15</v>
      </c>
    </row>
    <row r="162" spans="1:16" s="33" customFormat="1" ht="15" customHeight="1" x14ac:dyDescent="0.2">
      <c r="A162" s="46" t="s">
        <v>74</v>
      </c>
      <c r="B162" s="47">
        <v>2</v>
      </c>
      <c r="C162" s="48">
        <v>0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8">
        <v>0</v>
      </c>
      <c r="J162" s="48">
        <v>0</v>
      </c>
      <c r="K162" s="49">
        <f t="shared" si="18"/>
        <v>0</v>
      </c>
      <c r="L162" s="49">
        <f t="shared" si="19"/>
        <v>0</v>
      </c>
      <c r="M162" s="49">
        <f t="shared" si="20"/>
        <v>0</v>
      </c>
      <c r="N162" s="49">
        <f t="shared" si="21"/>
        <v>0</v>
      </c>
      <c r="O162" s="81">
        <f t="shared" si="22"/>
        <v>0</v>
      </c>
      <c r="P162">
        <v>15</v>
      </c>
    </row>
    <row r="163" spans="1:16" s="33" customFormat="1" ht="15" customHeight="1" x14ac:dyDescent="0.2">
      <c r="A163" s="46" t="s">
        <v>75</v>
      </c>
      <c r="B163" s="47">
        <v>2</v>
      </c>
      <c r="C163" s="48">
        <v>0</v>
      </c>
      <c r="D163" s="48">
        <v>0</v>
      </c>
      <c r="E163" s="48">
        <v>0</v>
      </c>
      <c r="F163" s="48">
        <v>0</v>
      </c>
      <c r="G163" s="48">
        <v>6</v>
      </c>
      <c r="H163" s="48">
        <v>0</v>
      </c>
      <c r="I163" s="48">
        <v>12</v>
      </c>
      <c r="J163" s="48">
        <v>0</v>
      </c>
      <c r="K163" s="49">
        <f t="shared" si="18"/>
        <v>6</v>
      </c>
      <c r="L163" s="49">
        <f t="shared" si="19"/>
        <v>0</v>
      </c>
      <c r="M163" s="49">
        <f t="shared" si="20"/>
        <v>0</v>
      </c>
      <c r="N163" s="49">
        <f t="shared" si="21"/>
        <v>0</v>
      </c>
      <c r="O163" s="81">
        <f t="shared" si="22"/>
        <v>6</v>
      </c>
      <c r="P163">
        <v>15</v>
      </c>
    </row>
    <row r="164" spans="1:16" s="33" customFormat="1" ht="15" customHeight="1" x14ac:dyDescent="0.2">
      <c r="A164" s="46" t="s">
        <v>76</v>
      </c>
      <c r="B164" s="47">
        <v>2</v>
      </c>
      <c r="C164" s="48">
        <v>2</v>
      </c>
      <c r="D164" s="48">
        <v>0</v>
      </c>
      <c r="E164" s="48">
        <v>0</v>
      </c>
      <c r="F164" s="48">
        <v>0</v>
      </c>
      <c r="G164" s="48">
        <v>0</v>
      </c>
      <c r="H164" s="48">
        <v>0</v>
      </c>
      <c r="I164" s="48">
        <v>1</v>
      </c>
      <c r="J164" s="48">
        <v>0</v>
      </c>
      <c r="K164" s="49">
        <f t="shared" si="18"/>
        <v>0</v>
      </c>
      <c r="L164" s="49">
        <f t="shared" si="19"/>
        <v>12</v>
      </c>
      <c r="M164" s="49">
        <f t="shared" si="20"/>
        <v>0</v>
      </c>
      <c r="N164" s="49">
        <f t="shared" si="21"/>
        <v>0</v>
      </c>
      <c r="O164" s="81">
        <f t="shared" si="22"/>
        <v>0</v>
      </c>
      <c r="P164">
        <v>15</v>
      </c>
    </row>
    <row r="165" spans="1:16" s="33" customFormat="1" ht="15" customHeight="1" x14ac:dyDescent="0.2">
      <c r="A165" s="46" t="s">
        <v>77</v>
      </c>
      <c r="B165" s="47">
        <v>2</v>
      </c>
      <c r="C165" s="48">
        <v>0</v>
      </c>
      <c r="D165" s="48">
        <v>0</v>
      </c>
      <c r="E165" s="48">
        <v>0</v>
      </c>
      <c r="F165" s="48">
        <v>1</v>
      </c>
      <c r="G165" s="48">
        <v>1</v>
      </c>
      <c r="H165" s="48">
        <v>0</v>
      </c>
      <c r="I165" s="48">
        <v>0</v>
      </c>
      <c r="J165" s="48">
        <v>0</v>
      </c>
      <c r="K165" s="49">
        <f t="shared" si="18"/>
        <v>1</v>
      </c>
      <c r="L165" s="49">
        <f t="shared" si="19"/>
        <v>3</v>
      </c>
      <c r="M165" s="49">
        <f t="shared" si="20"/>
        <v>1</v>
      </c>
      <c r="N165" s="49">
        <f t="shared" si="21"/>
        <v>0</v>
      </c>
      <c r="O165" s="81">
        <f t="shared" si="22"/>
        <v>2</v>
      </c>
      <c r="P165">
        <v>15</v>
      </c>
    </row>
    <row r="166" spans="1:16" s="33" customFormat="1" ht="15" customHeight="1" x14ac:dyDescent="0.2">
      <c r="A166" s="46" t="s">
        <v>78</v>
      </c>
      <c r="B166" s="47">
        <v>2</v>
      </c>
      <c r="C166" s="48">
        <v>0</v>
      </c>
      <c r="D166" s="48">
        <v>0</v>
      </c>
      <c r="E166" s="48">
        <v>0</v>
      </c>
      <c r="F166" s="48">
        <v>0</v>
      </c>
      <c r="G166" s="48">
        <v>0</v>
      </c>
      <c r="H166" s="48">
        <v>0</v>
      </c>
      <c r="I166" s="48">
        <v>0</v>
      </c>
      <c r="J166" s="48">
        <v>0</v>
      </c>
      <c r="K166" s="49">
        <f t="shared" si="18"/>
        <v>0</v>
      </c>
      <c r="L166" s="49">
        <f t="shared" si="19"/>
        <v>0</v>
      </c>
      <c r="M166" s="49">
        <f t="shared" si="20"/>
        <v>0</v>
      </c>
      <c r="N166" s="49">
        <f t="shared" si="21"/>
        <v>0</v>
      </c>
      <c r="O166" s="81">
        <f t="shared" si="22"/>
        <v>0</v>
      </c>
      <c r="P166">
        <v>15</v>
      </c>
    </row>
    <row r="167" spans="1:16" s="33" customFormat="1" ht="15" customHeight="1" x14ac:dyDescent="0.2">
      <c r="A167" s="46" t="s">
        <v>79</v>
      </c>
      <c r="B167" s="47">
        <v>2</v>
      </c>
      <c r="C167" s="48">
        <v>0</v>
      </c>
      <c r="D167" s="48">
        <v>0</v>
      </c>
      <c r="E167" s="48">
        <v>0</v>
      </c>
      <c r="F167" s="48">
        <v>1</v>
      </c>
      <c r="G167" s="48">
        <v>0</v>
      </c>
      <c r="H167" s="48">
        <v>0</v>
      </c>
      <c r="I167" s="48">
        <v>0</v>
      </c>
      <c r="J167" s="48">
        <v>0</v>
      </c>
      <c r="K167" s="49">
        <f t="shared" ref="K167:K198" si="23">SUM(E167,G167)</f>
        <v>0</v>
      </c>
      <c r="L167" s="49">
        <f t="shared" ref="L167:L198" si="24">SUM(C166,I166)</f>
        <v>0</v>
      </c>
      <c r="M167" s="49">
        <f t="shared" ref="M167:M198" si="25">SUM(F167,H167)</f>
        <v>1</v>
      </c>
      <c r="N167" s="49">
        <f t="shared" ref="N167:N198" si="26">SUM(D166,J166)</f>
        <v>0</v>
      </c>
      <c r="O167" s="81">
        <f t="shared" si="22"/>
        <v>1</v>
      </c>
      <c r="P167">
        <v>15</v>
      </c>
    </row>
    <row r="168" spans="1:16" s="33" customFormat="1" ht="15" customHeight="1" x14ac:dyDescent="0.2">
      <c r="A168" s="46" t="s">
        <v>80</v>
      </c>
      <c r="B168" s="47">
        <v>2</v>
      </c>
      <c r="C168" s="48">
        <v>0</v>
      </c>
      <c r="D168" s="48">
        <v>0</v>
      </c>
      <c r="E168" s="48">
        <v>1</v>
      </c>
      <c r="F168" s="48">
        <v>0</v>
      </c>
      <c r="G168" s="48">
        <v>0</v>
      </c>
      <c r="H168" s="48">
        <v>0</v>
      </c>
      <c r="I168" s="48">
        <v>0</v>
      </c>
      <c r="J168" s="48">
        <v>0</v>
      </c>
      <c r="K168" s="49">
        <f t="shared" si="23"/>
        <v>1</v>
      </c>
      <c r="L168" s="49">
        <f t="shared" si="24"/>
        <v>0</v>
      </c>
      <c r="M168" s="49">
        <f t="shared" si="25"/>
        <v>0</v>
      </c>
      <c r="N168" s="49">
        <f t="shared" si="26"/>
        <v>0</v>
      </c>
      <c r="O168" s="81">
        <f t="shared" si="22"/>
        <v>0</v>
      </c>
      <c r="P168">
        <v>15</v>
      </c>
    </row>
    <row r="169" spans="1:16" s="33" customFormat="1" ht="15" customHeight="1" x14ac:dyDescent="0.2">
      <c r="A169" s="46" t="s">
        <v>81</v>
      </c>
      <c r="B169" s="47">
        <v>2</v>
      </c>
      <c r="C169" s="48">
        <v>0</v>
      </c>
      <c r="D169" s="48">
        <v>0</v>
      </c>
      <c r="E169" s="48">
        <v>0</v>
      </c>
      <c r="F169" s="48">
        <v>0</v>
      </c>
      <c r="G169" s="48">
        <v>0</v>
      </c>
      <c r="H169" s="48">
        <v>0</v>
      </c>
      <c r="I169" s="48">
        <v>0</v>
      </c>
      <c r="J169" s="48">
        <v>0</v>
      </c>
      <c r="K169" s="49">
        <f t="shared" si="23"/>
        <v>0</v>
      </c>
      <c r="L169" s="49">
        <f t="shared" si="24"/>
        <v>0</v>
      </c>
      <c r="M169" s="49">
        <f t="shared" si="25"/>
        <v>0</v>
      </c>
      <c r="N169" s="49">
        <f t="shared" si="26"/>
        <v>0</v>
      </c>
      <c r="O169" s="81">
        <f t="shared" si="22"/>
        <v>0</v>
      </c>
      <c r="P169">
        <v>15</v>
      </c>
    </row>
    <row r="170" spans="1:16" s="33" customFormat="1" ht="15" customHeight="1" x14ac:dyDescent="0.2">
      <c r="A170" s="46" t="s">
        <v>82</v>
      </c>
      <c r="B170" s="47">
        <v>2</v>
      </c>
      <c r="C170" s="48">
        <v>0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8">
        <v>0</v>
      </c>
      <c r="J170" s="48">
        <v>0</v>
      </c>
      <c r="K170" s="49">
        <f t="shared" si="23"/>
        <v>0</v>
      </c>
      <c r="L170" s="49">
        <f t="shared" si="24"/>
        <v>0</v>
      </c>
      <c r="M170" s="49">
        <f t="shared" si="25"/>
        <v>0</v>
      </c>
      <c r="N170" s="49">
        <f t="shared" si="26"/>
        <v>0</v>
      </c>
      <c r="O170" s="81">
        <f t="shared" si="22"/>
        <v>0</v>
      </c>
      <c r="P170">
        <v>15</v>
      </c>
    </row>
    <row r="171" spans="1:16" s="33" customFormat="1" ht="15" customHeight="1" x14ac:dyDescent="0.2">
      <c r="A171" s="46" t="s">
        <v>83</v>
      </c>
      <c r="B171" s="47">
        <v>2</v>
      </c>
      <c r="C171" s="48">
        <v>0</v>
      </c>
      <c r="D171" s="48">
        <v>0</v>
      </c>
      <c r="E171" s="48">
        <v>1</v>
      </c>
      <c r="F171" s="48">
        <v>0</v>
      </c>
      <c r="G171" s="48">
        <v>0</v>
      </c>
      <c r="H171" s="48">
        <v>0</v>
      </c>
      <c r="I171" s="48">
        <v>0</v>
      </c>
      <c r="J171" s="48">
        <v>0</v>
      </c>
      <c r="K171" s="49">
        <f t="shared" si="23"/>
        <v>1</v>
      </c>
      <c r="L171" s="49">
        <f t="shared" si="24"/>
        <v>0</v>
      </c>
      <c r="M171" s="49">
        <f t="shared" si="25"/>
        <v>0</v>
      </c>
      <c r="N171" s="49">
        <f t="shared" si="26"/>
        <v>0</v>
      </c>
      <c r="O171" s="81">
        <f t="shared" si="22"/>
        <v>0</v>
      </c>
      <c r="P171">
        <v>15</v>
      </c>
    </row>
    <row r="172" spans="1:16" s="33" customFormat="1" ht="15" customHeight="1" x14ac:dyDescent="0.2">
      <c r="A172" s="46" t="s">
        <v>84</v>
      </c>
      <c r="B172" s="47">
        <v>2</v>
      </c>
      <c r="C172" s="48">
        <v>0</v>
      </c>
      <c r="D172" s="48">
        <v>0</v>
      </c>
      <c r="E172" s="48">
        <v>0</v>
      </c>
      <c r="F172" s="48">
        <v>1</v>
      </c>
      <c r="G172" s="48">
        <v>0</v>
      </c>
      <c r="H172" s="48">
        <v>0</v>
      </c>
      <c r="I172" s="48">
        <v>0</v>
      </c>
      <c r="J172" s="48">
        <v>0</v>
      </c>
      <c r="K172" s="49">
        <f t="shared" si="23"/>
        <v>0</v>
      </c>
      <c r="L172" s="49">
        <f t="shared" si="24"/>
        <v>0</v>
      </c>
      <c r="M172" s="49">
        <f t="shared" si="25"/>
        <v>1</v>
      </c>
      <c r="N172" s="49">
        <f t="shared" si="26"/>
        <v>0</v>
      </c>
      <c r="O172" s="81">
        <f t="shared" si="22"/>
        <v>1</v>
      </c>
      <c r="P172">
        <v>15</v>
      </c>
    </row>
    <row r="173" spans="1:16" s="33" customFormat="1" ht="15" customHeight="1" x14ac:dyDescent="0.2">
      <c r="A173" s="46" t="s">
        <v>85</v>
      </c>
      <c r="B173" s="47">
        <v>2</v>
      </c>
      <c r="C173" s="48">
        <v>0</v>
      </c>
      <c r="D173" s="48">
        <v>0</v>
      </c>
      <c r="E173" s="48">
        <v>0</v>
      </c>
      <c r="F173" s="48">
        <v>0</v>
      </c>
      <c r="G173" s="48">
        <v>0</v>
      </c>
      <c r="H173" s="48">
        <v>0</v>
      </c>
      <c r="I173" s="48">
        <v>0</v>
      </c>
      <c r="J173" s="48">
        <v>0</v>
      </c>
      <c r="K173" s="49">
        <f t="shared" si="23"/>
        <v>0</v>
      </c>
      <c r="L173" s="49">
        <f t="shared" si="24"/>
        <v>0</v>
      </c>
      <c r="M173" s="49">
        <f t="shared" si="25"/>
        <v>0</v>
      </c>
      <c r="N173" s="49">
        <f t="shared" si="26"/>
        <v>0</v>
      </c>
      <c r="O173" s="81">
        <f t="shared" si="22"/>
        <v>0</v>
      </c>
      <c r="P173">
        <v>15</v>
      </c>
    </row>
    <row r="174" spans="1:16" s="33" customFormat="1" ht="15" customHeight="1" x14ac:dyDescent="0.2">
      <c r="A174" s="46" t="s">
        <v>86</v>
      </c>
      <c r="B174" s="47">
        <v>2</v>
      </c>
      <c r="C174" s="48">
        <v>0</v>
      </c>
      <c r="D174" s="48">
        <v>0</v>
      </c>
      <c r="E174" s="48">
        <v>0</v>
      </c>
      <c r="F174" s="48">
        <v>0</v>
      </c>
      <c r="G174" s="48">
        <v>1</v>
      </c>
      <c r="H174" s="48">
        <v>0</v>
      </c>
      <c r="I174" s="48">
        <v>0</v>
      </c>
      <c r="J174" s="48">
        <v>0</v>
      </c>
      <c r="K174" s="49">
        <f t="shared" si="23"/>
        <v>1</v>
      </c>
      <c r="L174" s="49">
        <f t="shared" si="24"/>
        <v>0</v>
      </c>
      <c r="M174" s="49">
        <f t="shared" si="25"/>
        <v>0</v>
      </c>
      <c r="N174" s="49">
        <f t="shared" si="26"/>
        <v>0</v>
      </c>
      <c r="O174" s="81">
        <f t="shared" si="22"/>
        <v>1</v>
      </c>
      <c r="P174">
        <v>15</v>
      </c>
    </row>
    <row r="175" spans="1:16" s="33" customFormat="1" ht="15" customHeight="1" x14ac:dyDescent="0.2">
      <c r="A175" s="46" t="s">
        <v>87</v>
      </c>
      <c r="B175" s="47">
        <v>2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8">
        <v>0</v>
      </c>
      <c r="K175" s="49">
        <f t="shared" si="23"/>
        <v>0</v>
      </c>
      <c r="L175" s="49">
        <f t="shared" si="24"/>
        <v>0</v>
      </c>
      <c r="M175" s="49">
        <f t="shared" si="25"/>
        <v>0</v>
      </c>
      <c r="N175" s="49">
        <f t="shared" si="26"/>
        <v>0</v>
      </c>
      <c r="O175" s="81">
        <f t="shared" si="22"/>
        <v>0</v>
      </c>
      <c r="P175">
        <v>15</v>
      </c>
    </row>
    <row r="176" spans="1:16" s="33" customFormat="1" ht="15" customHeight="1" x14ac:dyDescent="0.2">
      <c r="A176" s="46" t="s">
        <v>88</v>
      </c>
      <c r="B176" s="47">
        <v>2</v>
      </c>
      <c r="C176" s="48">
        <v>0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8">
        <v>0</v>
      </c>
      <c r="J176" s="48">
        <v>0</v>
      </c>
      <c r="K176" s="49">
        <f t="shared" si="23"/>
        <v>0</v>
      </c>
      <c r="L176" s="49">
        <f t="shared" si="24"/>
        <v>0</v>
      </c>
      <c r="M176" s="49">
        <f t="shared" si="25"/>
        <v>0</v>
      </c>
      <c r="N176" s="49">
        <f t="shared" si="26"/>
        <v>0</v>
      </c>
      <c r="O176" s="81">
        <f t="shared" si="22"/>
        <v>0</v>
      </c>
      <c r="P176">
        <v>15</v>
      </c>
    </row>
    <row r="177" spans="1:16" s="33" customFormat="1" ht="15" customHeight="1" x14ac:dyDescent="0.2">
      <c r="A177" s="46" t="s">
        <v>89</v>
      </c>
      <c r="B177" s="47">
        <v>2</v>
      </c>
      <c r="C177" s="48">
        <v>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8">
        <v>0</v>
      </c>
      <c r="J177" s="48">
        <v>0</v>
      </c>
      <c r="K177" s="49">
        <f t="shared" si="23"/>
        <v>0</v>
      </c>
      <c r="L177" s="49">
        <f t="shared" si="24"/>
        <v>0</v>
      </c>
      <c r="M177" s="49">
        <f t="shared" si="25"/>
        <v>0</v>
      </c>
      <c r="N177" s="49">
        <f t="shared" si="26"/>
        <v>0</v>
      </c>
      <c r="O177" s="81">
        <f t="shared" si="22"/>
        <v>0</v>
      </c>
      <c r="P177">
        <v>15</v>
      </c>
    </row>
    <row r="178" spans="1:16" s="33" customFormat="1" ht="15" customHeight="1" x14ac:dyDescent="0.2">
      <c r="A178" s="46" t="s">
        <v>90</v>
      </c>
      <c r="B178" s="47">
        <v>2</v>
      </c>
      <c r="C178" s="48">
        <v>0</v>
      </c>
      <c r="D178" s="48">
        <v>0</v>
      </c>
      <c r="E178" s="48">
        <v>0</v>
      </c>
      <c r="F178" s="48">
        <v>0</v>
      </c>
      <c r="G178" s="48">
        <v>0</v>
      </c>
      <c r="H178" s="48">
        <v>0</v>
      </c>
      <c r="I178" s="48">
        <v>0</v>
      </c>
      <c r="J178" s="48">
        <v>0</v>
      </c>
      <c r="K178" s="49">
        <f t="shared" si="23"/>
        <v>0</v>
      </c>
      <c r="L178" s="49">
        <f t="shared" si="24"/>
        <v>0</v>
      </c>
      <c r="M178" s="49">
        <f t="shared" si="25"/>
        <v>0</v>
      </c>
      <c r="N178" s="49">
        <f t="shared" si="26"/>
        <v>0</v>
      </c>
      <c r="O178" s="81">
        <f t="shared" si="22"/>
        <v>0</v>
      </c>
      <c r="P178">
        <v>15</v>
      </c>
    </row>
    <row r="179" spans="1:16" s="33" customFormat="1" ht="15" customHeight="1" x14ac:dyDescent="0.2">
      <c r="A179" s="46" t="s">
        <v>91</v>
      </c>
      <c r="B179" s="47">
        <v>2</v>
      </c>
      <c r="C179" s="48">
        <v>0</v>
      </c>
      <c r="D179" s="48">
        <v>0</v>
      </c>
      <c r="E179" s="48">
        <v>0</v>
      </c>
      <c r="F179" s="48">
        <v>0</v>
      </c>
      <c r="G179" s="48">
        <v>0</v>
      </c>
      <c r="H179" s="48">
        <v>0</v>
      </c>
      <c r="I179" s="48">
        <v>0</v>
      </c>
      <c r="J179" s="48">
        <v>0</v>
      </c>
      <c r="K179" s="49">
        <f t="shared" si="23"/>
        <v>0</v>
      </c>
      <c r="L179" s="49">
        <f t="shared" si="24"/>
        <v>0</v>
      </c>
      <c r="M179" s="49">
        <f t="shared" si="25"/>
        <v>0</v>
      </c>
      <c r="N179" s="49">
        <f t="shared" si="26"/>
        <v>0</v>
      </c>
      <c r="O179" s="81">
        <f t="shared" si="22"/>
        <v>0</v>
      </c>
      <c r="P179">
        <v>15</v>
      </c>
    </row>
    <row r="180" spans="1:16" s="33" customFormat="1" ht="15" customHeight="1" x14ac:dyDescent="0.2">
      <c r="A180" s="46" t="s">
        <v>92</v>
      </c>
      <c r="B180" s="47">
        <v>2</v>
      </c>
      <c r="C180" s="48">
        <v>0</v>
      </c>
      <c r="D180" s="48">
        <v>0</v>
      </c>
      <c r="E180" s="48">
        <v>1</v>
      </c>
      <c r="F180" s="48">
        <v>0</v>
      </c>
      <c r="G180" s="48">
        <v>0</v>
      </c>
      <c r="H180" s="48">
        <v>0</v>
      </c>
      <c r="I180" s="48">
        <v>0</v>
      </c>
      <c r="J180" s="48">
        <v>0</v>
      </c>
      <c r="K180" s="49">
        <f t="shared" si="23"/>
        <v>1</v>
      </c>
      <c r="L180" s="49">
        <f t="shared" si="24"/>
        <v>0</v>
      </c>
      <c r="M180" s="49">
        <f t="shared" si="25"/>
        <v>0</v>
      </c>
      <c r="N180" s="49">
        <f t="shared" si="26"/>
        <v>0</v>
      </c>
      <c r="O180" s="81">
        <f t="shared" si="22"/>
        <v>0</v>
      </c>
      <c r="P180">
        <v>15</v>
      </c>
    </row>
    <row r="181" spans="1:16" s="33" customFormat="1" ht="15" customHeight="1" x14ac:dyDescent="0.2">
      <c r="A181" s="46" t="s">
        <v>93</v>
      </c>
      <c r="B181" s="47">
        <v>2</v>
      </c>
      <c r="C181" s="48">
        <v>0</v>
      </c>
      <c r="D181" s="48">
        <v>0</v>
      </c>
      <c r="E181" s="48">
        <v>0</v>
      </c>
      <c r="F181" s="48">
        <v>0</v>
      </c>
      <c r="G181" s="48">
        <v>0</v>
      </c>
      <c r="H181" s="48">
        <v>0</v>
      </c>
      <c r="I181" s="48">
        <v>0</v>
      </c>
      <c r="J181" s="48">
        <v>0</v>
      </c>
      <c r="K181" s="49">
        <f t="shared" si="23"/>
        <v>0</v>
      </c>
      <c r="L181" s="49">
        <f t="shared" si="24"/>
        <v>0</v>
      </c>
      <c r="M181" s="49">
        <f t="shared" si="25"/>
        <v>0</v>
      </c>
      <c r="N181" s="49">
        <f t="shared" si="26"/>
        <v>0</v>
      </c>
      <c r="O181" s="81">
        <f t="shared" si="22"/>
        <v>0</v>
      </c>
      <c r="P181">
        <v>15</v>
      </c>
    </row>
    <row r="182" spans="1:16" s="33" customFormat="1" ht="15" customHeight="1" x14ac:dyDescent="0.2">
      <c r="A182" s="46" t="s">
        <v>94</v>
      </c>
      <c r="B182" s="47">
        <v>2</v>
      </c>
      <c r="C182" s="48">
        <v>0</v>
      </c>
      <c r="D182" s="48">
        <v>0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8">
        <v>0</v>
      </c>
      <c r="K182" s="49">
        <f t="shared" si="23"/>
        <v>0</v>
      </c>
      <c r="L182" s="49">
        <f t="shared" si="24"/>
        <v>0</v>
      </c>
      <c r="M182" s="49">
        <f t="shared" si="25"/>
        <v>0</v>
      </c>
      <c r="N182" s="49">
        <f t="shared" si="26"/>
        <v>0</v>
      </c>
      <c r="O182" s="81">
        <f t="shared" si="22"/>
        <v>0</v>
      </c>
      <c r="P182">
        <v>15</v>
      </c>
    </row>
    <row r="183" spans="1:16" ht="15" customHeight="1" x14ac:dyDescent="0.2">
      <c r="A183" s="77" t="s">
        <v>95</v>
      </c>
      <c r="B183" s="78">
        <v>2</v>
      </c>
      <c r="C183" s="79">
        <v>0</v>
      </c>
      <c r="D183" s="79">
        <v>0</v>
      </c>
      <c r="E183" s="79">
        <v>0</v>
      </c>
      <c r="F183" s="79">
        <v>0</v>
      </c>
      <c r="G183" s="79">
        <v>0</v>
      </c>
      <c r="H183" s="79">
        <v>0</v>
      </c>
      <c r="I183" s="79">
        <v>0</v>
      </c>
      <c r="J183" s="79">
        <v>0</v>
      </c>
      <c r="K183" s="80">
        <f t="shared" si="23"/>
        <v>0</v>
      </c>
      <c r="L183" s="80">
        <f t="shared" si="24"/>
        <v>0</v>
      </c>
      <c r="M183" s="80">
        <f t="shared" si="25"/>
        <v>0</v>
      </c>
      <c r="N183" s="80">
        <f t="shared" si="26"/>
        <v>0</v>
      </c>
      <c r="O183" s="42">
        <f t="shared" si="22"/>
        <v>0</v>
      </c>
      <c r="P183">
        <v>15</v>
      </c>
    </row>
    <row r="184" spans="1:16" s="33" customFormat="1" ht="15" customHeight="1" x14ac:dyDescent="0.2">
      <c r="A184" s="77" t="s">
        <v>96</v>
      </c>
      <c r="B184" s="78">
        <v>2</v>
      </c>
      <c r="C184" s="79">
        <v>0</v>
      </c>
      <c r="D184" s="79">
        <v>0</v>
      </c>
      <c r="E184" s="79">
        <v>0</v>
      </c>
      <c r="F184" s="79">
        <v>1</v>
      </c>
      <c r="G184" s="79">
        <v>0</v>
      </c>
      <c r="H184" s="79">
        <v>0</v>
      </c>
      <c r="I184" s="79">
        <v>0</v>
      </c>
      <c r="J184" s="79">
        <v>0</v>
      </c>
      <c r="K184" s="80">
        <f t="shared" si="23"/>
        <v>0</v>
      </c>
      <c r="L184" s="80">
        <f t="shared" si="24"/>
        <v>0</v>
      </c>
      <c r="M184" s="80">
        <f t="shared" si="25"/>
        <v>1</v>
      </c>
      <c r="N184" s="80">
        <f t="shared" si="26"/>
        <v>0</v>
      </c>
      <c r="O184" s="42">
        <f t="shared" si="22"/>
        <v>1</v>
      </c>
      <c r="P184">
        <v>15</v>
      </c>
    </row>
    <row r="185" spans="1:16" ht="15" customHeight="1" x14ac:dyDescent="0.2">
      <c r="A185" s="77" t="s">
        <v>97</v>
      </c>
      <c r="B185" s="78">
        <v>2</v>
      </c>
      <c r="C185" s="79">
        <v>0</v>
      </c>
      <c r="D185" s="79">
        <v>0</v>
      </c>
      <c r="E185" s="79">
        <v>0</v>
      </c>
      <c r="F185" s="79">
        <v>0</v>
      </c>
      <c r="G185" s="79">
        <v>0</v>
      </c>
      <c r="H185" s="79">
        <v>0</v>
      </c>
      <c r="I185" s="79">
        <v>0</v>
      </c>
      <c r="J185" s="79">
        <v>0</v>
      </c>
      <c r="K185" s="80">
        <f t="shared" si="23"/>
        <v>0</v>
      </c>
      <c r="L185" s="80">
        <f t="shared" si="24"/>
        <v>0</v>
      </c>
      <c r="M185" s="80">
        <f t="shared" si="25"/>
        <v>0</v>
      </c>
      <c r="N185" s="80">
        <f t="shared" si="26"/>
        <v>0</v>
      </c>
      <c r="O185" s="42">
        <f t="shared" si="22"/>
        <v>0</v>
      </c>
      <c r="P185">
        <v>15</v>
      </c>
    </row>
    <row r="186" spans="1:16" ht="15" customHeight="1" x14ac:dyDescent="0.2">
      <c r="A186" s="77" t="s">
        <v>98</v>
      </c>
      <c r="B186" s="78">
        <v>2</v>
      </c>
      <c r="C186" s="79">
        <v>0</v>
      </c>
      <c r="D186" s="79">
        <v>0</v>
      </c>
      <c r="E186" s="79">
        <v>0</v>
      </c>
      <c r="F186" s="79">
        <v>0</v>
      </c>
      <c r="G186" s="79">
        <v>0</v>
      </c>
      <c r="H186" s="79">
        <v>0</v>
      </c>
      <c r="I186" s="79">
        <v>0</v>
      </c>
      <c r="J186" s="79">
        <v>0</v>
      </c>
      <c r="K186" s="80">
        <f t="shared" si="23"/>
        <v>0</v>
      </c>
      <c r="L186" s="80">
        <f t="shared" si="24"/>
        <v>0</v>
      </c>
      <c r="M186" s="80">
        <f t="shared" si="25"/>
        <v>0</v>
      </c>
      <c r="N186" s="80">
        <f t="shared" si="26"/>
        <v>0</v>
      </c>
      <c r="O186" s="42">
        <f t="shared" si="22"/>
        <v>0</v>
      </c>
      <c r="P186">
        <v>15</v>
      </c>
    </row>
    <row r="187" spans="1:16" ht="15" customHeight="1" x14ac:dyDescent="0.2">
      <c r="A187" s="77" t="s">
        <v>99</v>
      </c>
      <c r="B187" s="78">
        <v>2</v>
      </c>
      <c r="C187" s="79">
        <v>0</v>
      </c>
      <c r="D187" s="79">
        <v>0</v>
      </c>
      <c r="E187" s="79">
        <v>0</v>
      </c>
      <c r="F187" s="79">
        <v>0</v>
      </c>
      <c r="G187" s="79">
        <v>0</v>
      </c>
      <c r="H187" s="79">
        <v>0</v>
      </c>
      <c r="I187" s="79">
        <v>0</v>
      </c>
      <c r="J187" s="79">
        <v>0</v>
      </c>
      <c r="K187" s="80">
        <f t="shared" si="23"/>
        <v>0</v>
      </c>
      <c r="L187" s="80">
        <f t="shared" si="24"/>
        <v>0</v>
      </c>
      <c r="M187" s="80">
        <f t="shared" si="25"/>
        <v>0</v>
      </c>
      <c r="N187" s="80">
        <f t="shared" si="26"/>
        <v>0</v>
      </c>
      <c r="O187" s="42">
        <f t="shared" si="22"/>
        <v>0</v>
      </c>
      <c r="P187">
        <v>15</v>
      </c>
    </row>
    <row r="188" spans="1:16" ht="15" customHeight="1" x14ac:dyDescent="0.2">
      <c r="A188" s="77" t="s">
        <v>100</v>
      </c>
      <c r="B188" s="78">
        <v>2</v>
      </c>
      <c r="C188" s="79">
        <v>0</v>
      </c>
      <c r="D188" s="79">
        <v>0</v>
      </c>
      <c r="E188" s="79">
        <v>0</v>
      </c>
      <c r="F188" s="79">
        <v>0</v>
      </c>
      <c r="G188" s="79">
        <v>0</v>
      </c>
      <c r="H188" s="79">
        <v>0</v>
      </c>
      <c r="I188" s="79">
        <v>0</v>
      </c>
      <c r="J188" s="79">
        <v>0</v>
      </c>
      <c r="K188" s="80">
        <f t="shared" si="23"/>
        <v>0</v>
      </c>
      <c r="L188" s="80">
        <f t="shared" si="24"/>
        <v>0</v>
      </c>
      <c r="M188" s="80">
        <f t="shared" si="25"/>
        <v>0</v>
      </c>
      <c r="N188" s="80">
        <f t="shared" si="26"/>
        <v>0</v>
      </c>
      <c r="O188" s="42">
        <f t="shared" si="22"/>
        <v>0</v>
      </c>
      <c r="P188">
        <v>15</v>
      </c>
    </row>
    <row r="189" spans="1:16" ht="15" customHeight="1" x14ac:dyDescent="0.2">
      <c r="A189" s="77" t="s">
        <v>101</v>
      </c>
      <c r="B189" s="78">
        <v>2</v>
      </c>
      <c r="C189" s="79">
        <v>0</v>
      </c>
      <c r="D189" s="79">
        <v>0</v>
      </c>
      <c r="E189" s="79">
        <v>0</v>
      </c>
      <c r="F189" s="79">
        <v>0</v>
      </c>
      <c r="G189" s="79">
        <v>0</v>
      </c>
      <c r="H189" s="79">
        <v>0</v>
      </c>
      <c r="I189" s="79">
        <v>0</v>
      </c>
      <c r="J189" s="79">
        <v>0</v>
      </c>
      <c r="K189" s="80">
        <f t="shared" si="23"/>
        <v>0</v>
      </c>
      <c r="L189" s="80">
        <f t="shared" si="24"/>
        <v>0</v>
      </c>
      <c r="M189" s="80">
        <f t="shared" si="25"/>
        <v>0</v>
      </c>
      <c r="N189" s="80">
        <f t="shared" si="26"/>
        <v>0</v>
      </c>
      <c r="O189" s="42">
        <f t="shared" si="22"/>
        <v>0</v>
      </c>
      <c r="P189">
        <v>15</v>
      </c>
    </row>
    <row r="190" spans="1:16" ht="15" customHeight="1" x14ac:dyDescent="0.2">
      <c r="A190" s="77" t="s">
        <v>102</v>
      </c>
      <c r="B190" s="78">
        <v>2</v>
      </c>
      <c r="C190" s="79">
        <v>0</v>
      </c>
      <c r="D190" s="79">
        <v>0</v>
      </c>
      <c r="E190" s="79">
        <v>0</v>
      </c>
      <c r="F190" s="79">
        <v>0</v>
      </c>
      <c r="G190" s="79">
        <v>1</v>
      </c>
      <c r="H190" s="79">
        <v>0</v>
      </c>
      <c r="I190" s="79">
        <v>0</v>
      </c>
      <c r="J190" s="79">
        <v>0</v>
      </c>
      <c r="K190" s="80">
        <f t="shared" si="23"/>
        <v>1</v>
      </c>
      <c r="L190" s="80">
        <f t="shared" si="24"/>
        <v>0</v>
      </c>
      <c r="M190" s="80">
        <f t="shared" si="25"/>
        <v>0</v>
      </c>
      <c r="N190" s="80">
        <f t="shared" si="26"/>
        <v>0</v>
      </c>
      <c r="O190" s="42">
        <f t="shared" si="22"/>
        <v>1</v>
      </c>
      <c r="P190">
        <v>15</v>
      </c>
    </row>
    <row r="191" spans="1:16" ht="15" customHeight="1" x14ac:dyDescent="0.2">
      <c r="A191" s="77" t="s">
        <v>103</v>
      </c>
      <c r="B191" s="78">
        <v>2</v>
      </c>
      <c r="C191" s="79">
        <v>0</v>
      </c>
      <c r="D191" s="79">
        <v>0</v>
      </c>
      <c r="E191" s="79">
        <v>0</v>
      </c>
      <c r="F191" s="79">
        <v>0</v>
      </c>
      <c r="G191" s="79">
        <v>0</v>
      </c>
      <c r="H191" s="79">
        <v>0</v>
      </c>
      <c r="I191" s="79">
        <v>0</v>
      </c>
      <c r="J191" s="79">
        <v>0</v>
      </c>
      <c r="K191" s="80">
        <f t="shared" si="23"/>
        <v>0</v>
      </c>
      <c r="L191" s="80">
        <f t="shared" si="24"/>
        <v>0</v>
      </c>
      <c r="M191" s="80">
        <f t="shared" si="25"/>
        <v>0</v>
      </c>
      <c r="N191" s="80">
        <f t="shared" si="26"/>
        <v>0</v>
      </c>
      <c r="O191" s="42">
        <f t="shared" si="22"/>
        <v>0</v>
      </c>
      <c r="P191">
        <v>15</v>
      </c>
    </row>
    <row r="192" spans="1:16" ht="15" customHeight="1" x14ac:dyDescent="0.2">
      <c r="A192" s="77" t="s">
        <v>104</v>
      </c>
      <c r="B192" s="78">
        <v>2</v>
      </c>
      <c r="C192" s="79">
        <v>1</v>
      </c>
      <c r="D192" s="79">
        <v>0</v>
      </c>
      <c r="E192" s="79">
        <v>0</v>
      </c>
      <c r="F192" s="79">
        <v>0</v>
      </c>
      <c r="G192" s="79">
        <v>0</v>
      </c>
      <c r="H192" s="79">
        <v>0</v>
      </c>
      <c r="I192" s="79">
        <v>0</v>
      </c>
      <c r="J192" s="79">
        <v>0</v>
      </c>
      <c r="K192" s="80">
        <f t="shared" si="23"/>
        <v>0</v>
      </c>
      <c r="L192" s="80">
        <f t="shared" si="24"/>
        <v>0</v>
      </c>
      <c r="M192" s="80">
        <f t="shared" si="25"/>
        <v>0</v>
      </c>
      <c r="N192" s="80">
        <f t="shared" si="26"/>
        <v>0</v>
      </c>
      <c r="O192" s="42">
        <f t="shared" si="22"/>
        <v>0</v>
      </c>
      <c r="P192">
        <v>15</v>
      </c>
    </row>
    <row r="193" spans="1:16" ht="15" customHeight="1" x14ac:dyDescent="0.2">
      <c r="A193" s="77" t="s">
        <v>105</v>
      </c>
      <c r="B193" s="78">
        <v>2</v>
      </c>
      <c r="C193" s="79">
        <v>0</v>
      </c>
      <c r="D193" s="79">
        <v>0</v>
      </c>
      <c r="E193" s="79">
        <v>0</v>
      </c>
      <c r="F193" s="79">
        <v>0</v>
      </c>
      <c r="G193" s="79">
        <v>0</v>
      </c>
      <c r="H193" s="79">
        <v>0</v>
      </c>
      <c r="I193" s="79">
        <v>0</v>
      </c>
      <c r="J193" s="79">
        <v>0</v>
      </c>
      <c r="K193" s="80">
        <f t="shared" si="23"/>
        <v>0</v>
      </c>
      <c r="L193" s="80">
        <f t="shared" si="24"/>
        <v>1</v>
      </c>
      <c r="M193" s="80">
        <f t="shared" si="25"/>
        <v>0</v>
      </c>
      <c r="N193" s="80">
        <f t="shared" si="26"/>
        <v>0</v>
      </c>
      <c r="O193" s="42">
        <f t="shared" si="22"/>
        <v>0</v>
      </c>
      <c r="P193">
        <v>15</v>
      </c>
    </row>
    <row r="194" spans="1:16" ht="15" customHeight="1" x14ac:dyDescent="0.2">
      <c r="A194" s="77" t="s">
        <v>106</v>
      </c>
      <c r="B194" s="78">
        <v>2</v>
      </c>
      <c r="C194" s="79">
        <v>0</v>
      </c>
      <c r="D194" s="79">
        <v>0</v>
      </c>
      <c r="E194" s="79">
        <v>0</v>
      </c>
      <c r="F194" s="79">
        <v>0</v>
      </c>
      <c r="G194" s="79">
        <v>0</v>
      </c>
      <c r="H194" s="79">
        <v>0</v>
      </c>
      <c r="I194" s="79">
        <v>0</v>
      </c>
      <c r="J194" s="79">
        <v>0</v>
      </c>
      <c r="K194" s="80">
        <f t="shared" si="23"/>
        <v>0</v>
      </c>
      <c r="L194" s="80">
        <f t="shared" si="24"/>
        <v>0</v>
      </c>
      <c r="M194" s="80">
        <f t="shared" si="25"/>
        <v>0</v>
      </c>
      <c r="N194" s="80">
        <f t="shared" si="26"/>
        <v>0</v>
      </c>
      <c r="O194" s="42">
        <f t="shared" si="22"/>
        <v>0</v>
      </c>
      <c r="P194">
        <v>15</v>
      </c>
    </row>
    <row r="195" spans="1:16" ht="15" customHeight="1" x14ac:dyDescent="0.2">
      <c r="A195" s="77" t="s">
        <v>107</v>
      </c>
      <c r="B195" s="78">
        <v>2</v>
      </c>
      <c r="C195" s="79">
        <v>0</v>
      </c>
      <c r="D195" s="79">
        <v>0</v>
      </c>
      <c r="E195" s="79">
        <v>0</v>
      </c>
      <c r="F195" s="79">
        <v>0</v>
      </c>
      <c r="G195" s="79">
        <v>0</v>
      </c>
      <c r="H195" s="79">
        <v>0</v>
      </c>
      <c r="I195" s="79">
        <v>0</v>
      </c>
      <c r="J195" s="79">
        <v>0</v>
      </c>
      <c r="K195" s="80">
        <f t="shared" si="23"/>
        <v>0</v>
      </c>
      <c r="L195" s="80">
        <f t="shared" si="24"/>
        <v>0</v>
      </c>
      <c r="M195" s="80">
        <f t="shared" si="25"/>
        <v>0</v>
      </c>
      <c r="N195" s="80">
        <f t="shared" si="26"/>
        <v>0</v>
      </c>
      <c r="O195" s="42">
        <f t="shared" si="22"/>
        <v>0</v>
      </c>
      <c r="P195">
        <v>15</v>
      </c>
    </row>
    <row r="196" spans="1:16" ht="15" customHeight="1" x14ac:dyDescent="0.2">
      <c r="A196" s="77" t="s">
        <v>108</v>
      </c>
      <c r="B196" s="78">
        <v>2</v>
      </c>
      <c r="C196" s="79">
        <v>0</v>
      </c>
      <c r="D196" s="79">
        <v>0</v>
      </c>
      <c r="E196" s="79">
        <v>0</v>
      </c>
      <c r="F196" s="79">
        <v>0</v>
      </c>
      <c r="G196" s="79">
        <v>0</v>
      </c>
      <c r="H196" s="79">
        <v>0</v>
      </c>
      <c r="I196" s="79">
        <v>0</v>
      </c>
      <c r="J196" s="79">
        <v>0</v>
      </c>
      <c r="K196" s="80">
        <f t="shared" si="23"/>
        <v>0</v>
      </c>
      <c r="L196" s="80">
        <f t="shared" si="24"/>
        <v>0</v>
      </c>
      <c r="M196" s="80">
        <f t="shared" si="25"/>
        <v>0</v>
      </c>
      <c r="N196" s="80">
        <f t="shared" si="26"/>
        <v>0</v>
      </c>
      <c r="O196" s="42">
        <f t="shared" si="22"/>
        <v>0</v>
      </c>
      <c r="P196">
        <v>15</v>
      </c>
    </row>
    <row r="197" spans="1:16" ht="15" customHeight="1" x14ac:dyDescent="0.2">
      <c r="A197" s="77" t="s">
        <v>109</v>
      </c>
      <c r="B197" s="78">
        <v>2</v>
      </c>
      <c r="C197" s="79">
        <v>0</v>
      </c>
      <c r="D197" s="79">
        <v>0</v>
      </c>
      <c r="E197" s="79">
        <v>0</v>
      </c>
      <c r="F197" s="79">
        <v>0</v>
      </c>
      <c r="G197" s="79">
        <v>0</v>
      </c>
      <c r="H197" s="79">
        <v>0</v>
      </c>
      <c r="I197" s="79">
        <v>0</v>
      </c>
      <c r="J197" s="79">
        <v>0</v>
      </c>
      <c r="K197" s="80">
        <f t="shared" si="23"/>
        <v>0</v>
      </c>
      <c r="L197" s="80">
        <f t="shared" si="24"/>
        <v>0</v>
      </c>
      <c r="M197" s="80">
        <f t="shared" si="25"/>
        <v>0</v>
      </c>
      <c r="N197" s="80">
        <f t="shared" si="26"/>
        <v>0</v>
      </c>
      <c r="O197" s="42">
        <f t="shared" si="22"/>
        <v>0</v>
      </c>
      <c r="P197">
        <v>15</v>
      </c>
    </row>
    <row r="198" spans="1:16" ht="15" customHeight="1" x14ac:dyDescent="0.2">
      <c r="A198" s="77" t="s">
        <v>110</v>
      </c>
      <c r="B198" s="78">
        <v>2</v>
      </c>
      <c r="C198" s="79">
        <v>0</v>
      </c>
      <c r="D198" s="79">
        <v>0</v>
      </c>
      <c r="E198" s="79">
        <v>0</v>
      </c>
      <c r="F198" s="79">
        <v>0</v>
      </c>
      <c r="G198" s="79">
        <v>0</v>
      </c>
      <c r="H198" s="79">
        <v>0</v>
      </c>
      <c r="I198" s="79">
        <v>0</v>
      </c>
      <c r="J198" s="79">
        <v>0</v>
      </c>
      <c r="K198" s="80">
        <f t="shared" si="23"/>
        <v>0</v>
      </c>
      <c r="L198" s="80">
        <f t="shared" si="24"/>
        <v>0</v>
      </c>
      <c r="M198" s="80">
        <f t="shared" si="25"/>
        <v>0</v>
      </c>
      <c r="N198" s="80">
        <f t="shared" si="26"/>
        <v>0</v>
      </c>
      <c r="O198" s="42">
        <f t="shared" si="22"/>
        <v>0</v>
      </c>
      <c r="P198">
        <v>15</v>
      </c>
    </row>
    <row r="199" spans="1:16" ht="15" customHeight="1" x14ac:dyDescent="0.2">
      <c r="A199" s="77"/>
      <c r="B199" s="78"/>
      <c r="C199" s="80">
        <f t="shared" ref="C199:P199" si="27">SUM(C7:C198)</f>
        <v>14</v>
      </c>
      <c r="D199" s="80">
        <f t="shared" si="27"/>
        <v>1</v>
      </c>
      <c r="E199" s="80">
        <f t="shared" si="27"/>
        <v>52</v>
      </c>
      <c r="F199" s="80">
        <f t="shared" si="27"/>
        <v>13</v>
      </c>
      <c r="G199" s="80">
        <f t="shared" si="27"/>
        <v>25</v>
      </c>
      <c r="H199" s="80">
        <f t="shared" si="27"/>
        <v>8</v>
      </c>
      <c r="I199" s="80">
        <f t="shared" si="27"/>
        <v>39</v>
      </c>
      <c r="J199" s="80">
        <f t="shared" si="27"/>
        <v>3</v>
      </c>
      <c r="K199" s="80">
        <f t="shared" si="27"/>
        <v>77</v>
      </c>
      <c r="L199" s="80">
        <f t="shared" si="27"/>
        <v>53</v>
      </c>
      <c r="M199" s="80">
        <f t="shared" si="27"/>
        <v>21</v>
      </c>
      <c r="N199" s="80">
        <f t="shared" si="27"/>
        <v>4</v>
      </c>
      <c r="O199" s="80">
        <f t="shared" si="27"/>
        <v>46</v>
      </c>
      <c r="P199" s="80">
        <f t="shared" si="27"/>
        <v>2880</v>
      </c>
    </row>
    <row r="200" spans="1:16" ht="15" customHeight="1" x14ac:dyDescent="0.2">
      <c r="A200" s="77"/>
      <c r="B200" s="78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</row>
    <row r="201" spans="1:16" ht="15" customHeight="1" x14ac:dyDescent="0.2">
      <c r="A201" s="77"/>
      <c r="B201" s="78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28" t="s">
        <v>212</v>
      </c>
      <c r="O201" s="28">
        <f>SUM(O34:O86,O130:O182)</f>
        <v>39</v>
      </c>
      <c r="P201" s="28">
        <f>SUM(P34:P86,P130:P182)/60</f>
        <v>26.5</v>
      </c>
    </row>
    <row r="202" spans="1:16" ht="15" customHeight="1" x14ac:dyDescent="0.2">
      <c r="N202" s="28" t="s">
        <v>213</v>
      </c>
      <c r="O202" s="28">
        <f>O199-O201</f>
        <v>7</v>
      </c>
      <c r="P202" s="28">
        <f>48-P201</f>
        <v>21.5</v>
      </c>
    </row>
  </sheetData>
  <sortState ref="A7:N198">
    <sortCondition ref="B7:B198"/>
    <sortCondition ref="A7:A198"/>
  </sortState>
  <mergeCells count="2">
    <mergeCell ref="A1:C1"/>
    <mergeCell ref="D1:J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4"/>
  <sheetViews>
    <sheetView workbookViewId="0">
      <pane xSplit="1" ySplit="8" topLeftCell="D114" activePane="bottomRight" state="frozen"/>
      <selection pane="topRight" activeCell="B1" sqref="B1"/>
      <selection pane="bottomLeft" activeCell="A14" sqref="A14"/>
      <selection pane="bottomRight" activeCell="L131" sqref="L131"/>
    </sheetView>
  </sheetViews>
  <sheetFormatPr defaultColWidth="12.140625" defaultRowHeight="15" customHeight="1" x14ac:dyDescent="0.2"/>
  <cols>
    <col min="1" max="1" width="12.140625" style="6"/>
    <col min="2" max="5" width="10.85546875" style="6" customWidth="1"/>
    <col min="6" max="9" width="10.42578125" style="6" customWidth="1"/>
    <col min="10" max="10" width="9.5703125" style="6" customWidth="1"/>
    <col min="11" max="11" width="10" style="6" customWidth="1"/>
    <col min="12" max="16384" width="12.140625" style="6"/>
  </cols>
  <sheetData>
    <row r="1" spans="1:13" ht="15" customHeight="1" x14ac:dyDescent="0.3">
      <c r="A1" s="113" t="s">
        <v>0</v>
      </c>
      <c r="B1" s="113"/>
      <c r="C1" s="114" t="s">
        <v>115</v>
      </c>
      <c r="D1" s="114"/>
      <c r="E1" s="114"/>
      <c r="F1" s="114"/>
      <c r="G1" s="114"/>
      <c r="H1" s="114"/>
      <c r="I1" s="114"/>
    </row>
    <row r="2" spans="1:13" ht="15" customHeight="1" x14ac:dyDescent="0.3">
      <c r="A2" s="113" t="s">
        <v>2</v>
      </c>
      <c r="B2" s="113"/>
      <c r="C2" s="114" t="s">
        <v>3</v>
      </c>
      <c r="D2" s="114"/>
      <c r="E2" s="114"/>
      <c r="F2" s="114"/>
      <c r="G2" s="114"/>
      <c r="H2" s="114"/>
      <c r="I2" s="114"/>
    </row>
    <row r="3" spans="1:13" ht="15" customHeight="1" x14ac:dyDescent="0.3">
      <c r="A3" s="113" t="s">
        <v>4</v>
      </c>
      <c r="B3" s="113"/>
      <c r="C3" s="114" t="s">
        <v>5</v>
      </c>
      <c r="D3" s="114"/>
      <c r="E3" s="114"/>
      <c r="F3" s="114"/>
      <c r="G3" s="114"/>
      <c r="H3" s="114"/>
      <c r="I3" s="114"/>
    </row>
    <row r="4" spans="1:13" ht="15" customHeight="1" x14ac:dyDescent="0.3">
      <c r="A4" s="113" t="s">
        <v>6</v>
      </c>
      <c r="B4" s="113"/>
      <c r="C4" s="114" t="s">
        <v>7</v>
      </c>
      <c r="D4" s="114"/>
      <c r="E4" s="114"/>
      <c r="F4" s="114"/>
      <c r="G4" s="114"/>
      <c r="H4" s="114"/>
      <c r="I4" s="114"/>
    </row>
    <row r="6" spans="1:13" s="9" customFormat="1" ht="30" customHeight="1" x14ac:dyDescent="0.3">
      <c r="A6" s="7" t="s">
        <v>8</v>
      </c>
      <c r="B6" s="8" t="s">
        <v>116</v>
      </c>
      <c r="C6" s="8" t="s">
        <v>117</v>
      </c>
      <c r="D6" s="8" t="s">
        <v>118</v>
      </c>
      <c r="E6" s="8" t="s">
        <v>119</v>
      </c>
      <c r="F6" s="8" t="s">
        <v>116</v>
      </c>
      <c r="G6" s="8" t="s">
        <v>117</v>
      </c>
      <c r="H6" s="8" t="s">
        <v>118</v>
      </c>
      <c r="I6" s="8" t="s">
        <v>119</v>
      </c>
    </row>
    <row r="7" spans="1:13" ht="15" customHeight="1" x14ac:dyDescent="0.3">
      <c r="A7" s="10" t="s">
        <v>13</v>
      </c>
      <c r="B7" s="11" t="s">
        <v>14</v>
      </c>
      <c r="C7" s="11" t="s">
        <v>14</v>
      </c>
      <c r="D7" s="11" t="s">
        <v>14</v>
      </c>
      <c r="E7" s="11" t="s">
        <v>14</v>
      </c>
      <c r="F7" s="11" t="s">
        <v>15</v>
      </c>
      <c r="G7" s="11" t="s">
        <v>15</v>
      </c>
      <c r="H7" s="11" t="s">
        <v>15</v>
      </c>
      <c r="I7" s="11" t="s">
        <v>15</v>
      </c>
    </row>
    <row r="8" spans="1:13" ht="31.5" customHeight="1" x14ac:dyDescent="0.2">
      <c r="A8" s="12"/>
      <c r="B8" s="13" t="s">
        <v>120</v>
      </c>
      <c r="C8" s="13" t="s">
        <v>121</v>
      </c>
      <c r="D8" s="13" t="s">
        <v>111</v>
      </c>
      <c r="E8" s="13" t="s">
        <v>113</v>
      </c>
      <c r="F8" s="13" t="s">
        <v>121</v>
      </c>
      <c r="G8" s="13" t="s">
        <v>120</v>
      </c>
      <c r="H8" s="13" t="s">
        <v>113</v>
      </c>
      <c r="I8" s="13" t="s">
        <v>111</v>
      </c>
      <c r="J8" s="14" t="s">
        <v>113</v>
      </c>
      <c r="K8" s="14" t="s">
        <v>111</v>
      </c>
      <c r="L8" s="84" t="s">
        <v>121</v>
      </c>
      <c r="M8" s="14" t="s">
        <v>120</v>
      </c>
    </row>
    <row r="9" spans="1:13" ht="15" customHeight="1" x14ac:dyDescent="0.2">
      <c r="A9" s="12" t="s">
        <v>5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2">
        <f t="shared" ref="J9:J72" si="0">SUM(E9,H9)</f>
        <v>0</v>
      </c>
      <c r="K9" s="12">
        <f t="shared" ref="K9:K72" si="1">SUM(D9,I9)</f>
        <v>0</v>
      </c>
      <c r="L9" s="12">
        <f t="shared" ref="L9:L72" si="2">SUM(C9,F9)</f>
        <v>0</v>
      </c>
      <c r="M9" s="12">
        <f t="shared" ref="M9:M72" si="3">SUM(B9,G9)</f>
        <v>0</v>
      </c>
    </row>
    <row r="10" spans="1:13" ht="15" customHeight="1" x14ac:dyDescent="0.2">
      <c r="A10" s="12" t="s">
        <v>16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2">
        <f t="shared" si="0"/>
        <v>0</v>
      </c>
      <c r="K10" s="12">
        <f t="shared" si="1"/>
        <v>0</v>
      </c>
      <c r="L10" s="12">
        <f t="shared" si="2"/>
        <v>0</v>
      </c>
      <c r="M10" s="12">
        <f t="shared" si="3"/>
        <v>0</v>
      </c>
    </row>
    <row r="11" spans="1:13" ht="15" customHeight="1" x14ac:dyDescent="0.2">
      <c r="A11" s="12" t="s">
        <v>17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2">
        <f t="shared" si="0"/>
        <v>0</v>
      </c>
      <c r="K11" s="12">
        <f t="shared" si="1"/>
        <v>0</v>
      </c>
      <c r="L11" s="12">
        <f t="shared" si="2"/>
        <v>0</v>
      </c>
      <c r="M11" s="12">
        <f t="shared" si="3"/>
        <v>0</v>
      </c>
    </row>
    <row r="12" spans="1:13" ht="15" customHeight="1" x14ac:dyDescent="0.2">
      <c r="A12" s="12" t="s">
        <v>18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2">
        <f t="shared" si="0"/>
        <v>0</v>
      </c>
      <c r="K12" s="12">
        <f t="shared" si="1"/>
        <v>0</v>
      </c>
      <c r="L12" s="12">
        <f t="shared" si="2"/>
        <v>0</v>
      </c>
      <c r="M12" s="12">
        <f t="shared" si="3"/>
        <v>0</v>
      </c>
    </row>
    <row r="13" spans="1:13" ht="15" customHeight="1" x14ac:dyDescent="0.2">
      <c r="A13" s="12" t="s">
        <v>19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2">
        <f t="shared" si="0"/>
        <v>0</v>
      </c>
      <c r="K13" s="12">
        <f t="shared" si="1"/>
        <v>0</v>
      </c>
      <c r="L13" s="12">
        <f t="shared" si="2"/>
        <v>0</v>
      </c>
      <c r="M13" s="12">
        <f t="shared" si="3"/>
        <v>0</v>
      </c>
    </row>
    <row r="14" spans="1:13" ht="15" customHeight="1" x14ac:dyDescent="0.2">
      <c r="A14" s="12" t="s">
        <v>20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2">
        <f t="shared" si="0"/>
        <v>0</v>
      </c>
      <c r="K14" s="12">
        <f t="shared" si="1"/>
        <v>0</v>
      </c>
      <c r="L14" s="12">
        <f t="shared" si="2"/>
        <v>0</v>
      </c>
      <c r="M14" s="12">
        <f t="shared" si="3"/>
        <v>0</v>
      </c>
    </row>
    <row r="15" spans="1:13" ht="15" customHeight="1" x14ac:dyDescent="0.2">
      <c r="A15" s="12" t="s">
        <v>21</v>
      </c>
      <c r="B15" s="15">
        <v>0</v>
      </c>
      <c r="C15" s="15">
        <v>0</v>
      </c>
      <c r="D15" s="15">
        <v>0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2">
        <f t="shared" si="0"/>
        <v>1</v>
      </c>
      <c r="K15" s="12">
        <f t="shared" si="1"/>
        <v>0</v>
      </c>
      <c r="L15" s="12">
        <f t="shared" si="2"/>
        <v>0</v>
      </c>
      <c r="M15" s="12">
        <f t="shared" si="3"/>
        <v>0</v>
      </c>
    </row>
    <row r="16" spans="1:13" ht="15" customHeight="1" x14ac:dyDescent="0.2">
      <c r="A16" s="12" t="s">
        <v>22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2">
        <f t="shared" si="0"/>
        <v>0</v>
      </c>
      <c r="K16" s="12">
        <f t="shared" si="1"/>
        <v>0</v>
      </c>
      <c r="L16" s="12">
        <f t="shared" si="2"/>
        <v>0</v>
      </c>
      <c r="M16" s="12">
        <f t="shared" si="3"/>
        <v>0</v>
      </c>
    </row>
    <row r="17" spans="1:13" ht="15" customHeight="1" x14ac:dyDescent="0.2">
      <c r="A17" s="12" t="s">
        <v>23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2">
        <f t="shared" si="0"/>
        <v>0</v>
      </c>
      <c r="K17" s="12">
        <f t="shared" si="1"/>
        <v>0</v>
      </c>
      <c r="L17" s="12">
        <f t="shared" si="2"/>
        <v>0</v>
      </c>
      <c r="M17" s="12">
        <f t="shared" si="3"/>
        <v>0</v>
      </c>
    </row>
    <row r="18" spans="1:13" ht="15" customHeight="1" x14ac:dyDescent="0.2">
      <c r="A18" s="12" t="s">
        <v>24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2">
        <f t="shared" si="0"/>
        <v>0</v>
      </c>
      <c r="K18" s="12">
        <f t="shared" si="1"/>
        <v>0</v>
      </c>
      <c r="L18" s="12">
        <f t="shared" si="2"/>
        <v>0</v>
      </c>
      <c r="M18" s="12">
        <f t="shared" si="3"/>
        <v>0</v>
      </c>
    </row>
    <row r="19" spans="1:13" ht="15" customHeight="1" x14ac:dyDescent="0.2">
      <c r="A19" s="12" t="s">
        <v>25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2">
        <f t="shared" si="0"/>
        <v>0</v>
      </c>
      <c r="K19" s="12">
        <f t="shared" si="1"/>
        <v>0</v>
      </c>
      <c r="L19" s="12">
        <f t="shared" si="2"/>
        <v>0</v>
      </c>
      <c r="M19" s="12">
        <f t="shared" si="3"/>
        <v>0</v>
      </c>
    </row>
    <row r="20" spans="1:13" ht="15" customHeight="1" x14ac:dyDescent="0.2">
      <c r="A20" s="12" t="s">
        <v>26</v>
      </c>
      <c r="B20" s="15">
        <v>0</v>
      </c>
      <c r="C20" s="15">
        <v>0</v>
      </c>
      <c r="D20" s="15">
        <v>0</v>
      </c>
      <c r="E20" s="15">
        <v>0</v>
      </c>
      <c r="F20" s="15">
        <v>1</v>
      </c>
      <c r="G20" s="15">
        <v>0</v>
      </c>
      <c r="H20" s="15">
        <v>0</v>
      </c>
      <c r="I20" s="15">
        <v>0</v>
      </c>
      <c r="J20" s="12">
        <f t="shared" si="0"/>
        <v>0</v>
      </c>
      <c r="K20" s="12">
        <f t="shared" si="1"/>
        <v>0</v>
      </c>
      <c r="L20" s="12">
        <f t="shared" si="2"/>
        <v>1</v>
      </c>
      <c r="M20" s="12">
        <f t="shared" si="3"/>
        <v>0</v>
      </c>
    </row>
    <row r="21" spans="1:13" ht="15" customHeight="1" x14ac:dyDescent="0.2">
      <c r="A21" s="12" t="s">
        <v>27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2">
        <f t="shared" si="0"/>
        <v>0</v>
      </c>
      <c r="K21" s="12">
        <f t="shared" si="1"/>
        <v>0</v>
      </c>
      <c r="L21" s="12">
        <f t="shared" si="2"/>
        <v>0</v>
      </c>
      <c r="M21" s="12">
        <f t="shared" si="3"/>
        <v>0</v>
      </c>
    </row>
    <row r="22" spans="1:13" ht="15" customHeight="1" x14ac:dyDescent="0.2">
      <c r="A22" s="12" t="s">
        <v>28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2">
        <f t="shared" si="0"/>
        <v>0</v>
      </c>
      <c r="K22" s="12">
        <f t="shared" si="1"/>
        <v>0</v>
      </c>
      <c r="L22" s="12">
        <f t="shared" si="2"/>
        <v>0</v>
      </c>
      <c r="M22" s="12">
        <f t="shared" si="3"/>
        <v>0</v>
      </c>
    </row>
    <row r="23" spans="1:13" ht="15" customHeight="1" x14ac:dyDescent="0.2">
      <c r="A23" s="12" t="s">
        <v>29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2">
        <f t="shared" si="0"/>
        <v>0</v>
      </c>
      <c r="K23" s="12">
        <f t="shared" si="1"/>
        <v>0</v>
      </c>
      <c r="L23" s="12">
        <f t="shared" si="2"/>
        <v>0</v>
      </c>
      <c r="M23" s="12">
        <f t="shared" si="3"/>
        <v>0</v>
      </c>
    </row>
    <row r="24" spans="1:13" ht="15" customHeight="1" x14ac:dyDescent="0.2">
      <c r="A24" s="12" t="s">
        <v>30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2">
        <f t="shared" si="0"/>
        <v>0</v>
      </c>
      <c r="K24" s="12">
        <f t="shared" si="1"/>
        <v>0</v>
      </c>
      <c r="L24" s="12">
        <f t="shared" si="2"/>
        <v>0</v>
      </c>
      <c r="M24" s="12">
        <f t="shared" si="3"/>
        <v>0</v>
      </c>
    </row>
    <row r="25" spans="1:13" ht="15" customHeight="1" x14ac:dyDescent="0.2">
      <c r="A25" s="12" t="s">
        <v>31</v>
      </c>
      <c r="B25" s="15">
        <v>0</v>
      </c>
      <c r="C25" s="15">
        <v>0</v>
      </c>
      <c r="D25" s="15">
        <v>0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2">
        <f t="shared" si="0"/>
        <v>0</v>
      </c>
      <c r="K25" s="12">
        <f t="shared" si="1"/>
        <v>0</v>
      </c>
      <c r="L25" s="12">
        <f t="shared" si="2"/>
        <v>1</v>
      </c>
      <c r="M25" s="12">
        <f t="shared" si="3"/>
        <v>0</v>
      </c>
    </row>
    <row r="26" spans="1:13" ht="15" customHeight="1" x14ac:dyDescent="0.2">
      <c r="A26" s="12" t="s">
        <v>32</v>
      </c>
      <c r="B26" s="15">
        <v>0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2">
        <f t="shared" si="0"/>
        <v>0</v>
      </c>
      <c r="K26" s="12">
        <f t="shared" si="1"/>
        <v>0</v>
      </c>
      <c r="L26" s="12">
        <f t="shared" si="2"/>
        <v>0</v>
      </c>
      <c r="M26" s="12">
        <f t="shared" si="3"/>
        <v>0</v>
      </c>
    </row>
    <row r="27" spans="1:13" ht="15" customHeight="1" x14ac:dyDescent="0.2">
      <c r="A27" s="12" t="s">
        <v>33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2">
        <f t="shared" si="0"/>
        <v>0</v>
      </c>
      <c r="K27" s="12">
        <f t="shared" si="1"/>
        <v>0</v>
      </c>
      <c r="L27" s="12">
        <f t="shared" si="2"/>
        <v>0</v>
      </c>
      <c r="M27" s="12">
        <f t="shared" si="3"/>
        <v>0</v>
      </c>
    </row>
    <row r="28" spans="1:13" ht="15" customHeight="1" x14ac:dyDescent="0.2">
      <c r="A28" s="12" t="s">
        <v>34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2">
        <f t="shared" si="0"/>
        <v>0</v>
      </c>
      <c r="K28" s="12">
        <f t="shared" si="1"/>
        <v>0</v>
      </c>
      <c r="L28" s="12">
        <f t="shared" si="2"/>
        <v>0</v>
      </c>
      <c r="M28" s="12">
        <f t="shared" si="3"/>
        <v>0</v>
      </c>
    </row>
    <row r="29" spans="1:13" ht="15" customHeight="1" x14ac:dyDescent="0.2">
      <c r="A29" s="12" t="s">
        <v>35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2">
        <f t="shared" si="0"/>
        <v>0</v>
      </c>
      <c r="K29" s="12">
        <f t="shared" si="1"/>
        <v>0</v>
      </c>
      <c r="L29" s="12">
        <f t="shared" si="2"/>
        <v>0</v>
      </c>
      <c r="M29" s="12">
        <f t="shared" si="3"/>
        <v>0</v>
      </c>
    </row>
    <row r="30" spans="1:13" ht="15" customHeight="1" x14ac:dyDescent="0.2">
      <c r="A30" s="12" t="s">
        <v>36</v>
      </c>
      <c r="B30" s="15">
        <v>0</v>
      </c>
      <c r="C30" s="15">
        <v>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2">
        <f t="shared" si="0"/>
        <v>0</v>
      </c>
      <c r="K30" s="12">
        <f t="shared" si="1"/>
        <v>0</v>
      </c>
      <c r="L30" s="12">
        <f t="shared" si="2"/>
        <v>1</v>
      </c>
      <c r="M30" s="12">
        <f t="shared" si="3"/>
        <v>0</v>
      </c>
    </row>
    <row r="31" spans="1:13" ht="15" customHeight="1" x14ac:dyDescent="0.2">
      <c r="A31" s="12" t="s">
        <v>37</v>
      </c>
      <c r="B31" s="15">
        <v>0</v>
      </c>
      <c r="C31" s="15">
        <v>0</v>
      </c>
      <c r="D31" s="15">
        <v>0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2">
        <f t="shared" si="0"/>
        <v>0</v>
      </c>
      <c r="K31" s="12">
        <f t="shared" si="1"/>
        <v>0</v>
      </c>
      <c r="L31" s="12">
        <f t="shared" si="2"/>
        <v>1</v>
      </c>
      <c r="M31" s="12">
        <f t="shared" si="3"/>
        <v>0</v>
      </c>
    </row>
    <row r="32" spans="1:13" ht="15" customHeight="1" x14ac:dyDescent="0.2">
      <c r="A32" s="12" t="s">
        <v>38</v>
      </c>
      <c r="B32" s="15">
        <v>0</v>
      </c>
      <c r="C32" s="15">
        <v>0</v>
      </c>
      <c r="D32" s="15">
        <v>0</v>
      </c>
      <c r="E32" s="15">
        <v>0</v>
      </c>
      <c r="F32" s="15">
        <v>3</v>
      </c>
      <c r="G32" s="15">
        <v>0</v>
      </c>
      <c r="H32" s="15">
        <v>0</v>
      </c>
      <c r="I32" s="15">
        <v>0</v>
      </c>
      <c r="J32" s="12">
        <f t="shared" si="0"/>
        <v>0</v>
      </c>
      <c r="K32" s="12">
        <f t="shared" si="1"/>
        <v>0</v>
      </c>
      <c r="L32" s="12">
        <f t="shared" si="2"/>
        <v>3</v>
      </c>
      <c r="M32" s="12">
        <f t="shared" si="3"/>
        <v>0</v>
      </c>
    </row>
    <row r="33" spans="1:13" ht="15" customHeight="1" x14ac:dyDescent="0.2">
      <c r="A33" s="12" t="s">
        <v>39</v>
      </c>
      <c r="B33" s="15">
        <v>0</v>
      </c>
      <c r="C33" s="15">
        <v>0</v>
      </c>
      <c r="D33" s="15">
        <v>0</v>
      </c>
      <c r="E33" s="15">
        <v>2</v>
      </c>
      <c r="F33" s="15">
        <v>0</v>
      </c>
      <c r="G33" s="15">
        <v>0</v>
      </c>
      <c r="H33" s="15">
        <v>0</v>
      </c>
      <c r="I33" s="15">
        <v>0</v>
      </c>
      <c r="J33" s="12">
        <f t="shared" si="0"/>
        <v>2</v>
      </c>
      <c r="K33" s="12">
        <f t="shared" si="1"/>
        <v>0</v>
      </c>
      <c r="L33" s="12">
        <f t="shared" si="2"/>
        <v>0</v>
      </c>
      <c r="M33" s="12">
        <f t="shared" si="3"/>
        <v>0</v>
      </c>
    </row>
    <row r="34" spans="1:13" ht="15" customHeight="1" x14ac:dyDescent="0.2">
      <c r="A34" s="12" t="s">
        <v>40</v>
      </c>
      <c r="B34" s="15">
        <v>0</v>
      </c>
      <c r="C34" s="15">
        <v>0</v>
      </c>
      <c r="D34" s="15">
        <v>0</v>
      </c>
      <c r="E34" s="15">
        <v>1</v>
      </c>
      <c r="F34" s="15">
        <v>3</v>
      </c>
      <c r="G34" s="15">
        <v>0</v>
      </c>
      <c r="H34" s="15">
        <v>0</v>
      </c>
      <c r="I34" s="15">
        <v>0</v>
      </c>
      <c r="J34" s="12">
        <f t="shared" si="0"/>
        <v>1</v>
      </c>
      <c r="K34" s="12">
        <f t="shared" si="1"/>
        <v>0</v>
      </c>
      <c r="L34" s="12">
        <f t="shared" si="2"/>
        <v>3</v>
      </c>
      <c r="M34" s="12">
        <f t="shared" si="3"/>
        <v>0</v>
      </c>
    </row>
    <row r="35" spans="1:13" ht="15" customHeight="1" x14ac:dyDescent="0.2">
      <c r="A35" s="12" t="s">
        <v>41</v>
      </c>
      <c r="B35" s="15">
        <v>0</v>
      </c>
      <c r="C35" s="15">
        <v>0</v>
      </c>
      <c r="D35" s="15">
        <v>0</v>
      </c>
      <c r="E35" s="15">
        <v>1</v>
      </c>
      <c r="F35" s="15">
        <v>1</v>
      </c>
      <c r="G35" s="15">
        <v>0</v>
      </c>
      <c r="H35" s="15">
        <v>0</v>
      </c>
      <c r="I35" s="15">
        <v>0</v>
      </c>
      <c r="J35" s="12">
        <f t="shared" si="0"/>
        <v>1</v>
      </c>
      <c r="K35" s="12">
        <f t="shared" si="1"/>
        <v>0</v>
      </c>
      <c r="L35" s="12">
        <f t="shared" si="2"/>
        <v>1</v>
      </c>
      <c r="M35" s="12">
        <f t="shared" si="3"/>
        <v>0</v>
      </c>
    </row>
    <row r="36" spans="1:13" s="87" customFormat="1" ht="15" customHeight="1" x14ac:dyDescent="0.2">
      <c r="A36" s="85" t="s">
        <v>42</v>
      </c>
      <c r="B36" s="86">
        <v>0</v>
      </c>
      <c r="C36" s="86">
        <v>0</v>
      </c>
      <c r="D36" s="86">
        <v>0</v>
      </c>
      <c r="E36" s="86">
        <v>0</v>
      </c>
      <c r="F36" s="86">
        <v>0</v>
      </c>
      <c r="G36" s="86">
        <v>0</v>
      </c>
      <c r="H36" s="86">
        <v>0</v>
      </c>
      <c r="I36" s="86">
        <v>0</v>
      </c>
      <c r="J36" s="85">
        <f t="shared" si="0"/>
        <v>0</v>
      </c>
      <c r="K36" s="85">
        <f t="shared" si="1"/>
        <v>0</v>
      </c>
      <c r="L36" s="85">
        <f t="shared" si="2"/>
        <v>0</v>
      </c>
      <c r="M36" s="85">
        <f t="shared" si="3"/>
        <v>0</v>
      </c>
    </row>
    <row r="37" spans="1:13" s="87" customFormat="1" ht="15" customHeight="1" x14ac:dyDescent="0.2">
      <c r="A37" s="85" t="s">
        <v>43</v>
      </c>
      <c r="B37" s="86">
        <v>0</v>
      </c>
      <c r="C37" s="86">
        <v>2</v>
      </c>
      <c r="D37" s="86">
        <v>1</v>
      </c>
      <c r="E37" s="86">
        <v>1</v>
      </c>
      <c r="F37" s="86">
        <v>1</v>
      </c>
      <c r="G37" s="86">
        <v>0</v>
      </c>
      <c r="H37" s="86">
        <v>0</v>
      </c>
      <c r="I37" s="86">
        <v>0</v>
      </c>
      <c r="J37" s="85">
        <f t="shared" si="0"/>
        <v>1</v>
      </c>
      <c r="K37" s="85">
        <f t="shared" si="1"/>
        <v>1</v>
      </c>
      <c r="L37" s="85">
        <f t="shared" si="2"/>
        <v>3</v>
      </c>
      <c r="M37" s="85">
        <f t="shared" si="3"/>
        <v>0</v>
      </c>
    </row>
    <row r="38" spans="1:13" s="87" customFormat="1" ht="15" customHeight="1" x14ac:dyDescent="0.2">
      <c r="A38" s="85" t="s">
        <v>44</v>
      </c>
      <c r="B38" s="86">
        <v>0</v>
      </c>
      <c r="C38" s="86">
        <v>0</v>
      </c>
      <c r="D38" s="86">
        <v>0</v>
      </c>
      <c r="E38" s="86">
        <v>0</v>
      </c>
      <c r="F38" s="86">
        <v>0</v>
      </c>
      <c r="G38" s="86">
        <v>0</v>
      </c>
      <c r="H38" s="86">
        <v>1</v>
      </c>
      <c r="I38" s="86">
        <v>0</v>
      </c>
      <c r="J38" s="85">
        <f t="shared" si="0"/>
        <v>1</v>
      </c>
      <c r="K38" s="85">
        <f t="shared" si="1"/>
        <v>0</v>
      </c>
      <c r="L38" s="85">
        <f t="shared" si="2"/>
        <v>0</v>
      </c>
      <c r="M38" s="85">
        <f t="shared" si="3"/>
        <v>0</v>
      </c>
    </row>
    <row r="39" spans="1:13" s="87" customFormat="1" ht="15" customHeight="1" x14ac:dyDescent="0.2">
      <c r="A39" s="85" t="s">
        <v>45</v>
      </c>
      <c r="B39" s="86">
        <v>0</v>
      </c>
      <c r="C39" s="86">
        <v>1</v>
      </c>
      <c r="D39" s="86">
        <v>0</v>
      </c>
      <c r="E39" s="86">
        <v>1</v>
      </c>
      <c r="F39" s="86">
        <v>1</v>
      </c>
      <c r="G39" s="86">
        <v>0</v>
      </c>
      <c r="H39" s="86">
        <v>0</v>
      </c>
      <c r="I39" s="86">
        <v>0</v>
      </c>
      <c r="J39" s="85">
        <f t="shared" si="0"/>
        <v>1</v>
      </c>
      <c r="K39" s="85">
        <f t="shared" si="1"/>
        <v>0</v>
      </c>
      <c r="L39" s="85">
        <f t="shared" si="2"/>
        <v>2</v>
      </c>
      <c r="M39" s="85">
        <f t="shared" si="3"/>
        <v>0</v>
      </c>
    </row>
    <row r="40" spans="1:13" s="87" customFormat="1" ht="15" customHeight="1" x14ac:dyDescent="0.2">
      <c r="A40" s="85" t="s">
        <v>46</v>
      </c>
      <c r="B40" s="86">
        <v>0</v>
      </c>
      <c r="C40" s="86">
        <v>0</v>
      </c>
      <c r="D40" s="86">
        <v>0</v>
      </c>
      <c r="E40" s="86">
        <v>0</v>
      </c>
      <c r="F40" s="86">
        <v>0</v>
      </c>
      <c r="G40" s="86">
        <v>0</v>
      </c>
      <c r="H40" s="86">
        <v>1</v>
      </c>
      <c r="I40" s="86">
        <v>0</v>
      </c>
      <c r="J40" s="85">
        <f t="shared" si="0"/>
        <v>1</v>
      </c>
      <c r="K40" s="85">
        <f t="shared" si="1"/>
        <v>0</v>
      </c>
      <c r="L40" s="85">
        <f t="shared" si="2"/>
        <v>0</v>
      </c>
      <c r="M40" s="85">
        <f t="shared" si="3"/>
        <v>0</v>
      </c>
    </row>
    <row r="41" spans="1:13" s="87" customFormat="1" ht="15" customHeight="1" x14ac:dyDescent="0.2">
      <c r="A41" s="85" t="s">
        <v>47</v>
      </c>
      <c r="B41" s="86">
        <v>0</v>
      </c>
      <c r="C41" s="86">
        <v>6</v>
      </c>
      <c r="D41" s="86">
        <v>1</v>
      </c>
      <c r="E41" s="86">
        <v>1</v>
      </c>
      <c r="F41" s="86">
        <v>0</v>
      </c>
      <c r="G41" s="86">
        <v>0</v>
      </c>
      <c r="H41" s="86">
        <v>0</v>
      </c>
      <c r="I41" s="86">
        <v>0</v>
      </c>
      <c r="J41" s="85">
        <f t="shared" si="0"/>
        <v>1</v>
      </c>
      <c r="K41" s="85">
        <f t="shared" si="1"/>
        <v>1</v>
      </c>
      <c r="L41" s="85">
        <f t="shared" si="2"/>
        <v>6</v>
      </c>
      <c r="M41" s="85">
        <f t="shared" si="3"/>
        <v>0</v>
      </c>
    </row>
    <row r="42" spans="1:13" s="87" customFormat="1" ht="15" customHeight="1" x14ac:dyDescent="0.2">
      <c r="A42" s="85" t="s">
        <v>48</v>
      </c>
      <c r="B42" s="86">
        <v>0</v>
      </c>
      <c r="C42" s="86">
        <v>0</v>
      </c>
      <c r="D42" s="86">
        <v>0</v>
      </c>
      <c r="E42" s="86">
        <v>0</v>
      </c>
      <c r="F42" s="86">
        <v>1</v>
      </c>
      <c r="G42" s="86">
        <v>0</v>
      </c>
      <c r="H42" s="86">
        <v>0</v>
      </c>
      <c r="I42" s="86">
        <v>2</v>
      </c>
      <c r="J42" s="85">
        <f t="shared" si="0"/>
        <v>0</v>
      </c>
      <c r="K42" s="85">
        <f t="shared" si="1"/>
        <v>2</v>
      </c>
      <c r="L42" s="85">
        <f t="shared" si="2"/>
        <v>1</v>
      </c>
      <c r="M42" s="85">
        <f t="shared" si="3"/>
        <v>0</v>
      </c>
    </row>
    <row r="43" spans="1:13" s="87" customFormat="1" ht="15" customHeight="1" x14ac:dyDescent="0.2">
      <c r="A43" s="85" t="s">
        <v>49</v>
      </c>
      <c r="B43" s="86">
        <v>0</v>
      </c>
      <c r="C43" s="86">
        <v>1</v>
      </c>
      <c r="D43" s="86">
        <v>1</v>
      </c>
      <c r="E43" s="86">
        <v>4</v>
      </c>
      <c r="F43" s="86">
        <v>0</v>
      </c>
      <c r="G43" s="86">
        <v>0</v>
      </c>
      <c r="H43" s="86">
        <v>0</v>
      </c>
      <c r="I43" s="86">
        <v>0</v>
      </c>
      <c r="J43" s="85">
        <f t="shared" si="0"/>
        <v>4</v>
      </c>
      <c r="K43" s="85">
        <f t="shared" si="1"/>
        <v>1</v>
      </c>
      <c r="L43" s="85">
        <f t="shared" si="2"/>
        <v>1</v>
      </c>
      <c r="M43" s="85">
        <f t="shared" si="3"/>
        <v>0</v>
      </c>
    </row>
    <row r="44" spans="1:13" s="87" customFormat="1" ht="15" customHeight="1" x14ac:dyDescent="0.2">
      <c r="A44" s="85" t="s">
        <v>50</v>
      </c>
      <c r="B44" s="86">
        <v>0</v>
      </c>
      <c r="C44" s="86">
        <v>0</v>
      </c>
      <c r="D44" s="86">
        <v>0</v>
      </c>
      <c r="E44" s="86">
        <v>4</v>
      </c>
      <c r="F44" s="86">
        <v>1</v>
      </c>
      <c r="G44" s="86">
        <v>0</v>
      </c>
      <c r="H44" s="86">
        <v>0</v>
      </c>
      <c r="I44" s="86">
        <v>0</v>
      </c>
      <c r="J44" s="85">
        <f t="shared" si="0"/>
        <v>4</v>
      </c>
      <c r="K44" s="85">
        <f t="shared" si="1"/>
        <v>0</v>
      </c>
      <c r="L44" s="85">
        <f t="shared" si="2"/>
        <v>1</v>
      </c>
      <c r="M44" s="85">
        <f t="shared" si="3"/>
        <v>0</v>
      </c>
    </row>
    <row r="45" spans="1:13" s="87" customFormat="1" ht="15" customHeight="1" x14ac:dyDescent="0.2">
      <c r="A45" s="85" t="s">
        <v>51</v>
      </c>
      <c r="B45" s="86">
        <v>0</v>
      </c>
      <c r="C45" s="86">
        <v>0</v>
      </c>
      <c r="D45" s="86">
        <v>2</v>
      </c>
      <c r="E45" s="86">
        <v>9</v>
      </c>
      <c r="F45" s="86">
        <v>0</v>
      </c>
      <c r="G45" s="86">
        <v>0</v>
      </c>
      <c r="H45" s="86">
        <v>0</v>
      </c>
      <c r="I45" s="86">
        <v>0</v>
      </c>
      <c r="J45" s="85">
        <f t="shared" si="0"/>
        <v>9</v>
      </c>
      <c r="K45" s="85">
        <f t="shared" si="1"/>
        <v>2</v>
      </c>
      <c r="L45" s="85">
        <f t="shared" si="2"/>
        <v>0</v>
      </c>
      <c r="M45" s="85">
        <f t="shared" si="3"/>
        <v>0</v>
      </c>
    </row>
    <row r="46" spans="1:13" s="87" customFormat="1" ht="15" customHeight="1" x14ac:dyDescent="0.2">
      <c r="A46" s="85" t="s">
        <v>52</v>
      </c>
      <c r="B46" s="86">
        <v>0</v>
      </c>
      <c r="C46" s="86">
        <v>1</v>
      </c>
      <c r="D46" s="86">
        <v>0</v>
      </c>
      <c r="E46" s="86">
        <v>4</v>
      </c>
      <c r="F46" s="86">
        <v>1</v>
      </c>
      <c r="G46" s="86">
        <v>0</v>
      </c>
      <c r="H46" s="86">
        <v>0</v>
      </c>
      <c r="I46" s="86">
        <v>0</v>
      </c>
      <c r="J46" s="85">
        <f t="shared" si="0"/>
        <v>4</v>
      </c>
      <c r="K46" s="85">
        <f t="shared" si="1"/>
        <v>0</v>
      </c>
      <c r="L46" s="85">
        <f t="shared" si="2"/>
        <v>2</v>
      </c>
      <c r="M46" s="85">
        <f t="shared" si="3"/>
        <v>0</v>
      </c>
    </row>
    <row r="47" spans="1:13" s="87" customFormat="1" ht="15" customHeight="1" x14ac:dyDescent="0.2">
      <c r="A47" s="85" t="s">
        <v>53</v>
      </c>
      <c r="B47" s="86">
        <v>0</v>
      </c>
      <c r="C47" s="86">
        <v>1</v>
      </c>
      <c r="D47" s="86">
        <v>0</v>
      </c>
      <c r="E47" s="86">
        <v>0</v>
      </c>
      <c r="F47" s="86">
        <v>0</v>
      </c>
      <c r="G47" s="86">
        <v>0</v>
      </c>
      <c r="H47" s="86">
        <v>0</v>
      </c>
      <c r="I47" s="86">
        <v>0</v>
      </c>
      <c r="J47" s="85">
        <f t="shared" si="0"/>
        <v>0</v>
      </c>
      <c r="K47" s="85">
        <f t="shared" si="1"/>
        <v>0</v>
      </c>
      <c r="L47" s="85">
        <f t="shared" si="2"/>
        <v>1</v>
      </c>
      <c r="M47" s="85">
        <f t="shared" si="3"/>
        <v>0</v>
      </c>
    </row>
    <row r="48" spans="1:13" s="87" customFormat="1" ht="15" customHeight="1" x14ac:dyDescent="0.2">
      <c r="A48" s="85" t="s">
        <v>54</v>
      </c>
      <c r="B48" s="86">
        <v>0</v>
      </c>
      <c r="C48" s="86">
        <v>0</v>
      </c>
      <c r="D48" s="86">
        <v>0</v>
      </c>
      <c r="E48" s="86">
        <v>0</v>
      </c>
      <c r="F48" s="86">
        <v>1</v>
      </c>
      <c r="G48" s="86">
        <v>0</v>
      </c>
      <c r="H48" s="86">
        <v>1</v>
      </c>
      <c r="I48" s="86">
        <v>0</v>
      </c>
      <c r="J48" s="85">
        <f t="shared" si="0"/>
        <v>1</v>
      </c>
      <c r="K48" s="85">
        <f t="shared" si="1"/>
        <v>0</v>
      </c>
      <c r="L48" s="85">
        <f t="shared" si="2"/>
        <v>1</v>
      </c>
      <c r="M48" s="85">
        <f t="shared" si="3"/>
        <v>0</v>
      </c>
    </row>
    <row r="49" spans="1:13" s="87" customFormat="1" ht="15" customHeight="1" x14ac:dyDescent="0.2">
      <c r="A49" s="85" t="s">
        <v>55</v>
      </c>
      <c r="B49" s="86">
        <v>0</v>
      </c>
      <c r="C49" s="86">
        <v>1</v>
      </c>
      <c r="D49" s="86">
        <v>0</v>
      </c>
      <c r="E49" s="86">
        <v>1</v>
      </c>
      <c r="F49" s="86">
        <v>0</v>
      </c>
      <c r="G49" s="86">
        <v>0</v>
      </c>
      <c r="H49" s="86">
        <v>0</v>
      </c>
      <c r="I49" s="86">
        <v>0</v>
      </c>
      <c r="J49" s="85">
        <f t="shared" si="0"/>
        <v>1</v>
      </c>
      <c r="K49" s="85">
        <f t="shared" si="1"/>
        <v>0</v>
      </c>
      <c r="L49" s="85">
        <f t="shared" si="2"/>
        <v>1</v>
      </c>
      <c r="M49" s="85">
        <f t="shared" si="3"/>
        <v>0</v>
      </c>
    </row>
    <row r="50" spans="1:13" s="87" customFormat="1" ht="15" customHeight="1" x14ac:dyDescent="0.2">
      <c r="A50" s="85" t="s">
        <v>56</v>
      </c>
      <c r="B50" s="86">
        <v>0</v>
      </c>
      <c r="C50" s="86">
        <v>1</v>
      </c>
      <c r="D50" s="86">
        <v>0</v>
      </c>
      <c r="E50" s="86">
        <v>1</v>
      </c>
      <c r="F50" s="86">
        <v>0</v>
      </c>
      <c r="G50" s="86">
        <v>0</v>
      </c>
      <c r="H50" s="86">
        <v>0</v>
      </c>
      <c r="I50" s="86">
        <v>0</v>
      </c>
      <c r="J50" s="85">
        <f t="shared" si="0"/>
        <v>1</v>
      </c>
      <c r="K50" s="85">
        <f t="shared" si="1"/>
        <v>0</v>
      </c>
      <c r="L50" s="85">
        <f t="shared" si="2"/>
        <v>1</v>
      </c>
      <c r="M50" s="85">
        <f t="shared" si="3"/>
        <v>0</v>
      </c>
    </row>
    <row r="51" spans="1:13" s="87" customFormat="1" ht="15" customHeight="1" x14ac:dyDescent="0.2">
      <c r="A51" s="85" t="s">
        <v>57</v>
      </c>
      <c r="B51" s="86">
        <v>0</v>
      </c>
      <c r="C51" s="86">
        <v>0</v>
      </c>
      <c r="D51" s="86">
        <v>0</v>
      </c>
      <c r="E51" s="86">
        <v>0</v>
      </c>
      <c r="F51" s="86">
        <v>0</v>
      </c>
      <c r="G51" s="86">
        <v>0</v>
      </c>
      <c r="H51" s="86">
        <v>0</v>
      </c>
      <c r="I51" s="86">
        <v>0</v>
      </c>
      <c r="J51" s="85">
        <f t="shared" si="0"/>
        <v>0</v>
      </c>
      <c r="K51" s="85">
        <f t="shared" si="1"/>
        <v>0</v>
      </c>
      <c r="L51" s="85">
        <f t="shared" si="2"/>
        <v>0</v>
      </c>
      <c r="M51" s="85">
        <f t="shared" si="3"/>
        <v>0</v>
      </c>
    </row>
    <row r="52" spans="1:13" s="87" customFormat="1" ht="15" customHeight="1" x14ac:dyDescent="0.2">
      <c r="A52" s="85" t="s">
        <v>58</v>
      </c>
      <c r="B52" s="86">
        <v>0</v>
      </c>
      <c r="C52" s="86">
        <v>1</v>
      </c>
      <c r="D52" s="86">
        <v>0</v>
      </c>
      <c r="E52" s="86">
        <v>0</v>
      </c>
      <c r="F52" s="86">
        <v>0</v>
      </c>
      <c r="G52" s="86">
        <v>0</v>
      </c>
      <c r="H52" s="86">
        <v>0</v>
      </c>
      <c r="I52" s="86">
        <v>0</v>
      </c>
      <c r="J52" s="85">
        <f t="shared" si="0"/>
        <v>0</v>
      </c>
      <c r="K52" s="85">
        <f t="shared" si="1"/>
        <v>0</v>
      </c>
      <c r="L52" s="85">
        <f t="shared" si="2"/>
        <v>1</v>
      </c>
      <c r="M52" s="85">
        <f t="shared" si="3"/>
        <v>0</v>
      </c>
    </row>
    <row r="53" spans="1:13" s="87" customFormat="1" ht="15" customHeight="1" x14ac:dyDescent="0.2">
      <c r="A53" s="85" t="s">
        <v>59</v>
      </c>
      <c r="B53" s="86">
        <v>0</v>
      </c>
      <c r="C53" s="86">
        <v>0</v>
      </c>
      <c r="D53" s="86">
        <v>0</v>
      </c>
      <c r="E53" s="86">
        <v>0</v>
      </c>
      <c r="F53" s="86">
        <v>0</v>
      </c>
      <c r="G53" s="86">
        <v>0</v>
      </c>
      <c r="H53" s="86">
        <v>0</v>
      </c>
      <c r="I53" s="86">
        <v>0</v>
      </c>
      <c r="J53" s="85">
        <f t="shared" si="0"/>
        <v>0</v>
      </c>
      <c r="K53" s="85">
        <f t="shared" si="1"/>
        <v>0</v>
      </c>
      <c r="L53" s="85">
        <f t="shared" si="2"/>
        <v>0</v>
      </c>
      <c r="M53" s="85">
        <f t="shared" si="3"/>
        <v>0</v>
      </c>
    </row>
    <row r="54" spans="1:13" s="87" customFormat="1" ht="15" customHeight="1" x14ac:dyDescent="0.2">
      <c r="A54" s="85" t="s">
        <v>60</v>
      </c>
      <c r="B54" s="86">
        <v>0</v>
      </c>
      <c r="C54" s="86">
        <v>0</v>
      </c>
      <c r="D54" s="86">
        <v>0</v>
      </c>
      <c r="E54" s="86">
        <v>0</v>
      </c>
      <c r="F54" s="86">
        <v>0</v>
      </c>
      <c r="G54" s="86">
        <v>0</v>
      </c>
      <c r="H54" s="86">
        <v>1</v>
      </c>
      <c r="I54" s="86">
        <v>0</v>
      </c>
      <c r="J54" s="85">
        <f t="shared" si="0"/>
        <v>1</v>
      </c>
      <c r="K54" s="85">
        <f t="shared" si="1"/>
        <v>0</v>
      </c>
      <c r="L54" s="85">
        <f t="shared" si="2"/>
        <v>0</v>
      </c>
      <c r="M54" s="85">
        <f t="shared" si="3"/>
        <v>0</v>
      </c>
    </row>
    <row r="55" spans="1:13" s="87" customFormat="1" ht="15" customHeight="1" x14ac:dyDescent="0.2">
      <c r="A55" s="85" t="s">
        <v>61</v>
      </c>
      <c r="B55" s="86">
        <v>0</v>
      </c>
      <c r="C55" s="86">
        <v>0</v>
      </c>
      <c r="D55" s="86">
        <v>0</v>
      </c>
      <c r="E55" s="86">
        <v>0</v>
      </c>
      <c r="F55" s="86">
        <v>2</v>
      </c>
      <c r="G55" s="86">
        <v>0</v>
      </c>
      <c r="H55" s="86">
        <v>0</v>
      </c>
      <c r="I55" s="86">
        <v>0</v>
      </c>
      <c r="J55" s="85">
        <f t="shared" si="0"/>
        <v>0</v>
      </c>
      <c r="K55" s="85">
        <f t="shared" si="1"/>
        <v>0</v>
      </c>
      <c r="L55" s="85">
        <f t="shared" si="2"/>
        <v>2</v>
      </c>
      <c r="M55" s="85">
        <f t="shared" si="3"/>
        <v>0</v>
      </c>
    </row>
    <row r="56" spans="1:13" s="87" customFormat="1" ht="15" customHeight="1" x14ac:dyDescent="0.2">
      <c r="A56" s="85" t="s">
        <v>62</v>
      </c>
      <c r="B56" s="86">
        <v>0</v>
      </c>
      <c r="C56" s="86">
        <v>0</v>
      </c>
      <c r="D56" s="86">
        <v>0</v>
      </c>
      <c r="E56" s="86">
        <v>0</v>
      </c>
      <c r="F56" s="86">
        <v>0</v>
      </c>
      <c r="G56" s="86">
        <v>0</v>
      </c>
      <c r="H56" s="86">
        <v>0</v>
      </c>
      <c r="I56" s="86">
        <v>0</v>
      </c>
      <c r="J56" s="85">
        <f t="shared" si="0"/>
        <v>0</v>
      </c>
      <c r="K56" s="85">
        <f t="shared" si="1"/>
        <v>0</v>
      </c>
      <c r="L56" s="85">
        <f t="shared" si="2"/>
        <v>0</v>
      </c>
      <c r="M56" s="85">
        <f t="shared" si="3"/>
        <v>0</v>
      </c>
    </row>
    <row r="57" spans="1:13" s="87" customFormat="1" ht="15" customHeight="1" x14ac:dyDescent="0.2">
      <c r="A57" s="85" t="s">
        <v>63</v>
      </c>
      <c r="B57" s="86">
        <v>0</v>
      </c>
      <c r="C57" s="86">
        <v>0</v>
      </c>
      <c r="D57" s="86">
        <v>0</v>
      </c>
      <c r="E57" s="86">
        <v>0</v>
      </c>
      <c r="F57" s="86">
        <v>0</v>
      </c>
      <c r="G57" s="86">
        <v>0</v>
      </c>
      <c r="H57" s="86">
        <v>0</v>
      </c>
      <c r="I57" s="86">
        <v>0</v>
      </c>
      <c r="J57" s="85">
        <f t="shared" si="0"/>
        <v>0</v>
      </c>
      <c r="K57" s="85">
        <f t="shared" si="1"/>
        <v>0</v>
      </c>
      <c r="L57" s="85">
        <f t="shared" si="2"/>
        <v>0</v>
      </c>
      <c r="M57" s="85">
        <f t="shared" si="3"/>
        <v>0</v>
      </c>
    </row>
    <row r="58" spans="1:13" s="87" customFormat="1" ht="15" customHeight="1" x14ac:dyDescent="0.2">
      <c r="A58" s="85" t="s">
        <v>64</v>
      </c>
      <c r="B58" s="86">
        <v>0</v>
      </c>
      <c r="C58" s="86">
        <v>0</v>
      </c>
      <c r="D58" s="86">
        <v>0</v>
      </c>
      <c r="E58" s="86">
        <v>0</v>
      </c>
      <c r="F58" s="86">
        <v>0</v>
      </c>
      <c r="G58" s="86">
        <v>0</v>
      </c>
      <c r="H58" s="86">
        <v>0</v>
      </c>
      <c r="I58" s="86">
        <v>0</v>
      </c>
      <c r="J58" s="85">
        <f t="shared" si="0"/>
        <v>0</v>
      </c>
      <c r="K58" s="85">
        <f t="shared" si="1"/>
        <v>0</v>
      </c>
      <c r="L58" s="85">
        <f t="shared" si="2"/>
        <v>0</v>
      </c>
      <c r="M58" s="85">
        <f t="shared" si="3"/>
        <v>0</v>
      </c>
    </row>
    <row r="59" spans="1:13" s="87" customFormat="1" ht="15" customHeight="1" x14ac:dyDescent="0.2">
      <c r="A59" s="85" t="s">
        <v>65</v>
      </c>
      <c r="B59" s="86">
        <v>0</v>
      </c>
      <c r="C59" s="86">
        <v>0</v>
      </c>
      <c r="D59" s="86">
        <v>0</v>
      </c>
      <c r="E59" s="86">
        <v>0</v>
      </c>
      <c r="F59" s="86">
        <v>0</v>
      </c>
      <c r="G59" s="86">
        <v>0</v>
      </c>
      <c r="H59" s="86">
        <v>0</v>
      </c>
      <c r="I59" s="86">
        <v>0</v>
      </c>
      <c r="J59" s="85">
        <f t="shared" si="0"/>
        <v>0</v>
      </c>
      <c r="K59" s="85">
        <f t="shared" si="1"/>
        <v>0</v>
      </c>
      <c r="L59" s="85">
        <f t="shared" si="2"/>
        <v>0</v>
      </c>
      <c r="M59" s="85">
        <f t="shared" si="3"/>
        <v>0</v>
      </c>
    </row>
    <row r="60" spans="1:13" s="87" customFormat="1" ht="15" customHeight="1" x14ac:dyDescent="0.2">
      <c r="A60" s="85" t="s">
        <v>66</v>
      </c>
      <c r="B60" s="86">
        <v>0</v>
      </c>
      <c r="C60" s="86">
        <v>0</v>
      </c>
      <c r="D60" s="86">
        <v>0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5">
        <f t="shared" si="0"/>
        <v>0</v>
      </c>
      <c r="K60" s="85">
        <f t="shared" si="1"/>
        <v>0</v>
      </c>
      <c r="L60" s="85">
        <f t="shared" si="2"/>
        <v>0</v>
      </c>
      <c r="M60" s="85">
        <f t="shared" si="3"/>
        <v>0</v>
      </c>
    </row>
    <row r="61" spans="1:13" s="87" customFormat="1" ht="15" customHeight="1" x14ac:dyDescent="0.2">
      <c r="A61" s="85" t="s">
        <v>67</v>
      </c>
      <c r="B61" s="86">
        <v>0</v>
      </c>
      <c r="C61" s="86">
        <v>0</v>
      </c>
      <c r="D61" s="86">
        <v>1</v>
      </c>
      <c r="E61" s="86">
        <v>0</v>
      </c>
      <c r="F61" s="86">
        <v>0</v>
      </c>
      <c r="G61" s="86">
        <v>0</v>
      </c>
      <c r="H61" s="86">
        <v>0</v>
      </c>
      <c r="I61" s="86">
        <v>0</v>
      </c>
      <c r="J61" s="85">
        <f t="shared" si="0"/>
        <v>0</v>
      </c>
      <c r="K61" s="85">
        <f t="shared" si="1"/>
        <v>1</v>
      </c>
      <c r="L61" s="85">
        <f t="shared" si="2"/>
        <v>0</v>
      </c>
      <c r="M61" s="85">
        <f t="shared" si="3"/>
        <v>0</v>
      </c>
    </row>
    <row r="62" spans="1:13" s="87" customFormat="1" ht="15" customHeight="1" x14ac:dyDescent="0.2">
      <c r="A62" s="85" t="s">
        <v>68</v>
      </c>
      <c r="B62" s="86">
        <v>0</v>
      </c>
      <c r="C62" s="86">
        <v>0</v>
      </c>
      <c r="D62" s="86">
        <v>0</v>
      </c>
      <c r="E62" s="86">
        <v>0</v>
      </c>
      <c r="F62" s="86">
        <v>0</v>
      </c>
      <c r="G62" s="86">
        <v>0</v>
      </c>
      <c r="H62" s="86">
        <v>0</v>
      </c>
      <c r="I62" s="86">
        <v>0</v>
      </c>
      <c r="J62" s="85">
        <f t="shared" si="0"/>
        <v>0</v>
      </c>
      <c r="K62" s="85">
        <f t="shared" si="1"/>
        <v>0</v>
      </c>
      <c r="L62" s="85">
        <f t="shared" si="2"/>
        <v>0</v>
      </c>
      <c r="M62" s="85">
        <f t="shared" si="3"/>
        <v>0</v>
      </c>
    </row>
    <row r="63" spans="1:13" s="87" customFormat="1" ht="15" customHeight="1" x14ac:dyDescent="0.2">
      <c r="A63" s="85" t="s">
        <v>69</v>
      </c>
      <c r="B63" s="86">
        <v>0</v>
      </c>
      <c r="C63" s="86">
        <v>0</v>
      </c>
      <c r="D63" s="86">
        <v>0</v>
      </c>
      <c r="E63" s="86">
        <v>0</v>
      </c>
      <c r="F63" s="86">
        <v>0</v>
      </c>
      <c r="G63" s="86">
        <v>0</v>
      </c>
      <c r="H63" s="86">
        <v>0</v>
      </c>
      <c r="I63" s="86">
        <v>0</v>
      </c>
      <c r="J63" s="85">
        <f t="shared" si="0"/>
        <v>0</v>
      </c>
      <c r="K63" s="85">
        <f t="shared" si="1"/>
        <v>0</v>
      </c>
      <c r="L63" s="85">
        <f t="shared" si="2"/>
        <v>0</v>
      </c>
      <c r="M63" s="85">
        <f t="shared" si="3"/>
        <v>0</v>
      </c>
    </row>
    <row r="64" spans="1:13" s="87" customFormat="1" ht="15" customHeight="1" x14ac:dyDescent="0.2">
      <c r="A64" s="85" t="s">
        <v>70</v>
      </c>
      <c r="B64" s="86">
        <v>0</v>
      </c>
      <c r="C64" s="86">
        <v>1</v>
      </c>
      <c r="D64" s="86">
        <v>1</v>
      </c>
      <c r="E64" s="86">
        <v>0</v>
      </c>
      <c r="F64" s="86">
        <v>1</v>
      </c>
      <c r="G64" s="86">
        <v>0</v>
      </c>
      <c r="H64" s="86">
        <v>0</v>
      </c>
      <c r="I64" s="86">
        <v>0</v>
      </c>
      <c r="J64" s="85">
        <f t="shared" si="0"/>
        <v>0</v>
      </c>
      <c r="K64" s="85">
        <f t="shared" si="1"/>
        <v>1</v>
      </c>
      <c r="L64" s="85">
        <f t="shared" si="2"/>
        <v>2</v>
      </c>
      <c r="M64" s="85">
        <f t="shared" si="3"/>
        <v>0</v>
      </c>
    </row>
    <row r="65" spans="1:13" s="87" customFormat="1" ht="15" customHeight="1" x14ac:dyDescent="0.2">
      <c r="A65" s="85" t="s">
        <v>71</v>
      </c>
      <c r="B65" s="86">
        <v>0</v>
      </c>
      <c r="C65" s="86">
        <v>0</v>
      </c>
      <c r="D65" s="86">
        <v>1</v>
      </c>
      <c r="E65" s="86">
        <v>0</v>
      </c>
      <c r="F65" s="86">
        <v>0</v>
      </c>
      <c r="G65" s="86">
        <v>0</v>
      </c>
      <c r="H65" s="86">
        <v>0</v>
      </c>
      <c r="I65" s="86">
        <v>1</v>
      </c>
      <c r="J65" s="85">
        <f t="shared" si="0"/>
        <v>0</v>
      </c>
      <c r="K65" s="85">
        <f t="shared" si="1"/>
        <v>2</v>
      </c>
      <c r="L65" s="85">
        <f t="shared" si="2"/>
        <v>0</v>
      </c>
      <c r="M65" s="85">
        <f t="shared" si="3"/>
        <v>0</v>
      </c>
    </row>
    <row r="66" spans="1:13" s="87" customFormat="1" ht="15" customHeight="1" x14ac:dyDescent="0.2">
      <c r="A66" s="85" t="s">
        <v>72</v>
      </c>
      <c r="B66" s="86">
        <v>0</v>
      </c>
      <c r="C66" s="86">
        <v>0</v>
      </c>
      <c r="D66" s="86">
        <v>0</v>
      </c>
      <c r="E66" s="86">
        <v>0</v>
      </c>
      <c r="F66" s="86">
        <v>0</v>
      </c>
      <c r="G66" s="86">
        <v>0</v>
      </c>
      <c r="H66" s="86">
        <v>0</v>
      </c>
      <c r="I66" s="86">
        <v>0</v>
      </c>
      <c r="J66" s="85">
        <f t="shared" si="0"/>
        <v>0</v>
      </c>
      <c r="K66" s="85">
        <f t="shared" si="1"/>
        <v>0</v>
      </c>
      <c r="L66" s="85">
        <f t="shared" si="2"/>
        <v>0</v>
      </c>
      <c r="M66" s="85">
        <f t="shared" si="3"/>
        <v>0</v>
      </c>
    </row>
    <row r="67" spans="1:13" s="87" customFormat="1" ht="15" customHeight="1" x14ac:dyDescent="0.2">
      <c r="A67" s="85" t="s">
        <v>73</v>
      </c>
      <c r="B67" s="86">
        <v>0</v>
      </c>
      <c r="C67" s="86">
        <v>1</v>
      </c>
      <c r="D67" s="86">
        <v>0</v>
      </c>
      <c r="E67" s="86">
        <v>0</v>
      </c>
      <c r="F67" s="86">
        <v>0</v>
      </c>
      <c r="G67" s="86">
        <v>0</v>
      </c>
      <c r="H67" s="86">
        <v>0</v>
      </c>
      <c r="I67" s="86">
        <v>0</v>
      </c>
      <c r="J67" s="85">
        <f t="shared" si="0"/>
        <v>0</v>
      </c>
      <c r="K67" s="85">
        <f t="shared" si="1"/>
        <v>0</v>
      </c>
      <c r="L67" s="85">
        <f t="shared" si="2"/>
        <v>1</v>
      </c>
      <c r="M67" s="85">
        <f t="shared" si="3"/>
        <v>0</v>
      </c>
    </row>
    <row r="68" spans="1:13" s="87" customFormat="1" ht="15" customHeight="1" x14ac:dyDescent="0.2">
      <c r="A68" s="85" t="s">
        <v>74</v>
      </c>
      <c r="B68" s="86">
        <v>0</v>
      </c>
      <c r="C68" s="86">
        <v>0</v>
      </c>
      <c r="D68" s="86">
        <v>0</v>
      </c>
      <c r="E68" s="86">
        <v>0</v>
      </c>
      <c r="F68" s="86">
        <v>2</v>
      </c>
      <c r="G68" s="86">
        <v>0</v>
      </c>
      <c r="H68" s="86">
        <v>0</v>
      </c>
      <c r="I68" s="86">
        <v>0</v>
      </c>
      <c r="J68" s="85">
        <f t="shared" si="0"/>
        <v>0</v>
      </c>
      <c r="K68" s="85">
        <f t="shared" si="1"/>
        <v>0</v>
      </c>
      <c r="L68" s="85">
        <f t="shared" si="2"/>
        <v>2</v>
      </c>
      <c r="M68" s="85">
        <f t="shared" si="3"/>
        <v>0</v>
      </c>
    </row>
    <row r="69" spans="1:13" s="87" customFormat="1" ht="15" customHeight="1" x14ac:dyDescent="0.2">
      <c r="A69" s="85" t="s">
        <v>75</v>
      </c>
      <c r="B69" s="86">
        <v>0</v>
      </c>
      <c r="C69" s="86">
        <v>0</v>
      </c>
      <c r="D69" s="86">
        <v>0</v>
      </c>
      <c r="E69" s="86">
        <v>0</v>
      </c>
      <c r="F69" s="86">
        <v>0</v>
      </c>
      <c r="G69" s="86">
        <v>0</v>
      </c>
      <c r="H69" s="86">
        <v>0</v>
      </c>
      <c r="I69" s="86">
        <v>0</v>
      </c>
      <c r="J69" s="85">
        <f t="shared" si="0"/>
        <v>0</v>
      </c>
      <c r="K69" s="85">
        <f t="shared" si="1"/>
        <v>0</v>
      </c>
      <c r="L69" s="85">
        <f t="shared" si="2"/>
        <v>0</v>
      </c>
      <c r="M69" s="85">
        <f t="shared" si="3"/>
        <v>0</v>
      </c>
    </row>
    <row r="70" spans="1:13" s="87" customFormat="1" ht="15" customHeight="1" x14ac:dyDescent="0.2">
      <c r="A70" s="85" t="s">
        <v>76</v>
      </c>
      <c r="B70" s="86">
        <v>0</v>
      </c>
      <c r="C70" s="86">
        <v>0</v>
      </c>
      <c r="D70" s="86">
        <v>3</v>
      </c>
      <c r="E70" s="86">
        <v>0</v>
      </c>
      <c r="F70" s="86">
        <v>0</v>
      </c>
      <c r="G70" s="86">
        <v>0</v>
      </c>
      <c r="H70" s="86">
        <v>0</v>
      </c>
      <c r="I70" s="86">
        <v>0</v>
      </c>
      <c r="J70" s="85">
        <f t="shared" si="0"/>
        <v>0</v>
      </c>
      <c r="K70" s="85">
        <f t="shared" si="1"/>
        <v>3</v>
      </c>
      <c r="L70" s="85">
        <f t="shared" si="2"/>
        <v>0</v>
      </c>
      <c r="M70" s="85">
        <f t="shared" si="3"/>
        <v>0</v>
      </c>
    </row>
    <row r="71" spans="1:13" s="87" customFormat="1" ht="15" customHeight="1" x14ac:dyDescent="0.2">
      <c r="A71" s="85" t="s">
        <v>77</v>
      </c>
      <c r="B71" s="86">
        <v>0</v>
      </c>
      <c r="C71" s="86">
        <v>0</v>
      </c>
      <c r="D71" s="86">
        <v>0</v>
      </c>
      <c r="E71" s="86">
        <v>0</v>
      </c>
      <c r="F71" s="86">
        <v>1</v>
      </c>
      <c r="G71" s="86">
        <v>0</v>
      </c>
      <c r="H71" s="86">
        <v>0</v>
      </c>
      <c r="I71" s="86">
        <v>1</v>
      </c>
      <c r="J71" s="85">
        <f t="shared" si="0"/>
        <v>0</v>
      </c>
      <c r="K71" s="85">
        <f t="shared" si="1"/>
        <v>1</v>
      </c>
      <c r="L71" s="85">
        <f t="shared" si="2"/>
        <v>1</v>
      </c>
      <c r="M71" s="85">
        <f t="shared" si="3"/>
        <v>0</v>
      </c>
    </row>
    <row r="72" spans="1:13" s="87" customFormat="1" ht="15" customHeight="1" x14ac:dyDescent="0.2">
      <c r="A72" s="85" t="s">
        <v>78</v>
      </c>
      <c r="B72" s="86">
        <v>0</v>
      </c>
      <c r="C72" s="86">
        <v>0</v>
      </c>
      <c r="D72" s="86">
        <v>0</v>
      </c>
      <c r="E72" s="86">
        <v>0</v>
      </c>
      <c r="F72" s="86">
        <v>0</v>
      </c>
      <c r="G72" s="86">
        <v>0</v>
      </c>
      <c r="H72" s="86">
        <v>0</v>
      </c>
      <c r="I72" s="86">
        <v>0</v>
      </c>
      <c r="J72" s="85">
        <f t="shared" si="0"/>
        <v>0</v>
      </c>
      <c r="K72" s="85">
        <f t="shared" si="1"/>
        <v>0</v>
      </c>
      <c r="L72" s="85">
        <f t="shared" si="2"/>
        <v>0</v>
      </c>
      <c r="M72" s="85">
        <f t="shared" si="3"/>
        <v>0</v>
      </c>
    </row>
    <row r="73" spans="1:13" s="87" customFormat="1" ht="15" customHeight="1" x14ac:dyDescent="0.2">
      <c r="A73" s="85" t="s">
        <v>79</v>
      </c>
      <c r="B73" s="86">
        <v>0</v>
      </c>
      <c r="C73" s="86">
        <v>0</v>
      </c>
      <c r="D73" s="86">
        <v>0</v>
      </c>
      <c r="E73" s="86">
        <v>0</v>
      </c>
      <c r="F73" s="86">
        <v>2</v>
      </c>
      <c r="G73" s="86">
        <v>0</v>
      </c>
      <c r="H73" s="86">
        <v>1</v>
      </c>
      <c r="I73" s="86">
        <v>6</v>
      </c>
      <c r="J73" s="85">
        <f t="shared" ref="J73:J136" si="4">SUM(E73,H73)</f>
        <v>1</v>
      </c>
      <c r="K73" s="85">
        <f t="shared" ref="K73:K136" si="5">SUM(D73,I73)</f>
        <v>6</v>
      </c>
      <c r="L73" s="85">
        <f t="shared" ref="L73:L136" si="6">SUM(C73,F73)</f>
        <v>2</v>
      </c>
      <c r="M73" s="85">
        <f t="shared" ref="M73:M136" si="7">SUM(B73,G73)</f>
        <v>0</v>
      </c>
    </row>
    <row r="74" spans="1:13" s="87" customFormat="1" ht="15" customHeight="1" x14ac:dyDescent="0.2">
      <c r="A74" s="85" t="s">
        <v>80</v>
      </c>
      <c r="B74" s="86">
        <v>0</v>
      </c>
      <c r="C74" s="86">
        <v>1</v>
      </c>
      <c r="D74" s="86">
        <v>0</v>
      </c>
      <c r="E74" s="86">
        <v>2</v>
      </c>
      <c r="F74" s="86">
        <v>0</v>
      </c>
      <c r="G74" s="86">
        <v>0</v>
      </c>
      <c r="H74" s="86">
        <v>0</v>
      </c>
      <c r="I74" s="86">
        <v>1</v>
      </c>
      <c r="J74" s="85">
        <f t="shared" si="4"/>
        <v>2</v>
      </c>
      <c r="K74" s="85">
        <f t="shared" si="5"/>
        <v>1</v>
      </c>
      <c r="L74" s="85">
        <f t="shared" si="6"/>
        <v>1</v>
      </c>
      <c r="M74" s="85">
        <f t="shared" si="7"/>
        <v>0</v>
      </c>
    </row>
    <row r="75" spans="1:13" s="87" customFormat="1" ht="15" customHeight="1" x14ac:dyDescent="0.2">
      <c r="A75" s="85" t="s">
        <v>81</v>
      </c>
      <c r="B75" s="86">
        <v>0</v>
      </c>
      <c r="C75" s="86">
        <v>0</v>
      </c>
      <c r="D75" s="86">
        <v>0</v>
      </c>
      <c r="E75" s="86">
        <v>0</v>
      </c>
      <c r="F75" s="86">
        <v>0</v>
      </c>
      <c r="G75" s="86">
        <v>0</v>
      </c>
      <c r="H75" s="86">
        <v>0</v>
      </c>
      <c r="I75" s="86">
        <v>0</v>
      </c>
      <c r="J75" s="85">
        <f t="shared" si="4"/>
        <v>0</v>
      </c>
      <c r="K75" s="85">
        <f t="shared" si="5"/>
        <v>0</v>
      </c>
      <c r="L75" s="85">
        <f t="shared" si="6"/>
        <v>0</v>
      </c>
      <c r="M75" s="85">
        <f t="shared" si="7"/>
        <v>0</v>
      </c>
    </row>
    <row r="76" spans="1:13" s="87" customFormat="1" ht="15" customHeight="1" x14ac:dyDescent="0.2">
      <c r="A76" s="85" t="s">
        <v>82</v>
      </c>
      <c r="B76" s="86">
        <v>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5">
        <f t="shared" si="4"/>
        <v>0</v>
      </c>
      <c r="K76" s="85">
        <f t="shared" si="5"/>
        <v>0</v>
      </c>
      <c r="L76" s="85">
        <f t="shared" si="6"/>
        <v>0</v>
      </c>
      <c r="M76" s="85">
        <f t="shared" si="7"/>
        <v>0</v>
      </c>
    </row>
    <row r="77" spans="1:13" s="87" customFormat="1" ht="15" customHeight="1" x14ac:dyDescent="0.2">
      <c r="A77" s="85" t="s">
        <v>83</v>
      </c>
      <c r="B77" s="86">
        <v>0</v>
      </c>
      <c r="C77" s="86">
        <v>0</v>
      </c>
      <c r="D77" s="86">
        <v>0</v>
      </c>
      <c r="E77" s="86">
        <v>0</v>
      </c>
      <c r="F77" s="86">
        <v>0</v>
      </c>
      <c r="G77" s="86">
        <v>0</v>
      </c>
      <c r="H77" s="86">
        <v>0</v>
      </c>
      <c r="I77" s="86">
        <v>1</v>
      </c>
      <c r="J77" s="85">
        <f t="shared" si="4"/>
        <v>0</v>
      </c>
      <c r="K77" s="85">
        <f t="shared" si="5"/>
        <v>1</v>
      </c>
      <c r="L77" s="85">
        <f t="shared" si="6"/>
        <v>0</v>
      </c>
      <c r="M77" s="85">
        <f t="shared" si="7"/>
        <v>0</v>
      </c>
    </row>
    <row r="78" spans="1:13" s="87" customFormat="1" ht="15" customHeight="1" x14ac:dyDescent="0.2">
      <c r="A78" s="85" t="s">
        <v>84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5">
        <f t="shared" si="4"/>
        <v>0</v>
      </c>
      <c r="K78" s="85">
        <f t="shared" si="5"/>
        <v>0</v>
      </c>
      <c r="L78" s="85">
        <f t="shared" si="6"/>
        <v>0</v>
      </c>
      <c r="M78" s="85">
        <f t="shared" si="7"/>
        <v>0</v>
      </c>
    </row>
    <row r="79" spans="1:13" s="87" customFormat="1" ht="15" customHeight="1" x14ac:dyDescent="0.2">
      <c r="A79" s="85" t="s">
        <v>85</v>
      </c>
      <c r="B79" s="86">
        <v>0</v>
      </c>
      <c r="C79" s="86">
        <v>0</v>
      </c>
      <c r="D79" s="86">
        <v>1</v>
      </c>
      <c r="E79" s="86">
        <v>0</v>
      </c>
      <c r="F79" s="86">
        <v>3</v>
      </c>
      <c r="G79" s="86">
        <v>0</v>
      </c>
      <c r="H79" s="86">
        <v>0</v>
      </c>
      <c r="I79" s="86">
        <v>2</v>
      </c>
      <c r="J79" s="85">
        <f t="shared" si="4"/>
        <v>0</v>
      </c>
      <c r="K79" s="85">
        <f t="shared" si="5"/>
        <v>3</v>
      </c>
      <c r="L79" s="85">
        <f t="shared" si="6"/>
        <v>3</v>
      </c>
      <c r="M79" s="85">
        <f t="shared" si="7"/>
        <v>0</v>
      </c>
    </row>
    <row r="80" spans="1:13" s="87" customFormat="1" ht="15" customHeight="1" x14ac:dyDescent="0.2">
      <c r="A80" s="85" t="s">
        <v>86</v>
      </c>
      <c r="B80" s="86">
        <v>0</v>
      </c>
      <c r="C80" s="86">
        <v>0</v>
      </c>
      <c r="D80" s="86">
        <v>0</v>
      </c>
      <c r="E80" s="86">
        <v>1</v>
      </c>
      <c r="F80" s="86">
        <v>0</v>
      </c>
      <c r="G80" s="86">
        <v>0</v>
      </c>
      <c r="H80" s="86">
        <v>0</v>
      </c>
      <c r="I80" s="86">
        <v>0</v>
      </c>
      <c r="J80" s="85">
        <f t="shared" si="4"/>
        <v>1</v>
      </c>
      <c r="K80" s="85">
        <f t="shared" si="5"/>
        <v>0</v>
      </c>
      <c r="L80" s="85">
        <f t="shared" si="6"/>
        <v>0</v>
      </c>
      <c r="M80" s="85">
        <f t="shared" si="7"/>
        <v>0</v>
      </c>
    </row>
    <row r="81" spans="1:13" s="87" customFormat="1" ht="15" customHeight="1" x14ac:dyDescent="0.2">
      <c r="A81" s="85" t="s">
        <v>87</v>
      </c>
      <c r="B81" s="86">
        <v>0</v>
      </c>
      <c r="C81" s="86">
        <v>1</v>
      </c>
      <c r="D81" s="86">
        <v>0</v>
      </c>
      <c r="E81" s="86">
        <v>0</v>
      </c>
      <c r="F81" s="86">
        <v>1</v>
      </c>
      <c r="G81" s="86">
        <v>0</v>
      </c>
      <c r="H81" s="86">
        <v>0</v>
      </c>
      <c r="I81" s="86">
        <v>0</v>
      </c>
      <c r="J81" s="85">
        <f t="shared" si="4"/>
        <v>0</v>
      </c>
      <c r="K81" s="85">
        <f t="shared" si="5"/>
        <v>0</v>
      </c>
      <c r="L81" s="85">
        <f t="shared" si="6"/>
        <v>2</v>
      </c>
      <c r="M81" s="85">
        <f t="shared" si="7"/>
        <v>0</v>
      </c>
    </row>
    <row r="82" spans="1:13" s="87" customFormat="1" ht="15" customHeight="1" x14ac:dyDescent="0.2">
      <c r="A82" s="85" t="s">
        <v>88</v>
      </c>
      <c r="B82" s="86">
        <v>0</v>
      </c>
      <c r="C82" s="86">
        <v>2</v>
      </c>
      <c r="D82" s="86">
        <v>0</v>
      </c>
      <c r="E82" s="86">
        <v>0</v>
      </c>
      <c r="F82" s="86">
        <v>1</v>
      </c>
      <c r="G82" s="86">
        <v>0</v>
      </c>
      <c r="H82" s="86">
        <v>0</v>
      </c>
      <c r="I82" s="86">
        <v>0</v>
      </c>
      <c r="J82" s="85">
        <f t="shared" si="4"/>
        <v>0</v>
      </c>
      <c r="K82" s="85">
        <f t="shared" si="5"/>
        <v>0</v>
      </c>
      <c r="L82" s="85">
        <f t="shared" si="6"/>
        <v>3</v>
      </c>
      <c r="M82" s="85">
        <f t="shared" si="7"/>
        <v>0</v>
      </c>
    </row>
    <row r="83" spans="1:13" s="87" customFormat="1" ht="15" customHeight="1" x14ac:dyDescent="0.2">
      <c r="A83" s="85" t="s">
        <v>89</v>
      </c>
      <c r="B83" s="86">
        <v>0</v>
      </c>
      <c r="C83" s="86">
        <v>0</v>
      </c>
      <c r="D83" s="86">
        <v>0</v>
      </c>
      <c r="E83" s="86">
        <v>0</v>
      </c>
      <c r="F83" s="86">
        <v>0</v>
      </c>
      <c r="G83" s="86">
        <v>0</v>
      </c>
      <c r="H83" s="86">
        <v>0</v>
      </c>
      <c r="I83" s="86">
        <v>0</v>
      </c>
      <c r="J83" s="85">
        <f t="shared" si="4"/>
        <v>0</v>
      </c>
      <c r="K83" s="85">
        <f t="shared" si="5"/>
        <v>0</v>
      </c>
      <c r="L83" s="85">
        <f t="shared" si="6"/>
        <v>0</v>
      </c>
      <c r="M83" s="85">
        <f t="shared" si="7"/>
        <v>0</v>
      </c>
    </row>
    <row r="84" spans="1:13" s="87" customFormat="1" ht="15" customHeight="1" x14ac:dyDescent="0.2">
      <c r="A84" s="85" t="s">
        <v>90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5">
        <f t="shared" si="4"/>
        <v>0</v>
      </c>
      <c r="K84" s="85">
        <f t="shared" si="5"/>
        <v>0</v>
      </c>
      <c r="L84" s="85">
        <f t="shared" si="6"/>
        <v>0</v>
      </c>
      <c r="M84" s="85">
        <f t="shared" si="7"/>
        <v>0</v>
      </c>
    </row>
    <row r="85" spans="1:13" s="87" customFormat="1" ht="15" customHeight="1" x14ac:dyDescent="0.2">
      <c r="A85" s="85" t="s">
        <v>91</v>
      </c>
      <c r="B85" s="86">
        <v>0</v>
      </c>
      <c r="C85" s="86">
        <v>3</v>
      </c>
      <c r="D85" s="86">
        <v>0</v>
      </c>
      <c r="E85" s="86">
        <v>0</v>
      </c>
      <c r="F85" s="86">
        <v>2</v>
      </c>
      <c r="G85" s="86">
        <v>0</v>
      </c>
      <c r="H85" s="86">
        <v>0</v>
      </c>
      <c r="I85" s="86">
        <v>1</v>
      </c>
      <c r="J85" s="85">
        <f t="shared" si="4"/>
        <v>0</v>
      </c>
      <c r="K85" s="85">
        <f t="shared" si="5"/>
        <v>1</v>
      </c>
      <c r="L85" s="85">
        <f t="shared" si="6"/>
        <v>5</v>
      </c>
      <c r="M85" s="85">
        <f t="shared" si="7"/>
        <v>0</v>
      </c>
    </row>
    <row r="86" spans="1:13" s="87" customFormat="1" ht="15" customHeight="1" x14ac:dyDescent="0.2">
      <c r="A86" s="85" t="s">
        <v>92</v>
      </c>
      <c r="B86" s="86">
        <v>0</v>
      </c>
      <c r="C86" s="86">
        <v>0</v>
      </c>
      <c r="D86" s="86">
        <v>0</v>
      </c>
      <c r="E86" s="86">
        <v>1</v>
      </c>
      <c r="F86" s="86">
        <v>1</v>
      </c>
      <c r="G86" s="86">
        <v>0</v>
      </c>
      <c r="H86" s="86">
        <v>0</v>
      </c>
      <c r="I86" s="86">
        <v>0</v>
      </c>
      <c r="J86" s="85">
        <f t="shared" si="4"/>
        <v>1</v>
      </c>
      <c r="K86" s="85">
        <f t="shared" si="5"/>
        <v>0</v>
      </c>
      <c r="L86" s="85">
        <f t="shared" si="6"/>
        <v>1</v>
      </c>
      <c r="M86" s="85">
        <f t="shared" si="7"/>
        <v>0</v>
      </c>
    </row>
    <row r="87" spans="1:13" s="87" customFormat="1" ht="15" customHeight="1" x14ac:dyDescent="0.2">
      <c r="A87" s="85" t="s">
        <v>93</v>
      </c>
      <c r="B87" s="86">
        <v>0</v>
      </c>
      <c r="C87" s="86">
        <v>1</v>
      </c>
      <c r="D87" s="86">
        <v>0</v>
      </c>
      <c r="E87" s="86">
        <v>1</v>
      </c>
      <c r="F87" s="86">
        <v>1</v>
      </c>
      <c r="G87" s="86">
        <v>0</v>
      </c>
      <c r="H87" s="86">
        <v>0</v>
      </c>
      <c r="I87" s="86">
        <v>1</v>
      </c>
      <c r="J87" s="85">
        <f t="shared" si="4"/>
        <v>1</v>
      </c>
      <c r="K87" s="85">
        <f t="shared" si="5"/>
        <v>1</v>
      </c>
      <c r="L87" s="85">
        <f t="shared" si="6"/>
        <v>2</v>
      </c>
      <c r="M87" s="85">
        <f t="shared" si="7"/>
        <v>0</v>
      </c>
    </row>
    <row r="88" spans="1:13" s="87" customFormat="1" ht="15" customHeight="1" x14ac:dyDescent="0.2">
      <c r="A88" s="85" t="s">
        <v>94</v>
      </c>
      <c r="B88" s="86">
        <v>0</v>
      </c>
      <c r="C88" s="86">
        <v>0</v>
      </c>
      <c r="D88" s="86">
        <v>0</v>
      </c>
      <c r="E88" s="86">
        <v>0</v>
      </c>
      <c r="F88" s="86">
        <v>0</v>
      </c>
      <c r="G88" s="86">
        <v>0</v>
      </c>
      <c r="H88" s="86">
        <v>0</v>
      </c>
      <c r="I88" s="86">
        <v>0</v>
      </c>
      <c r="J88" s="85">
        <f t="shared" si="4"/>
        <v>0</v>
      </c>
      <c r="K88" s="85">
        <f t="shared" si="5"/>
        <v>0</v>
      </c>
      <c r="L88" s="85">
        <f t="shared" si="6"/>
        <v>0</v>
      </c>
      <c r="M88" s="85">
        <f t="shared" si="7"/>
        <v>0</v>
      </c>
    </row>
    <row r="89" spans="1:13" ht="15" customHeight="1" x14ac:dyDescent="0.2">
      <c r="A89" s="12" t="s">
        <v>95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2">
        <f t="shared" si="4"/>
        <v>0</v>
      </c>
      <c r="K89" s="12">
        <f t="shared" si="5"/>
        <v>0</v>
      </c>
      <c r="L89" s="12">
        <f t="shared" si="6"/>
        <v>0</v>
      </c>
      <c r="M89" s="12">
        <f t="shared" si="7"/>
        <v>0</v>
      </c>
    </row>
    <row r="90" spans="1:13" ht="15" customHeight="1" x14ac:dyDescent="0.2">
      <c r="A90" s="12" t="s">
        <v>96</v>
      </c>
      <c r="B90" s="15">
        <v>0</v>
      </c>
      <c r="C90" s="15">
        <v>0</v>
      </c>
      <c r="D90" s="15">
        <v>0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2">
        <f t="shared" si="4"/>
        <v>0</v>
      </c>
      <c r="K90" s="12">
        <f t="shared" si="5"/>
        <v>0</v>
      </c>
      <c r="L90" s="12">
        <f t="shared" si="6"/>
        <v>0</v>
      </c>
      <c r="M90" s="12">
        <f t="shared" si="7"/>
        <v>0</v>
      </c>
    </row>
    <row r="91" spans="1:13" ht="15" customHeight="1" x14ac:dyDescent="0.2">
      <c r="A91" s="12" t="s">
        <v>97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2">
        <f t="shared" si="4"/>
        <v>0</v>
      </c>
      <c r="K91" s="12">
        <f t="shared" si="5"/>
        <v>0</v>
      </c>
      <c r="L91" s="12">
        <f t="shared" si="6"/>
        <v>0</v>
      </c>
      <c r="M91" s="12">
        <f t="shared" si="7"/>
        <v>0</v>
      </c>
    </row>
    <row r="92" spans="1:13" ht="15" customHeight="1" x14ac:dyDescent="0.2">
      <c r="A92" s="12" t="s">
        <v>98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2">
        <f t="shared" si="4"/>
        <v>0</v>
      </c>
      <c r="K92" s="12">
        <f t="shared" si="5"/>
        <v>0</v>
      </c>
      <c r="L92" s="12">
        <f t="shared" si="6"/>
        <v>0</v>
      </c>
      <c r="M92" s="12">
        <f t="shared" si="7"/>
        <v>0</v>
      </c>
    </row>
    <row r="93" spans="1:13" ht="15" customHeight="1" x14ac:dyDescent="0.2">
      <c r="A93" s="12" t="s">
        <v>99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2">
        <f t="shared" si="4"/>
        <v>0</v>
      </c>
      <c r="K93" s="12">
        <f t="shared" si="5"/>
        <v>0</v>
      </c>
      <c r="L93" s="12">
        <f t="shared" si="6"/>
        <v>0</v>
      </c>
      <c r="M93" s="12">
        <f t="shared" si="7"/>
        <v>0</v>
      </c>
    </row>
    <row r="94" spans="1:13" ht="15" customHeight="1" x14ac:dyDescent="0.2">
      <c r="A94" s="12" t="s">
        <v>100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2">
        <f t="shared" si="4"/>
        <v>0</v>
      </c>
      <c r="K94" s="12">
        <f t="shared" si="5"/>
        <v>0</v>
      </c>
      <c r="L94" s="12">
        <f t="shared" si="6"/>
        <v>0</v>
      </c>
      <c r="M94" s="12">
        <f t="shared" si="7"/>
        <v>0</v>
      </c>
    </row>
    <row r="95" spans="1:13" ht="15" customHeight="1" x14ac:dyDescent="0.2">
      <c r="A95" s="12" t="s">
        <v>101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2">
        <f t="shared" si="4"/>
        <v>0</v>
      </c>
      <c r="K95" s="12">
        <f t="shared" si="5"/>
        <v>0</v>
      </c>
      <c r="L95" s="12">
        <f t="shared" si="6"/>
        <v>0</v>
      </c>
      <c r="M95" s="12">
        <f t="shared" si="7"/>
        <v>0</v>
      </c>
    </row>
    <row r="96" spans="1:13" ht="15" customHeight="1" x14ac:dyDescent="0.2">
      <c r="A96" s="12" t="s">
        <v>102</v>
      </c>
      <c r="B96" s="15">
        <v>0</v>
      </c>
      <c r="C96" s="15">
        <v>0</v>
      </c>
      <c r="D96" s="15">
        <v>1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2">
        <f t="shared" si="4"/>
        <v>0</v>
      </c>
      <c r="K96" s="12">
        <f t="shared" si="5"/>
        <v>1</v>
      </c>
      <c r="L96" s="12">
        <f t="shared" si="6"/>
        <v>0</v>
      </c>
      <c r="M96" s="12">
        <f t="shared" si="7"/>
        <v>0</v>
      </c>
    </row>
    <row r="97" spans="1:13" ht="15" customHeight="1" x14ac:dyDescent="0.2">
      <c r="A97" s="12" t="s">
        <v>103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2">
        <f t="shared" si="4"/>
        <v>0</v>
      </c>
      <c r="K97" s="12">
        <f t="shared" si="5"/>
        <v>0</v>
      </c>
      <c r="L97" s="12">
        <f t="shared" si="6"/>
        <v>0</v>
      </c>
      <c r="M97" s="12">
        <f t="shared" si="7"/>
        <v>0</v>
      </c>
    </row>
    <row r="98" spans="1:13" ht="15" customHeight="1" x14ac:dyDescent="0.2">
      <c r="A98" s="12" t="s">
        <v>104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2">
        <f t="shared" si="4"/>
        <v>0</v>
      </c>
      <c r="K98" s="12">
        <f t="shared" si="5"/>
        <v>0</v>
      </c>
      <c r="L98" s="12">
        <f t="shared" si="6"/>
        <v>0</v>
      </c>
      <c r="M98" s="12">
        <f t="shared" si="7"/>
        <v>0</v>
      </c>
    </row>
    <row r="99" spans="1:13" ht="15" customHeight="1" x14ac:dyDescent="0.2">
      <c r="A99" s="12" t="s">
        <v>105</v>
      </c>
      <c r="B99" s="15">
        <v>0</v>
      </c>
      <c r="C99" s="15">
        <v>0</v>
      </c>
      <c r="D99" s="15">
        <v>0</v>
      </c>
      <c r="E99" s="15">
        <v>0</v>
      </c>
      <c r="F99" s="15">
        <v>1</v>
      </c>
      <c r="G99" s="15">
        <v>0</v>
      </c>
      <c r="H99" s="15">
        <v>0</v>
      </c>
      <c r="I99" s="15">
        <v>0</v>
      </c>
      <c r="J99" s="12">
        <f t="shared" si="4"/>
        <v>0</v>
      </c>
      <c r="K99" s="12">
        <f t="shared" si="5"/>
        <v>0</v>
      </c>
      <c r="L99" s="12">
        <f t="shared" si="6"/>
        <v>1</v>
      </c>
      <c r="M99" s="12">
        <f t="shared" si="7"/>
        <v>0</v>
      </c>
    </row>
    <row r="100" spans="1:13" ht="15" customHeight="1" x14ac:dyDescent="0.2">
      <c r="A100" s="12" t="s">
        <v>106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2">
        <f t="shared" si="4"/>
        <v>0</v>
      </c>
      <c r="K100" s="12">
        <f t="shared" si="5"/>
        <v>0</v>
      </c>
      <c r="L100" s="12">
        <f t="shared" si="6"/>
        <v>0</v>
      </c>
      <c r="M100" s="12">
        <f t="shared" si="7"/>
        <v>0</v>
      </c>
    </row>
    <row r="101" spans="1:13" ht="15" customHeight="1" x14ac:dyDescent="0.2">
      <c r="A101" s="12" t="s">
        <v>107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2">
        <f t="shared" si="4"/>
        <v>0</v>
      </c>
      <c r="K101" s="12">
        <f t="shared" si="5"/>
        <v>0</v>
      </c>
      <c r="L101" s="12">
        <f t="shared" si="6"/>
        <v>0</v>
      </c>
      <c r="M101" s="12">
        <f t="shared" si="7"/>
        <v>0</v>
      </c>
    </row>
    <row r="102" spans="1:13" ht="15" customHeight="1" x14ac:dyDescent="0.2">
      <c r="A102" s="12" t="s">
        <v>108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2">
        <f t="shared" si="4"/>
        <v>0</v>
      </c>
      <c r="K102" s="12">
        <f t="shared" si="5"/>
        <v>0</v>
      </c>
      <c r="L102" s="12">
        <f t="shared" si="6"/>
        <v>0</v>
      </c>
      <c r="M102" s="12">
        <f t="shared" si="7"/>
        <v>0</v>
      </c>
    </row>
    <row r="103" spans="1:13" ht="15" customHeight="1" x14ac:dyDescent="0.2">
      <c r="A103" s="12" t="s">
        <v>109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2">
        <f t="shared" si="4"/>
        <v>0</v>
      </c>
      <c r="K103" s="12">
        <f t="shared" si="5"/>
        <v>0</v>
      </c>
      <c r="L103" s="12">
        <f t="shared" si="6"/>
        <v>0</v>
      </c>
      <c r="M103" s="12">
        <f t="shared" si="7"/>
        <v>0</v>
      </c>
    </row>
    <row r="104" spans="1:13" ht="15" customHeight="1" x14ac:dyDescent="0.2">
      <c r="A104" s="12" t="s">
        <v>110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2">
        <f t="shared" si="4"/>
        <v>0</v>
      </c>
      <c r="K104" s="12">
        <f t="shared" si="5"/>
        <v>0</v>
      </c>
      <c r="L104" s="12">
        <f t="shared" si="6"/>
        <v>0</v>
      </c>
      <c r="M104" s="12">
        <f t="shared" si="7"/>
        <v>0</v>
      </c>
    </row>
    <row r="105" spans="1:13" ht="15" customHeight="1" x14ac:dyDescent="0.2">
      <c r="A105" s="12" t="s">
        <v>5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2">
        <f t="shared" si="4"/>
        <v>0</v>
      </c>
      <c r="K105" s="12">
        <f t="shared" si="5"/>
        <v>0</v>
      </c>
      <c r="L105" s="12">
        <f t="shared" si="6"/>
        <v>0</v>
      </c>
      <c r="M105" s="12">
        <f t="shared" si="7"/>
        <v>0</v>
      </c>
    </row>
    <row r="106" spans="1:13" ht="15" customHeight="1" x14ac:dyDescent="0.2">
      <c r="A106" s="12" t="s">
        <v>16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2">
        <f t="shared" si="4"/>
        <v>0</v>
      </c>
      <c r="K106" s="12">
        <f t="shared" si="5"/>
        <v>0</v>
      </c>
      <c r="L106" s="12">
        <f t="shared" si="6"/>
        <v>0</v>
      </c>
      <c r="M106" s="12">
        <f t="shared" si="7"/>
        <v>0</v>
      </c>
    </row>
    <row r="107" spans="1:13" ht="15" customHeight="1" x14ac:dyDescent="0.2">
      <c r="A107" s="12" t="s">
        <v>17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2">
        <f t="shared" si="4"/>
        <v>0</v>
      </c>
      <c r="K107" s="12">
        <f t="shared" si="5"/>
        <v>0</v>
      </c>
      <c r="L107" s="12">
        <f t="shared" si="6"/>
        <v>0</v>
      </c>
      <c r="M107" s="12">
        <f t="shared" si="7"/>
        <v>0</v>
      </c>
    </row>
    <row r="108" spans="1:13" ht="15" customHeight="1" x14ac:dyDescent="0.2">
      <c r="A108" s="12" t="s">
        <v>18</v>
      </c>
      <c r="B108" s="15">
        <v>0</v>
      </c>
      <c r="C108" s="15">
        <v>0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2">
        <f t="shared" si="4"/>
        <v>0</v>
      </c>
      <c r="K108" s="12">
        <f t="shared" si="5"/>
        <v>0</v>
      </c>
      <c r="L108" s="12">
        <f t="shared" si="6"/>
        <v>0</v>
      </c>
      <c r="M108" s="12">
        <f t="shared" si="7"/>
        <v>0</v>
      </c>
    </row>
    <row r="109" spans="1:13" ht="15" customHeight="1" x14ac:dyDescent="0.2">
      <c r="A109" s="12" t="s">
        <v>19</v>
      </c>
      <c r="B109" s="15">
        <v>0</v>
      </c>
      <c r="C109" s="15">
        <v>0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2">
        <f t="shared" si="4"/>
        <v>0</v>
      </c>
      <c r="K109" s="12">
        <f t="shared" si="5"/>
        <v>0</v>
      </c>
      <c r="L109" s="12">
        <f t="shared" si="6"/>
        <v>0</v>
      </c>
      <c r="M109" s="12">
        <f t="shared" si="7"/>
        <v>0</v>
      </c>
    </row>
    <row r="110" spans="1:13" ht="15" customHeight="1" x14ac:dyDescent="0.2">
      <c r="A110" s="12" t="s">
        <v>20</v>
      </c>
      <c r="B110" s="15">
        <v>0</v>
      </c>
      <c r="C110" s="15">
        <v>0</v>
      </c>
      <c r="D110" s="15">
        <v>0</v>
      </c>
      <c r="E110" s="15">
        <v>0</v>
      </c>
      <c r="F110" s="15">
        <v>1</v>
      </c>
      <c r="G110" s="15">
        <v>0</v>
      </c>
      <c r="H110" s="15">
        <v>0</v>
      </c>
      <c r="I110" s="15">
        <v>0</v>
      </c>
      <c r="J110" s="12">
        <f t="shared" si="4"/>
        <v>0</v>
      </c>
      <c r="K110" s="12">
        <f t="shared" si="5"/>
        <v>0</v>
      </c>
      <c r="L110" s="12">
        <f t="shared" si="6"/>
        <v>1</v>
      </c>
      <c r="M110" s="12">
        <f t="shared" si="7"/>
        <v>0</v>
      </c>
    </row>
    <row r="111" spans="1:13" ht="15" customHeight="1" x14ac:dyDescent="0.2">
      <c r="A111" s="12" t="s">
        <v>21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2">
        <f t="shared" si="4"/>
        <v>0</v>
      </c>
      <c r="K111" s="12">
        <f t="shared" si="5"/>
        <v>0</v>
      </c>
      <c r="L111" s="12">
        <f t="shared" si="6"/>
        <v>0</v>
      </c>
      <c r="M111" s="12">
        <f t="shared" si="7"/>
        <v>0</v>
      </c>
    </row>
    <row r="112" spans="1:13" ht="15" customHeight="1" x14ac:dyDescent="0.2">
      <c r="A112" s="12" t="s">
        <v>22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2">
        <f t="shared" si="4"/>
        <v>0</v>
      </c>
      <c r="K112" s="12">
        <f t="shared" si="5"/>
        <v>0</v>
      </c>
      <c r="L112" s="12">
        <f t="shared" si="6"/>
        <v>0</v>
      </c>
      <c r="M112" s="12">
        <f t="shared" si="7"/>
        <v>0</v>
      </c>
    </row>
    <row r="113" spans="1:13" ht="15" customHeight="1" x14ac:dyDescent="0.2">
      <c r="A113" s="12" t="s">
        <v>23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2">
        <f t="shared" si="4"/>
        <v>0</v>
      </c>
      <c r="K113" s="12">
        <f t="shared" si="5"/>
        <v>0</v>
      </c>
      <c r="L113" s="12">
        <f t="shared" si="6"/>
        <v>0</v>
      </c>
      <c r="M113" s="12">
        <f t="shared" si="7"/>
        <v>0</v>
      </c>
    </row>
    <row r="114" spans="1:13" ht="15" customHeight="1" x14ac:dyDescent="0.2">
      <c r="A114" s="12" t="s">
        <v>24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2">
        <f t="shared" si="4"/>
        <v>0</v>
      </c>
      <c r="K114" s="12">
        <f t="shared" si="5"/>
        <v>0</v>
      </c>
      <c r="L114" s="12">
        <f t="shared" si="6"/>
        <v>0</v>
      </c>
      <c r="M114" s="12">
        <f t="shared" si="7"/>
        <v>0</v>
      </c>
    </row>
    <row r="115" spans="1:13" ht="15" customHeight="1" x14ac:dyDescent="0.2">
      <c r="A115" s="12" t="s">
        <v>25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2">
        <f t="shared" si="4"/>
        <v>0</v>
      </c>
      <c r="K115" s="12">
        <f t="shared" si="5"/>
        <v>0</v>
      </c>
      <c r="L115" s="12">
        <f t="shared" si="6"/>
        <v>0</v>
      </c>
      <c r="M115" s="12">
        <f t="shared" si="7"/>
        <v>0</v>
      </c>
    </row>
    <row r="116" spans="1:13" ht="15" customHeight="1" x14ac:dyDescent="0.2">
      <c r="A116" s="12" t="s">
        <v>26</v>
      </c>
      <c r="B116" s="15">
        <v>0</v>
      </c>
      <c r="C116" s="15">
        <v>0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2">
        <f t="shared" si="4"/>
        <v>0</v>
      </c>
      <c r="K116" s="12">
        <f t="shared" si="5"/>
        <v>0</v>
      </c>
      <c r="L116" s="12">
        <f t="shared" si="6"/>
        <v>0</v>
      </c>
      <c r="M116" s="12">
        <f t="shared" si="7"/>
        <v>0</v>
      </c>
    </row>
    <row r="117" spans="1:13" ht="15" customHeight="1" x14ac:dyDescent="0.2">
      <c r="A117" s="12" t="s">
        <v>27</v>
      </c>
      <c r="B117" s="15">
        <v>0</v>
      </c>
      <c r="C117" s="15">
        <v>0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2">
        <f t="shared" si="4"/>
        <v>0</v>
      </c>
      <c r="K117" s="12">
        <f t="shared" si="5"/>
        <v>0</v>
      </c>
      <c r="L117" s="12">
        <f t="shared" si="6"/>
        <v>0</v>
      </c>
      <c r="M117" s="12">
        <f t="shared" si="7"/>
        <v>0</v>
      </c>
    </row>
    <row r="118" spans="1:13" ht="15" customHeight="1" x14ac:dyDescent="0.2">
      <c r="A118" s="12" t="s">
        <v>28</v>
      </c>
      <c r="B118" s="15">
        <v>0</v>
      </c>
      <c r="C118" s="15">
        <v>0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2">
        <f t="shared" si="4"/>
        <v>0</v>
      </c>
      <c r="K118" s="12">
        <f t="shared" si="5"/>
        <v>0</v>
      </c>
      <c r="L118" s="12">
        <f t="shared" si="6"/>
        <v>0</v>
      </c>
      <c r="M118" s="12">
        <f t="shared" si="7"/>
        <v>0</v>
      </c>
    </row>
    <row r="119" spans="1:13" ht="15" customHeight="1" x14ac:dyDescent="0.2">
      <c r="A119" s="12" t="s">
        <v>29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2">
        <f t="shared" si="4"/>
        <v>0</v>
      </c>
      <c r="K119" s="12">
        <f t="shared" si="5"/>
        <v>0</v>
      </c>
      <c r="L119" s="12">
        <f t="shared" si="6"/>
        <v>0</v>
      </c>
      <c r="M119" s="12">
        <f t="shared" si="7"/>
        <v>0</v>
      </c>
    </row>
    <row r="120" spans="1:13" ht="15" customHeight="1" x14ac:dyDescent="0.2">
      <c r="A120" s="12" t="s">
        <v>30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2">
        <f t="shared" si="4"/>
        <v>0</v>
      </c>
      <c r="K120" s="12">
        <f t="shared" si="5"/>
        <v>0</v>
      </c>
      <c r="L120" s="12">
        <f t="shared" si="6"/>
        <v>0</v>
      </c>
      <c r="M120" s="12">
        <f t="shared" si="7"/>
        <v>0</v>
      </c>
    </row>
    <row r="121" spans="1:13" ht="15" customHeight="1" x14ac:dyDescent="0.2">
      <c r="A121" s="12" t="s">
        <v>31</v>
      </c>
      <c r="B121" s="15">
        <v>0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2">
        <f t="shared" si="4"/>
        <v>0</v>
      </c>
      <c r="K121" s="12">
        <f t="shared" si="5"/>
        <v>0</v>
      </c>
      <c r="L121" s="12">
        <f t="shared" si="6"/>
        <v>0</v>
      </c>
      <c r="M121" s="12">
        <f t="shared" si="7"/>
        <v>0</v>
      </c>
    </row>
    <row r="122" spans="1:13" ht="15" customHeight="1" x14ac:dyDescent="0.2">
      <c r="A122" s="12" t="s">
        <v>32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2">
        <f t="shared" si="4"/>
        <v>0</v>
      </c>
      <c r="K122" s="12">
        <f t="shared" si="5"/>
        <v>0</v>
      </c>
      <c r="L122" s="12">
        <f t="shared" si="6"/>
        <v>0</v>
      </c>
      <c r="M122" s="12">
        <f t="shared" si="7"/>
        <v>0</v>
      </c>
    </row>
    <row r="123" spans="1:13" ht="15" customHeight="1" x14ac:dyDescent="0.2">
      <c r="A123" s="12" t="s">
        <v>33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  <c r="H123" s="15">
        <v>0</v>
      </c>
      <c r="I123" s="15">
        <v>0</v>
      </c>
      <c r="J123" s="12">
        <f t="shared" si="4"/>
        <v>0</v>
      </c>
      <c r="K123" s="12">
        <f t="shared" si="5"/>
        <v>0</v>
      </c>
      <c r="L123" s="12">
        <f t="shared" si="6"/>
        <v>0</v>
      </c>
      <c r="M123" s="12">
        <f t="shared" si="7"/>
        <v>0</v>
      </c>
    </row>
    <row r="124" spans="1:13" ht="15" customHeight="1" x14ac:dyDescent="0.2">
      <c r="A124" s="12" t="s">
        <v>34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2">
        <f t="shared" si="4"/>
        <v>0</v>
      </c>
      <c r="K124" s="12">
        <f t="shared" si="5"/>
        <v>0</v>
      </c>
      <c r="L124" s="12">
        <f t="shared" si="6"/>
        <v>0</v>
      </c>
      <c r="M124" s="12">
        <f t="shared" si="7"/>
        <v>0</v>
      </c>
    </row>
    <row r="125" spans="1:13" ht="15" customHeight="1" x14ac:dyDescent="0.2">
      <c r="A125" s="12" t="s">
        <v>35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2">
        <f t="shared" si="4"/>
        <v>0</v>
      </c>
      <c r="K125" s="12">
        <f t="shared" si="5"/>
        <v>0</v>
      </c>
      <c r="L125" s="12">
        <f t="shared" si="6"/>
        <v>0</v>
      </c>
      <c r="M125" s="12">
        <f t="shared" si="7"/>
        <v>0</v>
      </c>
    </row>
    <row r="126" spans="1:13" ht="15" customHeight="1" x14ac:dyDescent="0.2">
      <c r="A126" s="12" t="s">
        <v>36</v>
      </c>
      <c r="B126" s="15">
        <v>0</v>
      </c>
      <c r="C126" s="15">
        <v>2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2">
        <f t="shared" si="4"/>
        <v>0</v>
      </c>
      <c r="K126" s="12">
        <f t="shared" si="5"/>
        <v>0</v>
      </c>
      <c r="L126" s="12">
        <f t="shared" si="6"/>
        <v>2</v>
      </c>
      <c r="M126" s="12">
        <f t="shared" si="7"/>
        <v>0</v>
      </c>
    </row>
    <row r="127" spans="1:13" ht="15" customHeight="1" x14ac:dyDescent="0.2">
      <c r="A127" s="12" t="s">
        <v>37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2">
        <f t="shared" si="4"/>
        <v>0</v>
      </c>
      <c r="K127" s="12">
        <f t="shared" si="5"/>
        <v>0</v>
      </c>
      <c r="L127" s="12">
        <f t="shared" si="6"/>
        <v>0</v>
      </c>
      <c r="M127" s="12">
        <f t="shared" si="7"/>
        <v>0</v>
      </c>
    </row>
    <row r="128" spans="1:13" ht="15" customHeight="1" x14ac:dyDescent="0.2">
      <c r="A128" s="12" t="s">
        <v>38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2">
        <f t="shared" si="4"/>
        <v>0</v>
      </c>
      <c r="K128" s="12">
        <f t="shared" si="5"/>
        <v>0</v>
      </c>
      <c r="L128" s="12">
        <f t="shared" si="6"/>
        <v>0</v>
      </c>
      <c r="M128" s="12">
        <f t="shared" si="7"/>
        <v>0</v>
      </c>
    </row>
    <row r="129" spans="1:13" ht="15" customHeight="1" x14ac:dyDescent="0.2">
      <c r="A129" s="12" t="s">
        <v>39</v>
      </c>
      <c r="B129" s="15">
        <v>0</v>
      </c>
      <c r="C129" s="15">
        <v>3</v>
      </c>
      <c r="D129" s="15">
        <v>0</v>
      </c>
      <c r="E129" s="15">
        <v>1</v>
      </c>
      <c r="F129" s="15">
        <v>2</v>
      </c>
      <c r="G129" s="15">
        <v>0</v>
      </c>
      <c r="H129" s="15">
        <v>0</v>
      </c>
      <c r="I129" s="15">
        <v>0</v>
      </c>
      <c r="J129" s="12">
        <f t="shared" si="4"/>
        <v>1</v>
      </c>
      <c r="K129" s="12">
        <f t="shared" si="5"/>
        <v>0</v>
      </c>
      <c r="L129" s="12">
        <f t="shared" si="6"/>
        <v>5</v>
      </c>
      <c r="M129" s="12">
        <f t="shared" si="7"/>
        <v>0</v>
      </c>
    </row>
    <row r="130" spans="1:13" ht="15" customHeight="1" x14ac:dyDescent="0.2">
      <c r="A130" s="12" t="s">
        <v>40</v>
      </c>
      <c r="B130" s="15">
        <v>0</v>
      </c>
      <c r="C130" s="15">
        <v>0</v>
      </c>
      <c r="D130" s="15">
        <v>0</v>
      </c>
      <c r="E130" s="15">
        <v>0</v>
      </c>
      <c r="F130" s="15">
        <v>13</v>
      </c>
      <c r="G130" s="15">
        <v>0</v>
      </c>
      <c r="H130" s="15">
        <v>0</v>
      </c>
      <c r="I130" s="15">
        <v>0</v>
      </c>
      <c r="J130" s="12">
        <f t="shared" si="4"/>
        <v>0</v>
      </c>
      <c r="K130" s="12">
        <f t="shared" si="5"/>
        <v>0</v>
      </c>
      <c r="L130" s="12">
        <v>1</v>
      </c>
      <c r="M130" s="12">
        <f t="shared" si="7"/>
        <v>0</v>
      </c>
    </row>
    <row r="131" spans="1:13" ht="15" customHeight="1" x14ac:dyDescent="0.2">
      <c r="A131" s="12" t="s">
        <v>41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2">
        <f t="shared" si="4"/>
        <v>0</v>
      </c>
      <c r="K131" s="12">
        <f t="shared" si="5"/>
        <v>0</v>
      </c>
      <c r="L131" s="12">
        <f t="shared" si="6"/>
        <v>0</v>
      </c>
      <c r="M131" s="12">
        <f t="shared" si="7"/>
        <v>0</v>
      </c>
    </row>
    <row r="132" spans="1:13" s="87" customFormat="1" ht="15" customHeight="1" x14ac:dyDescent="0.2">
      <c r="A132" s="85" t="s">
        <v>42</v>
      </c>
      <c r="B132" s="86">
        <v>0</v>
      </c>
      <c r="C132" s="86">
        <v>0</v>
      </c>
      <c r="D132" s="86">
        <v>0</v>
      </c>
      <c r="E132" s="86">
        <v>0</v>
      </c>
      <c r="F132" s="86">
        <v>0</v>
      </c>
      <c r="G132" s="86">
        <v>0</v>
      </c>
      <c r="H132" s="86">
        <v>0</v>
      </c>
      <c r="I132" s="86">
        <v>0</v>
      </c>
      <c r="J132" s="85">
        <f t="shared" si="4"/>
        <v>0</v>
      </c>
      <c r="K132" s="85">
        <f t="shared" si="5"/>
        <v>0</v>
      </c>
      <c r="L132" s="85">
        <f t="shared" si="6"/>
        <v>0</v>
      </c>
      <c r="M132" s="85">
        <f t="shared" si="7"/>
        <v>0</v>
      </c>
    </row>
    <row r="133" spans="1:13" s="87" customFormat="1" ht="15" customHeight="1" x14ac:dyDescent="0.2">
      <c r="A133" s="85" t="s">
        <v>43</v>
      </c>
      <c r="B133" s="86">
        <v>0</v>
      </c>
      <c r="C133" s="86">
        <v>0</v>
      </c>
      <c r="D133" s="86">
        <v>0</v>
      </c>
      <c r="E133" s="86">
        <v>0</v>
      </c>
      <c r="F133" s="86">
        <v>0</v>
      </c>
      <c r="G133" s="86">
        <v>0</v>
      </c>
      <c r="H133" s="86">
        <v>0</v>
      </c>
      <c r="I133" s="86">
        <v>0</v>
      </c>
      <c r="J133" s="85">
        <f t="shared" si="4"/>
        <v>0</v>
      </c>
      <c r="K133" s="85">
        <f t="shared" si="5"/>
        <v>0</v>
      </c>
      <c r="L133" s="85">
        <f t="shared" si="6"/>
        <v>0</v>
      </c>
      <c r="M133" s="85">
        <f t="shared" si="7"/>
        <v>0</v>
      </c>
    </row>
    <row r="134" spans="1:13" s="87" customFormat="1" ht="15" customHeight="1" x14ac:dyDescent="0.2">
      <c r="A134" s="85" t="s">
        <v>44</v>
      </c>
      <c r="B134" s="86">
        <v>0</v>
      </c>
      <c r="C134" s="86">
        <v>0</v>
      </c>
      <c r="D134" s="86">
        <v>0</v>
      </c>
      <c r="E134" s="86">
        <v>0</v>
      </c>
      <c r="F134" s="86">
        <v>0</v>
      </c>
      <c r="G134" s="86">
        <v>0</v>
      </c>
      <c r="H134" s="86">
        <v>0</v>
      </c>
      <c r="I134" s="86">
        <v>0</v>
      </c>
      <c r="J134" s="85">
        <f t="shared" si="4"/>
        <v>0</v>
      </c>
      <c r="K134" s="85">
        <f t="shared" si="5"/>
        <v>0</v>
      </c>
      <c r="L134" s="85">
        <f t="shared" si="6"/>
        <v>0</v>
      </c>
      <c r="M134" s="85">
        <f t="shared" si="7"/>
        <v>0</v>
      </c>
    </row>
    <row r="135" spans="1:13" s="87" customFormat="1" ht="15" customHeight="1" x14ac:dyDescent="0.2">
      <c r="A135" s="85" t="s">
        <v>45</v>
      </c>
      <c r="B135" s="86">
        <v>1</v>
      </c>
      <c r="C135" s="86">
        <v>1</v>
      </c>
      <c r="D135" s="86">
        <v>0</v>
      </c>
      <c r="E135" s="86">
        <v>0</v>
      </c>
      <c r="F135" s="86">
        <v>0</v>
      </c>
      <c r="G135" s="86">
        <v>0</v>
      </c>
      <c r="H135" s="86">
        <v>0</v>
      </c>
      <c r="I135" s="86">
        <v>0</v>
      </c>
      <c r="J135" s="85">
        <f t="shared" si="4"/>
        <v>0</v>
      </c>
      <c r="K135" s="85">
        <f t="shared" si="5"/>
        <v>0</v>
      </c>
      <c r="L135" s="85">
        <f t="shared" si="6"/>
        <v>1</v>
      </c>
      <c r="M135" s="85">
        <f t="shared" si="7"/>
        <v>1</v>
      </c>
    </row>
    <row r="136" spans="1:13" s="87" customFormat="1" ht="15" customHeight="1" x14ac:dyDescent="0.2">
      <c r="A136" s="85" t="s">
        <v>46</v>
      </c>
      <c r="B136" s="86">
        <v>0</v>
      </c>
      <c r="C136" s="86">
        <v>0</v>
      </c>
      <c r="D136" s="86">
        <v>0</v>
      </c>
      <c r="E136" s="86">
        <v>0</v>
      </c>
      <c r="F136" s="86">
        <v>0</v>
      </c>
      <c r="G136" s="86">
        <v>0</v>
      </c>
      <c r="H136" s="86">
        <v>1</v>
      </c>
      <c r="I136" s="86">
        <v>0</v>
      </c>
      <c r="J136" s="85">
        <f t="shared" si="4"/>
        <v>1</v>
      </c>
      <c r="K136" s="85">
        <f t="shared" si="5"/>
        <v>0</v>
      </c>
      <c r="L136" s="85">
        <f t="shared" si="6"/>
        <v>0</v>
      </c>
      <c r="M136" s="85">
        <f t="shared" si="7"/>
        <v>0</v>
      </c>
    </row>
    <row r="137" spans="1:13" s="87" customFormat="1" ht="15" customHeight="1" x14ac:dyDescent="0.2">
      <c r="A137" s="85" t="s">
        <v>47</v>
      </c>
      <c r="B137" s="86">
        <v>0</v>
      </c>
      <c r="C137" s="86">
        <v>6</v>
      </c>
      <c r="D137" s="86">
        <v>1</v>
      </c>
      <c r="E137" s="86">
        <v>1</v>
      </c>
      <c r="F137" s="86">
        <v>1</v>
      </c>
      <c r="G137" s="86">
        <v>0</v>
      </c>
      <c r="H137" s="86">
        <v>0</v>
      </c>
      <c r="I137" s="86">
        <v>0</v>
      </c>
      <c r="J137" s="85">
        <f t="shared" ref="J137:J200" si="8">SUM(E137,H137)</f>
        <v>1</v>
      </c>
      <c r="K137" s="85">
        <f t="shared" ref="K137:K200" si="9">SUM(D137,I137)</f>
        <v>1</v>
      </c>
      <c r="L137" s="85">
        <f t="shared" ref="L137:L200" si="10">SUM(C137,F137)</f>
        <v>7</v>
      </c>
      <c r="M137" s="85">
        <f t="shared" ref="M137:M200" si="11">SUM(B137,G137)</f>
        <v>0</v>
      </c>
    </row>
    <row r="138" spans="1:13" s="87" customFormat="1" ht="15" customHeight="1" x14ac:dyDescent="0.2">
      <c r="A138" s="85" t="s">
        <v>48</v>
      </c>
      <c r="B138" s="86">
        <v>0</v>
      </c>
      <c r="C138" s="86">
        <v>1</v>
      </c>
      <c r="D138" s="86">
        <v>0</v>
      </c>
      <c r="E138" s="86">
        <v>2</v>
      </c>
      <c r="F138" s="86">
        <v>0</v>
      </c>
      <c r="G138" s="86">
        <v>0</v>
      </c>
      <c r="H138" s="86">
        <v>0</v>
      </c>
      <c r="I138" s="86">
        <v>0</v>
      </c>
      <c r="J138" s="85">
        <f t="shared" si="8"/>
        <v>2</v>
      </c>
      <c r="K138" s="85">
        <f t="shared" si="9"/>
        <v>0</v>
      </c>
      <c r="L138" s="85">
        <f t="shared" si="10"/>
        <v>1</v>
      </c>
      <c r="M138" s="85">
        <f t="shared" si="11"/>
        <v>0</v>
      </c>
    </row>
    <row r="139" spans="1:13" s="87" customFormat="1" ht="15" customHeight="1" x14ac:dyDescent="0.2">
      <c r="A139" s="85" t="s">
        <v>49</v>
      </c>
      <c r="B139" s="86">
        <v>0</v>
      </c>
      <c r="C139" s="86">
        <v>0</v>
      </c>
      <c r="D139" s="86">
        <v>0</v>
      </c>
      <c r="E139" s="86">
        <v>1</v>
      </c>
      <c r="F139" s="86">
        <v>1</v>
      </c>
      <c r="G139" s="86">
        <v>0</v>
      </c>
      <c r="H139" s="86">
        <v>0</v>
      </c>
      <c r="I139" s="86">
        <v>0</v>
      </c>
      <c r="J139" s="85">
        <f t="shared" si="8"/>
        <v>1</v>
      </c>
      <c r="K139" s="85">
        <f t="shared" si="9"/>
        <v>0</v>
      </c>
      <c r="L139" s="85">
        <f t="shared" si="10"/>
        <v>1</v>
      </c>
      <c r="M139" s="85">
        <f t="shared" si="11"/>
        <v>0</v>
      </c>
    </row>
    <row r="140" spans="1:13" s="87" customFormat="1" ht="15" customHeight="1" x14ac:dyDescent="0.2">
      <c r="A140" s="85" t="s">
        <v>50</v>
      </c>
      <c r="B140" s="86">
        <v>0</v>
      </c>
      <c r="C140" s="86">
        <v>1</v>
      </c>
      <c r="D140" s="86">
        <v>0</v>
      </c>
      <c r="E140" s="86">
        <v>5</v>
      </c>
      <c r="F140" s="86">
        <v>1</v>
      </c>
      <c r="G140" s="86">
        <v>0</v>
      </c>
      <c r="H140" s="86">
        <v>0</v>
      </c>
      <c r="I140" s="86">
        <v>0</v>
      </c>
      <c r="J140" s="85">
        <f t="shared" si="8"/>
        <v>5</v>
      </c>
      <c r="K140" s="85">
        <f t="shared" si="9"/>
        <v>0</v>
      </c>
      <c r="L140" s="85">
        <f t="shared" si="10"/>
        <v>2</v>
      </c>
      <c r="M140" s="85">
        <f t="shared" si="11"/>
        <v>0</v>
      </c>
    </row>
    <row r="141" spans="1:13" s="87" customFormat="1" ht="15" customHeight="1" x14ac:dyDescent="0.2">
      <c r="A141" s="85" t="s">
        <v>51</v>
      </c>
      <c r="B141" s="86">
        <v>0</v>
      </c>
      <c r="C141" s="86">
        <v>1</v>
      </c>
      <c r="D141" s="86">
        <v>1</v>
      </c>
      <c r="E141" s="86">
        <v>8</v>
      </c>
      <c r="F141" s="86">
        <v>0</v>
      </c>
      <c r="G141" s="86">
        <v>0</v>
      </c>
      <c r="H141" s="86">
        <v>0</v>
      </c>
      <c r="I141" s="86">
        <v>0</v>
      </c>
      <c r="J141" s="85">
        <f t="shared" si="8"/>
        <v>8</v>
      </c>
      <c r="K141" s="85">
        <f t="shared" si="9"/>
        <v>1</v>
      </c>
      <c r="L141" s="85">
        <f t="shared" si="10"/>
        <v>1</v>
      </c>
      <c r="M141" s="85">
        <f t="shared" si="11"/>
        <v>0</v>
      </c>
    </row>
    <row r="142" spans="1:13" s="87" customFormat="1" ht="15" customHeight="1" x14ac:dyDescent="0.2">
      <c r="A142" s="85" t="s">
        <v>52</v>
      </c>
      <c r="B142" s="86">
        <v>0</v>
      </c>
      <c r="C142" s="86">
        <v>1</v>
      </c>
      <c r="D142" s="86">
        <v>0</v>
      </c>
      <c r="E142" s="86">
        <v>5</v>
      </c>
      <c r="F142" s="86">
        <v>6</v>
      </c>
      <c r="G142" s="86">
        <v>0</v>
      </c>
      <c r="H142" s="86">
        <v>0</v>
      </c>
      <c r="I142" s="86">
        <v>0</v>
      </c>
      <c r="J142" s="85">
        <f t="shared" si="8"/>
        <v>5</v>
      </c>
      <c r="K142" s="85">
        <f t="shared" si="9"/>
        <v>0</v>
      </c>
      <c r="L142" s="85">
        <f t="shared" si="10"/>
        <v>7</v>
      </c>
      <c r="M142" s="85">
        <f t="shared" si="11"/>
        <v>0</v>
      </c>
    </row>
    <row r="143" spans="1:13" s="87" customFormat="1" ht="15" customHeight="1" x14ac:dyDescent="0.2">
      <c r="A143" s="85" t="s">
        <v>53</v>
      </c>
      <c r="B143" s="86">
        <v>0</v>
      </c>
      <c r="C143" s="86">
        <v>1</v>
      </c>
      <c r="D143" s="86">
        <v>0</v>
      </c>
      <c r="E143" s="86">
        <v>0</v>
      </c>
      <c r="F143" s="86">
        <v>0</v>
      </c>
      <c r="G143" s="86">
        <v>0</v>
      </c>
      <c r="H143" s="86">
        <v>0</v>
      </c>
      <c r="I143" s="86">
        <v>0</v>
      </c>
      <c r="J143" s="85">
        <f t="shared" si="8"/>
        <v>0</v>
      </c>
      <c r="K143" s="85">
        <f t="shared" si="9"/>
        <v>0</v>
      </c>
      <c r="L143" s="85">
        <f t="shared" si="10"/>
        <v>1</v>
      </c>
      <c r="M143" s="85">
        <f t="shared" si="11"/>
        <v>0</v>
      </c>
    </row>
    <row r="144" spans="1:13" s="87" customFormat="1" ht="15" customHeight="1" x14ac:dyDescent="0.2">
      <c r="A144" s="85" t="s">
        <v>54</v>
      </c>
      <c r="B144" s="86">
        <v>0</v>
      </c>
      <c r="C144" s="86">
        <v>0</v>
      </c>
      <c r="D144" s="86">
        <v>0</v>
      </c>
      <c r="E144" s="86">
        <v>1</v>
      </c>
      <c r="F144" s="86">
        <v>1</v>
      </c>
      <c r="G144" s="86">
        <v>0</v>
      </c>
      <c r="H144" s="86">
        <v>1</v>
      </c>
      <c r="I144" s="86">
        <v>0</v>
      </c>
      <c r="J144" s="85">
        <f t="shared" si="8"/>
        <v>2</v>
      </c>
      <c r="K144" s="85">
        <f t="shared" si="9"/>
        <v>0</v>
      </c>
      <c r="L144" s="85">
        <f t="shared" si="10"/>
        <v>1</v>
      </c>
      <c r="M144" s="85">
        <f t="shared" si="11"/>
        <v>0</v>
      </c>
    </row>
    <row r="145" spans="1:13" s="87" customFormat="1" ht="15" customHeight="1" x14ac:dyDescent="0.2">
      <c r="A145" s="85" t="s">
        <v>55</v>
      </c>
      <c r="B145" s="86">
        <v>0</v>
      </c>
      <c r="C145" s="86">
        <v>0</v>
      </c>
      <c r="D145" s="86">
        <v>0</v>
      </c>
      <c r="E145" s="86">
        <v>0</v>
      </c>
      <c r="F145" s="86">
        <v>2</v>
      </c>
      <c r="G145" s="86">
        <v>0</v>
      </c>
      <c r="H145" s="86">
        <v>0</v>
      </c>
      <c r="I145" s="86">
        <v>0</v>
      </c>
      <c r="J145" s="85">
        <f t="shared" si="8"/>
        <v>0</v>
      </c>
      <c r="K145" s="85">
        <f t="shared" si="9"/>
        <v>0</v>
      </c>
      <c r="L145" s="85">
        <f t="shared" si="10"/>
        <v>2</v>
      </c>
      <c r="M145" s="85">
        <f t="shared" si="11"/>
        <v>0</v>
      </c>
    </row>
    <row r="146" spans="1:13" s="87" customFormat="1" ht="15" customHeight="1" x14ac:dyDescent="0.2">
      <c r="A146" s="85" t="s">
        <v>56</v>
      </c>
      <c r="B146" s="86">
        <v>0</v>
      </c>
      <c r="C146" s="86">
        <v>1</v>
      </c>
      <c r="D146" s="86">
        <v>0</v>
      </c>
      <c r="E146" s="86">
        <v>0</v>
      </c>
      <c r="F146" s="86">
        <v>0</v>
      </c>
      <c r="G146" s="86">
        <v>0</v>
      </c>
      <c r="H146" s="86">
        <v>0</v>
      </c>
      <c r="I146" s="86">
        <v>0</v>
      </c>
      <c r="J146" s="85">
        <f t="shared" si="8"/>
        <v>0</v>
      </c>
      <c r="K146" s="85">
        <f t="shared" si="9"/>
        <v>0</v>
      </c>
      <c r="L146" s="85">
        <f t="shared" si="10"/>
        <v>1</v>
      </c>
      <c r="M146" s="85">
        <f t="shared" si="11"/>
        <v>0</v>
      </c>
    </row>
    <row r="147" spans="1:13" s="87" customFormat="1" ht="15" customHeight="1" x14ac:dyDescent="0.2">
      <c r="A147" s="85" t="s">
        <v>57</v>
      </c>
      <c r="B147" s="86">
        <v>0</v>
      </c>
      <c r="C147" s="86">
        <v>1</v>
      </c>
      <c r="D147" s="86">
        <v>2</v>
      </c>
      <c r="E147" s="86">
        <v>0</v>
      </c>
      <c r="F147" s="86">
        <v>0</v>
      </c>
      <c r="G147" s="86">
        <v>0</v>
      </c>
      <c r="H147" s="86">
        <v>0</v>
      </c>
      <c r="I147" s="86">
        <v>0</v>
      </c>
      <c r="J147" s="85">
        <f t="shared" si="8"/>
        <v>0</v>
      </c>
      <c r="K147" s="85">
        <f t="shared" si="9"/>
        <v>2</v>
      </c>
      <c r="L147" s="85">
        <f t="shared" si="10"/>
        <v>1</v>
      </c>
      <c r="M147" s="85">
        <f t="shared" si="11"/>
        <v>0</v>
      </c>
    </row>
    <row r="148" spans="1:13" s="87" customFormat="1" ht="15" customHeight="1" x14ac:dyDescent="0.2">
      <c r="A148" s="85" t="s">
        <v>58</v>
      </c>
      <c r="B148" s="86">
        <v>0</v>
      </c>
      <c r="C148" s="86">
        <v>0</v>
      </c>
      <c r="D148" s="86">
        <v>0</v>
      </c>
      <c r="E148" s="86">
        <v>0</v>
      </c>
      <c r="F148" s="86">
        <v>0</v>
      </c>
      <c r="G148" s="86">
        <v>0</v>
      </c>
      <c r="H148" s="86">
        <v>0</v>
      </c>
      <c r="I148" s="86">
        <v>0</v>
      </c>
      <c r="J148" s="85">
        <f t="shared" si="8"/>
        <v>0</v>
      </c>
      <c r="K148" s="85">
        <f t="shared" si="9"/>
        <v>0</v>
      </c>
      <c r="L148" s="85">
        <f t="shared" si="10"/>
        <v>0</v>
      </c>
      <c r="M148" s="85">
        <f t="shared" si="11"/>
        <v>0</v>
      </c>
    </row>
    <row r="149" spans="1:13" s="87" customFormat="1" ht="15" customHeight="1" x14ac:dyDescent="0.2">
      <c r="A149" s="85" t="s">
        <v>59</v>
      </c>
      <c r="B149" s="86">
        <v>0</v>
      </c>
      <c r="C149" s="86">
        <v>0</v>
      </c>
      <c r="D149" s="86">
        <v>0</v>
      </c>
      <c r="E149" s="86">
        <v>1</v>
      </c>
      <c r="F149" s="86">
        <v>1</v>
      </c>
      <c r="G149" s="86">
        <v>0</v>
      </c>
      <c r="H149" s="86">
        <v>0</v>
      </c>
      <c r="I149" s="86">
        <v>0</v>
      </c>
      <c r="J149" s="85">
        <f t="shared" si="8"/>
        <v>1</v>
      </c>
      <c r="K149" s="85">
        <f t="shared" si="9"/>
        <v>0</v>
      </c>
      <c r="L149" s="85">
        <f t="shared" si="10"/>
        <v>1</v>
      </c>
      <c r="M149" s="85">
        <f t="shared" si="11"/>
        <v>0</v>
      </c>
    </row>
    <row r="150" spans="1:13" s="87" customFormat="1" ht="15" customHeight="1" x14ac:dyDescent="0.2">
      <c r="A150" s="85" t="s">
        <v>60</v>
      </c>
      <c r="B150" s="86">
        <v>0</v>
      </c>
      <c r="C150" s="86">
        <v>0</v>
      </c>
      <c r="D150" s="86">
        <v>0</v>
      </c>
      <c r="E150" s="86">
        <v>0</v>
      </c>
      <c r="F150" s="86">
        <v>0</v>
      </c>
      <c r="G150" s="86">
        <v>0</v>
      </c>
      <c r="H150" s="86">
        <v>0</v>
      </c>
      <c r="I150" s="86">
        <v>0</v>
      </c>
      <c r="J150" s="85">
        <f t="shared" si="8"/>
        <v>0</v>
      </c>
      <c r="K150" s="85">
        <f t="shared" si="9"/>
        <v>0</v>
      </c>
      <c r="L150" s="85">
        <f t="shared" si="10"/>
        <v>0</v>
      </c>
      <c r="M150" s="85">
        <f t="shared" si="11"/>
        <v>0</v>
      </c>
    </row>
    <row r="151" spans="1:13" s="87" customFormat="1" ht="15" customHeight="1" x14ac:dyDescent="0.2">
      <c r="A151" s="85" t="s">
        <v>61</v>
      </c>
      <c r="B151" s="86">
        <v>1</v>
      </c>
      <c r="C151" s="86">
        <v>1</v>
      </c>
      <c r="D151" s="86">
        <v>0</v>
      </c>
      <c r="E151" s="86">
        <v>0</v>
      </c>
      <c r="F151" s="86">
        <v>1</v>
      </c>
      <c r="G151" s="86">
        <v>0</v>
      </c>
      <c r="H151" s="86">
        <v>0</v>
      </c>
      <c r="I151" s="86">
        <v>0</v>
      </c>
      <c r="J151" s="85">
        <f t="shared" si="8"/>
        <v>0</v>
      </c>
      <c r="K151" s="85">
        <f t="shared" si="9"/>
        <v>0</v>
      </c>
      <c r="L151" s="85">
        <f t="shared" si="10"/>
        <v>2</v>
      </c>
      <c r="M151" s="85">
        <f t="shared" si="11"/>
        <v>1</v>
      </c>
    </row>
    <row r="152" spans="1:13" s="87" customFormat="1" ht="15" customHeight="1" x14ac:dyDescent="0.2">
      <c r="A152" s="85" t="s">
        <v>62</v>
      </c>
      <c r="B152" s="86">
        <v>2</v>
      </c>
      <c r="C152" s="86">
        <v>2</v>
      </c>
      <c r="D152" s="86">
        <v>0</v>
      </c>
      <c r="E152" s="86">
        <v>0</v>
      </c>
      <c r="F152" s="86">
        <v>0</v>
      </c>
      <c r="G152" s="86">
        <v>0</v>
      </c>
      <c r="H152" s="86">
        <v>0</v>
      </c>
      <c r="I152" s="86">
        <v>0</v>
      </c>
      <c r="J152" s="85">
        <f t="shared" si="8"/>
        <v>0</v>
      </c>
      <c r="K152" s="85">
        <f t="shared" si="9"/>
        <v>0</v>
      </c>
      <c r="L152" s="85">
        <f t="shared" si="10"/>
        <v>2</v>
      </c>
      <c r="M152" s="85">
        <f t="shared" si="11"/>
        <v>2</v>
      </c>
    </row>
    <row r="153" spans="1:13" s="87" customFormat="1" ht="15" customHeight="1" x14ac:dyDescent="0.2">
      <c r="A153" s="85" t="s">
        <v>63</v>
      </c>
      <c r="B153" s="86">
        <v>0</v>
      </c>
      <c r="C153" s="86">
        <v>0</v>
      </c>
      <c r="D153" s="86">
        <v>0</v>
      </c>
      <c r="E153" s="86">
        <v>0</v>
      </c>
      <c r="F153" s="86">
        <v>0</v>
      </c>
      <c r="G153" s="86">
        <v>0</v>
      </c>
      <c r="H153" s="86">
        <v>0</v>
      </c>
      <c r="I153" s="86">
        <v>0</v>
      </c>
      <c r="J153" s="85">
        <f t="shared" si="8"/>
        <v>0</v>
      </c>
      <c r="K153" s="85">
        <f t="shared" si="9"/>
        <v>0</v>
      </c>
      <c r="L153" s="85">
        <f t="shared" si="10"/>
        <v>0</v>
      </c>
      <c r="M153" s="85">
        <f t="shared" si="11"/>
        <v>0</v>
      </c>
    </row>
    <row r="154" spans="1:13" s="87" customFormat="1" ht="15" customHeight="1" x14ac:dyDescent="0.2">
      <c r="A154" s="85" t="s">
        <v>64</v>
      </c>
      <c r="B154" s="86">
        <v>0</v>
      </c>
      <c r="C154" s="86">
        <v>0</v>
      </c>
      <c r="D154" s="86">
        <v>0</v>
      </c>
      <c r="E154" s="86">
        <v>0</v>
      </c>
      <c r="F154" s="86">
        <v>0</v>
      </c>
      <c r="G154" s="86">
        <v>0</v>
      </c>
      <c r="H154" s="86">
        <v>0</v>
      </c>
      <c r="I154" s="86">
        <v>0</v>
      </c>
      <c r="J154" s="85">
        <f t="shared" si="8"/>
        <v>0</v>
      </c>
      <c r="K154" s="85">
        <f t="shared" si="9"/>
        <v>0</v>
      </c>
      <c r="L154" s="85">
        <f t="shared" si="10"/>
        <v>0</v>
      </c>
      <c r="M154" s="85">
        <f t="shared" si="11"/>
        <v>0</v>
      </c>
    </row>
    <row r="155" spans="1:13" s="87" customFormat="1" ht="15" customHeight="1" x14ac:dyDescent="0.2">
      <c r="A155" s="85" t="s">
        <v>65</v>
      </c>
      <c r="B155" s="86">
        <v>0</v>
      </c>
      <c r="C155" s="86">
        <v>0</v>
      </c>
      <c r="D155" s="86">
        <v>0</v>
      </c>
      <c r="E155" s="86">
        <v>0</v>
      </c>
      <c r="F155" s="86">
        <v>0</v>
      </c>
      <c r="G155" s="86">
        <v>0</v>
      </c>
      <c r="H155" s="86">
        <v>0</v>
      </c>
      <c r="I155" s="86">
        <v>0</v>
      </c>
      <c r="J155" s="85">
        <f t="shared" si="8"/>
        <v>0</v>
      </c>
      <c r="K155" s="85">
        <f t="shared" si="9"/>
        <v>0</v>
      </c>
      <c r="L155" s="85">
        <f t="shared" si="10"/>
        <v>0</v>
      </c>
      <c r="M155" s="85">
        <f t="shared" si="11"/>
        <v>0</v>
      </c>
    </row>
    <row r="156" spans="1:13" s="87" customFormat="1" ht="15" customHeight="1" x14ac:dyDescent="0.2">
      <c r="A156" s="85" t="s">
        <v>66</v>
      </c>
      <c r="B156" s="86">
        <v>0</v>
      </c>
      <c r="C156" s="86">
        <v>0</v>
      </c>
      <c r="D156" s="86">
        <v>0</v>
      </c>
      <c r="E156" s="86">
        <v>0</v>
      </c>
      <c r="F156" s="86">
        <v>1</v>
      </c>
      <c r="G156" s="86">
        <v>0</v>
      </c>
      <c r="H156" s="86">
        <v>1</v>
      </c>
      <c r="I156" s="86">
        <v>0</v>
      </c>
      <c r="J156" s="85">
        <f t="shared" si="8"/>
        <v>1</v>
      </c>
      <c r="K156" s="85">
        <f t="shared" si="9"/>
        <v>0</v>
      </c>
      <c r="L156" s="85">
        <f t="shared" si="10"/>
        <v>1</v>
      </c>
      <c r="M156" s="85">
        <f t="shared" si="11"/>
        <v>0</v>
      </c>
    </row>
    <row r="157" spans="1:13" s="87" customFormat="1" ht="15" customHeight="1" x14ac:dyDescent="0.2">
      <c r="A157" s="85" t="s">
        <v>67</v>
      </c>
      <c r="B157" s="86">
        <v>0</v>
      </c>
      <c r="C157" s="86">
        <v>0</v>
      </c>
      <c r="D157" s="86">
        <v>0</v>
      </c>
      <c r="E157" s="86">
        <v>0</v>
      </c>
      <c r="F157" s="86">
        <v>0</v>
      </c>
      <c r="G157" s="86">
        <v>0</v>
      </c>
      <c r="H157" s="86">
        <v>0</v>
      </c>
      <c r="I157" s="86">
        <v>0</v>
      </c>
      <c r="J157" s="85">
        <f t="shared" si="8"/>
        <v>0</v>
      </c>
      <c r="K157" s="85">
        <f t="shared" si="9"/>
        <v>0</v>
      </c>
      <c r="L157" s="85">
        <f t="shared" si="10"/>
        <v>0</v>
      </c>
      <c r="M157" s="85">
        <f t="shared" si="11"/>
        <v>0</v>
      </c>
    </row>
    <row r="158" spans="1:13" s="87" customFormat="1" ht="15" customHeight="1" x14ac:dyDescent="0.2">
      <c r="A158" s="85" t="s">
        <v>68</v>
      </c>
      <c r="B158" s="86">
        <v>0</v>
      </c>
      <c r="C158" s="86">
        <v>0</v>
      </c>
      <c r="D158" s="86">
        <v>0</v>
      </c>
      <c r="E158" s="86">
        <v>0</v>
      </c>
      <c r="F158" s="86">
        <v>2</v>
      </c>
      <c r="G158" s="86">
        <v>0</v>
      </c>
      <c r="H158" s="86">
        <v>0</v>
      </c>
      <c r="I158" s="86">
        <v>0</v>
      </c>
      <c r="J158" s="85">
        <f t="shared" si="8"/>
        <v>0</v>
      </c>
      <c r="K158" s="85">
        <f t="shared" si="9"/>
        <v>0</v>
      </c>
      <c r="L158" s="85">
        <f t="shared" si="10"/>
        <v>2</v>
      </c>
      <c r="M158" s="85">
        <f t="shared" si="11"/>
        <v>0</v>
      </c>
    </row>
    <row r="159" spans="1:13" s="87" customFormat="1" ht="15" customHeight="1" x14ac:dyDescent="0.2">
      <c r="A159" s="85" t="s">
        <v>69</v>
      </c>
      <c r="B159" s="86">
        <v>0</v>
      </c>
      <c r="C159" s="86">
        <v>0</v>
      </c>
      <c r="D159" s="86">
        <v>0</v>
      </c>
      <c r="E159" s="86">
        <v>0</v>
      </c>
      <c r="F159" s="86">
        <v>1</v>
      </c>
      <c r="G159" s="86">
        <v>0</v>
      </c>
      <c r="H159" s="86">
        <v>0</v>
      </c>
      <c r="I159" s="86">
        <v>0</v>
      </c>
      <c r="J159" s="85">
        <f t="shared" si="8"/>
        <v>0</v>
      </c>
      <c r="K159" s="85">
        <f t="shared" si="9"/>
        <v>0</v>
      </c>
      <c r="L159" s="85">
        <f t="shared" si="10"/>
        <v>1</v>
      </c>
      <c r="M159" s="85">
        <f t="shared" si="11"/>
        <v>0</v>
      </c>
    </row>
    <row r="160" spans="1:13" s="87" customFormat="1" ht="15" customHeight="1" x14ac:dyDescent="0.2">
      <c r="A160" s="85" t="s">
        <v>70</v>
      </c>
      <c r="B160" s="86">
        <v>0</v>
      </c>
      <c r="C160" s="86">
        <v>0</v>
      </c>
      <c r="D160" s="86">
        <v>0</v>
      </c>
      <c r="E160" s="86">
        <v>0</v>
      </c>
      <c r="F160" s="86">
        <v>0</v>
      </c>
      <c r="G160" s="86">
        <v>0</v>
      </c>
      <c r="H160" s="86">
        <v>0</v>
      </c>
      <c r="I160" s="86">
        <v>0</v>
      </c>
      <c r="J160" s="85">
        <f t="shared" si="8"/>
        <v>0</v>
      </c>
      <c r="K160" s="85">
        <f t="shared" si="9"/>
        <v>0</v>
      </c>
      <c r="L160" s="85">
        <f t="shared" si="10"/>
        <v>0</v>
      </c>
      <c r="M160" s="85">
        <f t="shared" si="11"/>
        <v>0</v>
      </c>
    </row>
    <row r="161" spans="1:13" s="87" customFormat="1" ht="15" customHeight="1" x14ac:dyDescent="0.2">
      <c r="A161" s="85" t="s">
        <v>71</v>
      </c>
      <c r="B161" s="86">
        <v>0</v>
      </c>
      <c r="C161" s="86">
        <v>0</v>
      </c>
      <c r="D161" s="86">
        <v>0</v>
      </c>
      <c r="E161" s="86">
        <v>0</v>
      </c>
      <c r="F161" s="86">
        <v>0</v>
      </c>
      <c r="G161" s="86">
        <v>0</v>
      </c>
      <c r="H161" s="86">
        <v>0</v>
      </c>
      <c r="I161" s="86">
        <v>0</v>
      </c>
      <c r="J161" s="85">
        <f t="shared" si="8"/>
        <v>0</v>
      </c>
      <c r="K161" s="85">
        <f t="shared" si="9"/>
        <v>0</v>
      </c>
      <c r="L161" s="85">
        <f t="shared" si="10"/>
        <v>0</v>
      </c>
      <c r="M161" s="85">
        <f t="shared" si="11"/>
        <v>0</v>
      </c>
    </row>
    <row r="162" spans="1:13" s="87" customFormat="1" ht="15" customHeight="1" x14ac:dyDescent="0.2">
      <c r="A162" s="85" t="s">
        <v>72</v>
      </c>
      <c r="B162" s="86">
        <v>0</v>
      </c>
      <c r="C162" s="86">
        <v>0</v>
      </c>
      <c r="D162" s="86">
        <v>0</v>
      </c>
      <c r="E162" s="86">
        <v>0</v>
      </c>
      <c r="F162" s="86">
        <v>0</v>
      </c>
      <c r="G162" s="86">
        <v>0</v>
      </c>
      <c r="H162" s="86">
        <v>0</v>
      </c>
      <c r="I162" s="86">
        <v>0</v>
      </c>
      <c r="J162" s="85">
        <f t="shared" si="8"/>
        <v>0</v>
      </c>
      <c r="K162" s="85">
        <f t="shared" si="9"/>
        <v>0</v>
      </c>
      <c r="L162" s="85">
        <f t="shared" si="10"/>
        <v>0</v>
      </c>
      <c r="M162" s="85">
        <f t="shared" si="11"/>
        <v>0</v>
      </c>
    </row>
    <row r="163" spans="1:13" s="87" customFormat="1" ht="15" customHeight="1" x14ac:dyDescent="0.2">
      <c r="A163" s="85" t="s">
        <v>73</v>
      </c>
      <c r="B163" s="86">
        <v>0</v>
      </c>
      <c r="C163" s="86">
        <v>0</v>
      </c>
      <c r="D163" s="86">
        <v>0</v>
      </c>
      <c r="E163" s="86">
        <v>0</v>
      </c>
      <c r="F163" s="86">
        <v>0</v>
      </c>
      <c r="G163" s="86">
        <v>0</v>
      </c>
      <c r="H163" s="86">
        <v>0</v>
      </c>
      <c r="I163" s="86">
        <v>0</v>
      </c>
      <c r="J163" s="85">
        <f t="shared" si="8"/>
        <v>0</v>
      </c>
      <c r="K163" s="85">
        <f t="shared" si="9"/>
        <v>0</v>
      </c>
      <c r="L163" s="85">
        <f t="shared" si="10"/>
        <v>0</v>
      </c>
      <c r="M163" s="85">
        <f t="shared" si="11"/>
        <v>0</v>
      </c>
    </row>
    <row r="164" spans="1:13" s="87" customFormat="1" ht="15" customHeight="1" x14ac:dyDescent="0.2">
      <c r="A164" s="85" t="s">
        <v>74</v>
      </c>
      <c r="B164" s="86">
        <v>0</v>
      </c>
      <c r="C164" s="86">
        <v>0</v>
      </c>
      <c r="D164" s="86">
        <v>0</v>
      </c>
      <c r="E164" s="86">
        <v>1</v>
      </c>
      <c r="F164" s="86">
        <v>0</v>
      </c>
      <c r="G164" s="86">
        <v>0</v>
      </c>
      <c r="H164" s="86">
        <v>0</v>
      </c>
      <c r="I164" s="86">
        <v>0</v>
      </c>
      <c r="J164" s="85">
        <f t="shared" si="8"/>
        <v>1</v>
      </c>
      <c r="K164" s="85">
        <f t="shared" si="9"/>
        <v>0</v>
      </c>
      <c r="L164" s="85">
        <f t="shared" si="10"/>
        <v>0</v>
      </c>
      <c r="M164" s="85">
        <f t="shared" si="11"/>
        <v>0</v>
      </c>
    </row>
    <row r="165" spans="1:13" s="87" customFormat="1" ht="15" customHeight="1" x14ac:dyDescent="0.2">
      <c r="A165" s="85" t="s">
        <v>75</v>
      </c>
      <c r="B165" s="86">
        <v>0</v>
      </c>
      <c r="C165" s="86">
        <v>0</v>
      </c>
      <c r="D165" s="86">
        <v>0</v>
      </c>
      <c r="E165" s="86">
        <v>0</v>
      </c>
      <c r="F165" s="86">
        <v>0</v>
      </c>
      <c r="G165" s="86">
        <v>0</v>
      </c>
      <c r="H165" s="86">
        <v>0</v>
      </c>
      <c r="I165" s="86">
        <v>0</v>
      </c>
      <c r="J165" s="85">
        <f t="shared" si="8"/>
        <v>0</v>
      </c>
      <c r="K165" s="85">
        <f t="shared" si="9"/>
        <v>0</v>
      </c>
      <c r="L165" s="85">
        <f t="shared" si="10"/>
        <v>0</v>
      </c>
      <c r="M165" s="85">
        <f t="shared" si="11"/>
        <v>0</v>
      </c>
    </row>
    <row r="166" spans="1:13" s="87" customFormat="1" ht="15" customHeight="1" x14ac:dyDescent="0.2">
      <c r="A166" s="85" t="s">
        <v>76</v>
      </c>
      <c r="B166" s="86">
        <v>1</v>
      </c>
      <c r="C166" s="86">
        <v>0</v>
      </c>
      <c r="D166" s="86">
        <v>1</v>
      </c>
      <c r="E166" s="86">
        <v>0</v>
      </c>
      <c r="F166" s="86">
        <v>0</v>
      </c>
      <c r="G166" s="86">
        <v>0</v>
      </c>
      <c r="H166" s="86">
        <v>0</v>
      </c>
      <c r="I166" s="86">
        <v>0</v>
      </c>
      <c r="J166" s="85">
        <f t="shared" si="8"/>
        <v>0</v>
      </c>
      <c r="K166" s="85">
        <f t="shared" si="9"/>
        <v>1</v>
      </c>
      <c r="L166" s="85">
        <f t="shared" si="10"/>
        <v>0</v>
      </c>
      <c r="M166" s="85">
        <f t="shared" si="11"/>
        <v>1</v>
      </c>
    </row>
    <row r="167" spans="1:13" s="87" customFormat="1" ht="15" customHeight="1" x14ac:dyDescent="0.2">
      <c r="A167" s="85" t="s">
        <v>77</v>
      </c>
      <c r="B167" s="86">
        <v>0</v>
      </c>
      <c r="C167" s="86">
        <v>1</v>
      </c>
      <c r="D167" s="86">
        <v>0</v>
      </c>
      <c r="E167" s="86">
        <v>1</v>
      </c>
      <c r="F167" s="86">
        <v>1</v>
      </c>
      <c r="G167" s="86">
        <v>0</v>
      </c>
      <c r="H167" s="86">
        <v>0</v>
      </c>
      <c r="I167" s="86">
        <v>0</v>
      </c>
      <c r="J167" s="85">
        <f t="shared" si="8"/>
        <v>1</v>
      </c>
      <c r="K167" s="85">
        <f t="shared" si="9"/>
        <v>0</v>
      </c>
      <c r="L167" s="85">
        <f t="shared" si="10"/>
        <v>2</v>
      </c>
      <c r="M167" s="85">
        <f t="shared" si="11"/>
        <v>0</v>
      </c>
    </row>
    <row r="168" spans="1:13" s="87" customFormat="1" ht="15" customHeight="1" x14ac:dyDescent="0.2">
      <c r="A168" s="85" t="s">
        <v>78</v>
      </c>
      <c r="B168" s="86">
        <v>0</v>
      </c>
      <c r="C168" s="86">
        <v>0</v>
      </c>
      <c r="D168" s="86">
        <v>0</v>
      </c>
      <c r="E168" s="86">
        <v>0</v>
      </c>
      <c r="F168" s="86">
        <v>0</v>
      </c>
      <c r="G168" s="86">
        <v>0</v>
      </c>
      <c r="H168" s="86">
        <v>0</v>
      </c>
      <c r="I168" s="86">
        <v>1</v>
      </c>
      <c r="J168" s="85">
        <f t="shared" si="8"/>
        <v>0</v>
      </c>
      <c r="K168" s="85">
        <f t="shared" si="9"/>
        <v>1</v>
      </c>
      <c r="L168" s="85">
        <f t="shared" si="10"/>
        <v>0</v>
      </c>
      <c r="M168" s="85">
        <f t="shared" si="11"/>
        <v>0</v>
      </c>
    </row>
    <row r="169" spans="1:13" s="87" customFormat="1" ht="15" customHeight="1" x14ac:dyDescent="0.2">
      <c r="A169" s="85" t="s">
        <v>79</v>
      </c>
      <c r="B169" s="86">
        <v>0</v>
      </c>
      <c r="C169" s="86">
        <v>0</v>
      </c>
      <c r="D169" s="86">
        <v>0</v>
      </c>
      <c r="E169" s="86">
        <v>0</v>
      </c>
      <c r="F169" s="86">
        <v>0</v>
      </c>
      <c r="G169" s="86">
        <v>0</v>
      </c>
      <c r="H169" s="86">
        <v>0</v>
      </c>
      <c r="I169" s="86">
        <v>12</v>
      </c>
      <c r="J169" s="85">
        <f t="shared" si="8"/>
        <v>0</v>
      </c>
      <c r="K169" s="85">
        <f t="shared" si="9"/>
        <v>12</v>
      </c>
      <c r="L169" s="85">
        <f t="shared" si="10"/>
        <v>0</v>
      </c>
      <c r="M169" s="85">
        <f t="shared" si="11"/>
        <v>0</v>
      </c>
    </row>
    <row r="170" spans="1:13" s="87" customFormat="1" ht="15" customHeight="1" x14ac:dyDescent="0.2">
      <c r="A170" s="85" t="s">
        <v>80</v>
      </c>
      <c r="B170" s="86">
        <v>0</v>
      </c>
      <c r="C170" s="86">
        <v>0</v>
      </c>
      <c r="D170" s="86">
        <v>0</v>
      </c>
      <c r="E170" s="86">
        <v>0</v>
      </c>
      <c r="F170" s="86">
        <v>0</v>
      </c>
      <c r="G170" s="86">
        <v>0</v>
      </c>
      <c r="H170" s="86">
        <v>3</v>
      </c>
      <c r="I170" s="86">
        <v>3</v>
      </c>
      <c r="J170" s="85">
        <f t="shared" si="8"/>
        <v>3</v>
      </c>
      <c r="K170" s="85">
        <f t="shared" si="9"/>
        <v>3</v>
      </c>
      <c r="L170" s="85">
        <f t="shared" si="10"/>
        <v>0</v>
      </c>
      <c r="M170" s="85">
        <f t="shared" si="11"/>
        <v>0</v>
      </c>
    </row>
    <row r="171" spans="1:13" s="87" customFormat="1" ht="15" customHeight="1" x14ac:dyDescent="0.2">
      <c r="A171" s="85" t="s">
        <v>81</v>
      </c>
      <c r="B171" s="86">
        <v>0</v>
      </c>
      <c r="C171" s="86">
        <v>0</v>
      </c>
      <c r="D171" s="86">
        <v>0</v>
      </c>
      <c r="E171" s="86">
        <v>0</v>
      </c>
      <c r="F171" s="86">
        <v>0</v>
      </c>
      <c r="G171" s="86">
        <v>0</v>
      </c>
      <c r="H171" s="86">
        <v>0</v>
      </c>
      <c r="I171" s="86">
        <v>0</v>
      </c>
      <c r="J171" s="85">
        <f t="shared" si="8"/>
        <v>0</v>
      </c>
      <c r="K171" s="85">
        <f t="shared" si="9"/>
        <v>0</v>
      </c>
      <c r="L171" s="85">
        <f t="shared" si="10"/>
        <v>0</v>
      </c>
      <c r="M171" s="85">
        <f t="shared" si="11"/>
        <v>0</v>
      </c>
    </row>
    <row r="172" spans="1:13" s="87" customFormat="1" ht="15" customHeight="1" x14ac:dyDescent="0.2">
      <c r="A172" s="85" t="s">
        <v>82</v>
      </c>
      <c r="B172" s="86">
        <v>0</v>
      </c>
      <c r="C172" s="86">
        <v>0</v>
      </c>
      <c r="D172" s="86">
        <v>0</v>
      </c>
      <c r="E172" s="86">
        <v>0</v>
      </c>
      <c r="F172" s="86">
        <v>0</v>
      </c>
      <c r="G172" s="86">
        <v>0</v>
      </c>
      <c r="H172" s="86">
        <v>1</v>
      </c>
      <c r="I172" s="86">
        <v>0</v>
      </c>
      <c r="J172" s="85">
        <f t="shared" si="8"/>
        <v>1</v>
      </c>
      <c r="K172" s="85">
        <f t="shared" si="9"/>
        <v>0</v>
      </c>
      <c r="L172" s="85">
        <f t="shared" si="10"/>
        <v>0</v>
      </c>
      <c r="M172" s="85">
        <f t="shared" si="11"/>
        <v>0</v>
      </c>
    </row>
    <row r="173" spans="1:13" s="87" customFormat="1" ht="15" customHeight="1" x14ac:dyDescent="0.2">
      <c r="A173" s="85" t="s">
        <v>83</v>
      </c>
      <c r="B173" s="86">
        <v>0</v>
      </c>
      <c r="C173" s="86">
        <v>0</v>
      </c>
      <c r="D173" s="86">
        <v>0</v>
      </c>
      <c r="E173" s="86">
        <v>0</v>
      </c>
      <c r="F173" s="86">
        <v>0</v>
      </c>
      <c r="G173" s="86">
        <v>0</v>
      </c>
      <c r="H173" s="86">
        <v>0</v>
      </c>
      <c r="I173" s="86">
        <v>0</v>
      </c>
      <c r="J173" s="85">
        <f t="shared" si="8"/>
        <v>0</v>
      </c>
      <c r="K173" s="85">
        <f t="shared" si="9"/>
        <v>0</v>
      </c>
      <c r="L173" s="85">
        <f t="shared" si="10"/>
        <v>0</v>
      </c>
      <c r="M173" s="85">
        <f t="shared" si="11"/>
        <v>0</v>
      </c>
    </row>
    <row r="174" spans="1:13" s="87" customFormat="1" ht="15" customHeight="1" x14ac:dyDescent="0.2">
      <c r="A174" s="85" t="s">
        <v>84</v>
      </c>
      <c r="B174" s="86">
        <v>0</v>
      </c>
      <c r="C174" s="86">
        <v>0</v>
      </c>
      <c r="D174" s="86">
        <v>0</v>
      </c>
      <c r="E174" s="86">
        <v>0</v>
      </c>
      <c r="F174" s="86">
        <v>1</v>
      </c>
      <c r="G174" s="86">
        <v>0</v>
      </c>
      <c r="H174" s="86">
        <v>0</v>
      </c>
      <c r="I174" s="86">
        <v>0</v>
      </c>
      <c r="J174" s="85">
        <f t="shared" si="8"/>
        <v>0</v>
      </c>
      <c r="K174" s="85">
        <f t="shared" si="9"/>
        <v>0</v>
      </c>
      <c r="L174" s="85">
        <f t="shared" si="10"/>
        <v>1</v>
      </c>
      <c r="M174" s="85">
        <f t="shared" si="11"/>
        <v>0</v>
      </c>
    </row>
    <row r="175" spans="1:13" s="87" customFormat="1" ht="15" customHeight="1" x14ac:dyDescent="0.2">
      <c r="A175" s="85" t="s">
        <v>85</v>
      </c>
      <c r="B175" s="86">
        <v>0</v>
      </c>
      <c r="C175" s="86">
        <v>0</v>
      </c>
      <c r="D175" s="86">
        <v>0</v>
      </c>
      <c r="E175" s="86">
        <v>0</v>
      </c>
      <c r="F175" s="86">
        <v>0</v>
      </c>
      <c r="G175" s="86">
        <v>0</v>
      </c>
      <c r="H175" s="86">
        <v>0</v>
      </c>
      <c r="I175" s="86">
        <v>0</v>
      </c>
      <c r="J175" s="85">
        <f t="shared" si="8"/>
        <v>0</v>
      </c>
      <c r="K175" s="85">
        <f t="shared" si="9"/>
        <v>0</v>
      </c>
      <c r="L175" s="85">
        <f t="shared" si="10"/>
        <v>0</v>
      </c>
      <c r="M175" s="85">
        <f t="shared" si="11"/>
        <v>0</v>
      </c>
    </row>
    <row r="176" spans="1:13" s="87" customFormat="1" ht="15" customHeight="1" x14ac:dyDescent="0.2">
      <c r="A176" s="85" t="s">
        <v>86</v>
      </c>
      <c r="B176" s="86">
        <v>0</v>
      </c>
      <c r="C176" s="86">
        <v>0</v>
      </c>
      <c r="D176" s="86">
        <v>0</v>
      </c>
      <c r="E176" s="86">
        <v>0</v>
      </c>
      <c r="F176" s="86">
        <v>0</v>
      </c>
      <c r="G176" s="86">
        <v>0</v>
      </c>
      <c r="H176" s="86">
        <v>0</v>
      </c>
      <c r="I176" s="86">
        <v>0</v>
      </c>
      <c r="J176" s="85">
        <f t="shared" si="8"/>
        <v>0</v>
      </c>
      <c r="K176" s="85">
        <f t="shared" si="9"/>
        <v>0</v>
      </c>
      <c r="L176" s="85">
        <f t="shared" si="10"/>
        <v>0</v>
      </c>
      <c r="M176" s="85">
        <f t="shared" si="11"/>
        <v>0</v>
      </c>
    </row>
    <row r="177" spans="1:13" s="87" customFormat="1" ht="15" customHeight="1" x14ac:dyDescent="0.2">
      <c r="A177" s="85" t="s">
        <v>87</v>
      </c>
      <c r="B177" s="86">
        <v>0</v>
      </c>
      <c r="C177" s="86">
        <v>0</v>
      </c>
      <c r="D177" s="86">
        <v>0</v>
      </c>
      <c r="E177" s="86">
        <v>0</v>
      </c>
      <c r="F177" s="86">
        <v>0</v>
      </c>
      <c r="G177" s="86">
        <v>0</v>
      </c>
      <c r="H177" s="86">
        <v>0</v>
      </c>
      <c r="I177" s="86">
        <v>0</v>
      </c>
      <c r="J177" s="85">
        <f t="shared" si="8"/>
        <v>0</v>
      </c>
      <c r="K177" s="85">
        <f t="shared" si="9"/>
        <v>0</v>
      </c>
      <c r="L177" s="85">
        <f t="shared" si="10"/>
        <v>0</v>
      </c>
      <c r="M177" s="85">
        <f t="shared" si="11"/>
        <v>0</v>
      </c>
    </row>
    <row r="178" spans="1:13" s="87" customFormat="1" ht="15" customHeight="1" x14ac:dyDescent="0.2">
      <c r="A178" s="85" t="s">
        <v>88</v>
      </c>
      <c r="B178" s="86">
        <v>0</v>
      </c>
      <c r="C178" s="86">
        <v>0</v>
      </c>
      <c r="D178" s="86">
        <v>0</v>
      </c>
      <c r="E178" s="86">
        <v>0</v>
      </c>
      <c r="F178" s="86">
        <v>0</v>
      </c>
      <c r="G178" s="86">
        <v>0</v>
      </c>
      <c r="H178" s="86">
        <v>0</v>
      </c>
      <c r="I178" s="86">
        <v>0</v>
      </c>
      <c r="J178" s="85">
        <f t="shared" si="8"/>
        <v>0</v>
      </c>
      <c r="K178" s="85">
        <f t="shared" si="9"/>
        <v>0</v>
      </c>
      <c r="L178" s="85">
        <f t="shared" si="10"/>
        <v>0</v>
      </c>
      <c r="M178" s="85">
        <f t="shared" si="11"/>
        <v>0</v>
      </c>
    </row>
    <row r="179" spans="1:13" s="87" customFormat="1" ht="15" customHeight="1" x14ac:dyDescent="0.2">
      <c r="A179" s="85" t="s">
        <v>89</v>
      </c>
      <c r="B179" s="86">
        <v>0</v>
      </c>
      <c r="C179" s="86">
        <v>0</v>
      </c>
      <c r="D179" s="86">
        <v>0</v>
      </c>
      <c r="E179" s="86">
        <v>0</v>
      </c>
      <c r="F179" s="86">
        <v>0</v>
      </c>
      <c r="G179" s="86">
        <v>0</v>
      </c>
      <c r="H179" s="86">
        <v>0</v>
      </c>
      <c r="I179" s="86">
        <v>0</v>
      </c>
      <c r="J179" s="85">
        <f t="shared" si="8"/>
        <v>0</v>
      </c>
      <c r="K179" s="85">
        <f t="shared" si="9"/>
        <v>0</v>
      </c>
      <c r="L179" s="85">
        <f t="shared" si="10"/>
        <v>0</v>
      </c>
      <c r="M179" s="85">
        <f t="shared" si="11"/>
        <v>0</v>
      </c>
    </row>
    <row r="180" spans="1:13" s="87" customFormat="1" ht="15" customHeight="1" x14ac:dyDescent="0.2">
      <c r="A180" s="85" t="s">
        <v>90</v>
      </c>
      <c r="B180" s="86">
        <v>0</v>
      </c>
      <c r="C180" s="86">
        <v>1</v>
      </c>
      <c r="D180" s="86">
        <v>0</v>
      </c>
      <c r="E180" s="86">
        <v>0</v>
      </c>
      <c r="F180" s="86">
        <v>0</v>
      </c>
      <c r="G180" s="86">
        <v>0</v>
      </c>
      <c r="H180" s="86">
        <v>0</v>
      </c>
      <c r="I180" s="86">
        <v>0</v>
      </c>
      <c r="J180" s="85">
        <f t="shared" si="8"/>
        <v>0</v>
      </c>
      <c r="K180" s="85">
        <f t="shared" si="9"/>
        <v>0</v>
      </c>
      <c r="L180" s="85">
        <f t="shared" si="10"/>
        <v>1</v>
      </c>
      <c r="M180" s="85">
        <f t="shared" si="11"/>
        <v>0</v>
      </c>
    </row>
    <row r="181" spans="1:13" s="87" customFormat="1" ht="15" customHeight="1" x14ac:dyDescent="0.2">
      <c r="A181" s="85" t="s">
        <v>91</v>
      </c>
      <c r="B181" s="86">
        <v>0</v>
      </c>
      <c r="C181" s="86">
        <v>0</v>
      </c>
      <c r="D181" s="86">
        <v>0</v>
      </c>
      <c r="E181" s="86">
        <v>0</v>
      </c>
      <c r="F181" s="86">
        <v>0</v>
      </c>
      <c r="G181" s="86">
        <v>0</v>
      </c>
      <c r="H181" s="86">
        <v>0</v>
      </c>
      <c r="I181" s="86">
        <v>0</v>
      </c>
      <c r="J181" s="85">
        <f t="shared" si="8"/>
        <v>0</v>
      </c>
      <c r="K181" s="85">
        <f t="shared" si="9"/>
        <v>0</v>
      </c>
      <c r="L181" s="85">
        <f t="shared" si="10"/>
        <v>0</v>
      </c>
      <c r="M181" s="85">
        <f t="shared" si="11"/>
        <v>0</v>
      </c>
    </row>
    <row r="182" spans="1:13" s="87" customFormat="1" ht="15" customHeight="1" x14ac:dyDescent="0.2">
      <c r="A182" s="85" t="s">
        <v>92</v>
      </c>
      <c r="B182" s="86">
        <v>0</v>
      </c>
      <c r="C182" s="86">
        <v>0</v>
      </c>
      <c r="D182" s="86">
        <v>0</v>
      </c>
      <c r="E182" s="86">
        <v>0</v>
      </c>
      <c r="F182" s="86">
        <v>0</v>
      </c>
      <c r="G182" s="86">
        <v>0</v>
      </c>
      <c r="H182" s="86">
        <v>0</v>
      </c>
      <c r="I182" s="86">
        <v>0</v>
      </c>
      <c r="J182" s="85">
        <f t="shared" si="8"/>
        <v>0</v>
      </c>
      <c r="K182" s="85">
        <f t="shared" si="9"/>
        <v>0</v>
      </c>
      <c r="L182" s="85">
        <f t="shared" si="10"/>
        <v>0</v>
      </c>
      <c r="M182" s="85">
        <f t="shared" si="11"/>
        <v>0</v>
      </c>
    </row>
    <row r="183" spans="1:13" s="87" customFormat="1" ht="15" customHeight="1" x14ac:dyDescent="0.2">
      <c r="A183" s="85" t="s">
        <v>93</v>
      </c>
      <c r="B183" s="86">
        <v>0</v>
      </c>
      <c r="C183" s="86">
        <v>0</v>
      </c>
      <c r="D183" s="86">
        <v>0</v>
      </c>
      <c r="E183" s="86">
        <v>0</v>
      </c>
      <c r="F183" s="86">
        <v>0</v>
      </c>
      <c r="G183" s="86">
        <v>0</v>
      </c>
      <c r="H183" s="86">
        <v>0</v>
      </c>
      <c r="I183" s="86">
        <v>0</v>
      </c>
      <c r="J183" s="85">
        <f t="shared" si="8"/>
        <v>0</v>
      </c>
      <c r="K183" s="85">
        <f t="shared" si="9"/>
        <v>0</v>
      </c>
      <c r="L183" s="85">
        <f t="shared" si="10"/>
        <v>0</v>
      </c>
      <c r="M183" s="85">
        <f t="shared" si="11"/>
        <v>0</v>
      </c>
    </row>
    <row r="184" spans="1:13" s="87" customFormat="1" ht="15" customHeight="1" x14ac:dyDescent="0.2">
      <c r="A184" s="85" t="s">
        <v>94</v>
      </c>
      <c r="B184" s="86">
        <v>0</v>
      </c>
      <c r="C184" s="86">
        <v>0</v>
      </c>
      <c r="D184" s="86">
        <v>0</v>
      </c>
      <c r="E184" s="86">
        <v>0</v>
      </c>
      <c r="F184" s="86">
        <v>0</v>
      </c>
      <c r="G184" s="86">
        <v>0</v>
      </c>
      <c r="H184" s="86">
        <v>0</v>
      </c>
      <c r="I184" s="86">
        <v>0</v>
      </c>
      <c r="J184" s="85">
        <f t="shared" si="8"/>
        <v>0</v>
      </c>
      <c r="K184" s="85">
        <f t="shared" si="9"/>
        <v>0</v>
      </c>
      <c r="L184" s="85">
        <f t="shared" si="10"/>
        <v>0</v>
      </c>
      <c r="M184" s="85">
        <f t="shared" si="11"/>
        <v>0</v>
      </c>
    </row>
    <row r="185" spans="1:13" ht="15" customHeight="1" x14ac:dyDescent="0.2">
      <c r="A185" s="12" t="s">
        <v>95</v>
      </c>
      <c r="B185" s="15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2">
        <f t="shared" si="8"/>
        <v>0</v>
      </c>
      <c r="K185" s="12">
        <f t="shared" si="9"/>
        <v>0</v>
      </c>
      <c r="L185" s="12">
        <f t="shared" si="10"/>
        <v>0</v>
      </c>
      <c r="M185" s="12">
        <f t="shared" si="11"/>
        <v>0</v>
      </c>
    </row>
    <row r="186" spans="1:13" ht="15" customHeight="1" x14ac:dyDescent="0.2">
      <c r="A186" s="12" t="s">
        <v>96</v>
      </c>
      <c r="B186" s="15">
        <v>0</v>
      </c>
      <c r="C186" s="15">
        <v>0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2">
        <f t="shared" si="8"/>
        <v>0</v>
      </c>
      <c r="K186" s="12">
        <f t="shared" si="9"/>
        <v>0</v>
      </c>
      <c r="L186" s="12">
        <f t="shared" si="10"/>
        <v>0</v>
      </c>
      <c r="M186" s="12">
        <f t="shared" si="11"/>
        <v>0</v>
      </c>
    </row>
    <row r="187" spans="1:13" ht="15" customHeight="1" x14ac:dyDescent="0.2">
      <c r="A187" s="12" t="s">
        <v>97</v>
      </c>
      <c r="B187" s="15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2">
        <f t="shared" si="8"/>
        <v>0</v>
      </c>
      <c r="K187" s="12">
        <f t="shared" si="9"/>
        <v>0</v>
      </c>
      <c r="L187" s="12">
        <f t="shared" si="10"/>
        <v>0</v>
      </c>
      <c r="M187" s="12">
        <f t="shared" si="11"/>
        <v>0</v>
      </c>
    </row>
    <row r="188" spans="1:13" ht="15" customHeight="1" x14ac:dyDescent="0.2">
      <c r="A188" s="12" t="s">
        <v>98</v>
      </c>
      <c r="B188" s="15">
        <v>0</v>
      </c>
      <c r="C188" s="15">
        <v>0</v>
      </c>
      <c r="D188" s="15">
        <v>0</v>
      </c>
      <c r="E188" s="15">
        <v>0</v>
      </c>
      <c r="F188" s="15">
        <v>0</v>
      </c>
      <c r="G188" s="15">
        <v>0</v>
      </c>
      <c r="H188" s="15">
        <v>0</v>
      </c>
      <c r="I188" s="15">
        <v>0</v>
      </c>
      <c r="J188" s="12">
        <f t="shared" si="8"/>
        <v>0</v>
      </c>
      <c r="K188" s="12">
        <f t="shared" si="9"/>
        <v>0</v>
      </c>
      <c r="L188" s="12">
        <f t="shared" si="10"/>
        <v>0</v>
      </c>
      <c r="M188" s="12">
        <f t="shared" si="11"/>
        <v>0</v>
      </c>
    </row>
    <row r="189" spans="1:13" ht="15" customHeight="1" x14ac:dyDescent="0.2">
      <c r="A189" s="12" t="s">
        <v>99</v>
      </c>
      <c r="B189" s="15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2">
        <f t="shared" si="8"/>
        <v>0</v>
      </c>
      <c r="K189" s="12">
        <f t="shared" si="9"/>
        <v>0</v>
      </c>
      <c r="L189" s="12">
        <f t="shared" si="10"/>
        <v>0</v>
      </c>
      <c r="M189" s="12">
        <f t="shared" si="11"/>
        <v>0</v>
      </c>
    </row>
    <row r="190" spans="1:13" ht="15" customHeight="1" x14ac:dyDescent="0.2">
      <c r="A190" s="12" t="s">
        <v>100</v>
      </c>
      <c r="B190" s="15">
        <v>0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2">
        <f t="shared" si="8"/>
        <v>0</v>
      </c>
      <c r="K190" s="12">
        <f t="shared" si="9"/>
        <v>0</v>
      </c>
      <c r="L190" s="12">
        <f t="shared" si="10"/>
        <v>0</v>
      </c>
      <c r="M190" s="12">
        <f t="shared" si="11"/>
        <v>0</v>
      </c>
    </row>
    <row r="191" spans="1:13" ht="15" customHeight="1" x14ac:dyDescent="0.2">
      <c r="A191" s="12" t="s">
        <v>101</v>
      </c>
      <c r="B191" s="15">
        <v>0</v>
      </c>
      <c r="C191" s="15">
        <v>1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2">
        <f t="shared" si="8"/>
        <v>0</v>
      </c>
      <c r="K191" s="12">
        <f t="shared" si="9"/>
        <v>0</v>
      </c>
      <c r="L191" s="12">
        <f t="shared" si="10"/>
        <v>1</v>
      </c>
      <c r="M191" s="12">
        <f t="shared" si="11"/>
        <v>0</v>
      </c>
    </row>
    <row r="192" spans="1:13" ht="15" customHeight="1" x14ac:dyDescent="0.2">
      <c r="A192" s="12" t="s">
        <v>102</v>
      </c>
      <c r="B192" s="15">
        <v>0</v>
      </c>
      <c r="C192" s="15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2">
        <f t="shared" si="8"/>
        <v>0</v>
      </c>
      <c r="K192" s="12">
        <f t="shared" si="9"/>
        <v>0</v>
      </c>
      <c r="L192" s="12">
        <f t="shared" si="10"/>
        <v>0</v>
      </c>
      <c r="M192" s="12">
        <f t="shared" si="11"/>
        <v>0</v>
      </c>
    </row>
    <row r="193" spans="1:13" ht="15" customHeight="1" x14ac:dyDescent="0.2">
      <c r="A193" s="12" t="s">
        <v>103</v>
      </c>
      <c r="B193" s="15">
        <v>0</v>
      </c>
      <c r="C193" s="15">
        <v>0</v>
      </c>
      <c r="D193" s="15">
        <v>0</v>
      </c>
      <c r="E193" s="15">
        <v>0</v>
      </c>
      <c r="F193" s="15">
        <v>0</v>
      </c>
      <c r="G193" s="15">
        <v>0</v>
      </c>
      <c r="H193" s="15">
        <v>0</v>
      </c>
      <c r="I193" s="15">
        <v>0</v>
      </c>
      <c r="J193" s="12">
        <f t="shared" si="8"/>
        <v>0</v>
      </c>
      <c r="K193" s="12">
        <f t="shared" si="9"/>
        <v>0</v>
      </c>
      <c r="L193" s="12">
        <f t="shared" si="10"/>
        <v>0</v>
      </c>
      <c r="M193" s="12">
        <f t="shared" si="11"/>
        <v>0</v>
      </c>
    </row>
    <row r="194" spans="1:13" ht="15" customHeight="1" x14ac:dyDescent="0.2">
      <c r="A194" s="12" t="s">
        <v>104</v>
      </c>
      <c r="B194" s="15">
        <v>0</v>
      </c>
      <c r="C194" s="15">
        <v>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2">
        <f t="shared" si="8"/>
        <v>0</v>
      </c>
      <c r="K194" s="12">
        <f t="shared" si="9"/>
        <v>0</v>
      </c>
      <c r="L194" s="12">
        <f t="shared" si="10"/>
        <v>0</v>
      </c>
      <c r="M194" s="12">
        <f t="shared" si="11"/>
        <v>0</v>
      </c>
    </row>
    <row r="195" spans="1:13" ht="15" customHeight="1" x14ac:dyDescent="0.2">
      <c r="A195" s="12" t="s">
        <v>105</v>
      </c>
      <c r="B195" s="15">
        <v>0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2">
        <f t="shared" si="8"/>
        <v>0</v>
      </c>
      <c r="K195" s="12">
        <f t="shared" si="9"/>
        <v>0</v>
      </c>
      <c r="L195" s="12">
        <f t="shared" si="10"/>
        <v>0</v>
      </c>
      <c r="M195" s="12">
        <f t="shared" si="11"/>
        <v>0</v>
      </c>
    </row>
    <row r="196" spans="1:13" ht="15" customHeight="1" x14ac:dyDescent="0.2">
      <c r="A196" s="12" t="s">
        <v>106</v>
      </c>
      <c r="B196" s="15">
        <v>0</v>
      </c>
      <c r="C196" s="15">
        <v>0</v>
      </c>
      <c r="D196" s="15">
        <v>0</v>
      </c>
      <c r="E196" s="15">
        <v>0</v>
      </c>
      <c r="F196" s="15">
        <v>0</v>
      </c>
      <c r="G196" s="15">
        <v>0</v>
      </c>
      <c r="H196" s="15">
        <v>0</v>
      </c>
      <c r="I196" s="15">
        <v>0</v>
      </c>
      <c r="J196" s="12">
        <f t="shared" si="8"/>
        <v>0</v>
      </c>
      <c r="K196" s="12">
        <f t="shared" si="9"/>
        <v>0</v>
      </c>
      <c r="L196" s="12">
        <f t="shared" si="10"/>
        <v>0</v>
      </c>
      <c r="M196" s="12">
        <f t="shared" si="11"/>
        <v>0</v>
      </c>
    </row>
    <row r="197" spans="1:13" ht="15" customHeight="1" x14ac:dyDescent="0.2">
      <c r="A197" s="12" t="s">
        <v>107</v>
      </c>
      <c r="B197" s="15">
        <v>0</v>
      </c>
      <c r="C197" s="15">
        <v>0</v>
      </c>
      <c r="D197" s="15">
        <v>0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2">
        <f t="shared" si="8"/>
        <v>0</v>
      </c>
      <c r="K197" s="12">
        <f t="shared" si="9"/>
        <v>0</v>
      </c>
      <c r="L197" s="12">
        <f t="shared" si="10"/>
        <v>0</v>
      </c>
      <c r="M197" s="12">
        <f t="shared" si="11"/>
        <v>0</v>
      </c>
    </row>
    <row r="198" spans="1:13" ht="15" customHeight="1" x14ac:dyDescent="0.2">
      <c r="A198" s="12" t="s">
        <v>108</v>
      </c>
      <c r="B198" s="15">
        <v>0</v>
      </c>
      <c r="C198" s="15">
        <v>0</v>
      </c>
      <c r="D198" s="15">
        <v>0</v>
      </c>
      <c r="E198" s="15">
        <v>0</v>
      </c>
      <c r="F198" s="15">
        <v>0</v>
      </c>
      <c r="G198" s="15">
        <v>0</v>
      </c>
      <c r="H198" s="15">
        <v>0</v>
      </c>
      <c r="I198" s="15">
        <v>0</v>
      </c>
      <c r="J198" s="12">
        <f t="shared" si="8"/>
        <v>0</v>
      </c>
      <c r="K198" s="12">
        <f t="shared" si="9"/>
        <v>0</v>
      </c>
      <c r="L198" s="12">
        <f t="shared" si="10"/>
        <v>0</v>
      </c>
      <c r="M198" s="12">
        <f t="shared" si="11"/>
        <v>0</v>
      </c>
    </row>
    <row r="199" spans="1:13" ht="15" customHeight="1" x14ac:dyDescent="0.2">
      <c r="A199" s="12" t="s">
        <v>109</v>
      </c>
      <c r="B199" s="15">
        <v>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2">
        <f t="shared" si="8"/>
        <v>0</v>
      </c>
      <c r="K199" s="12">
        <f t="shared" si="9"/>
        <v>0</v>
      </c>
      <c r="L199" s="12">
        <f t="shared" si="10"/>
        <v>0</v>
      </c>
      <c r="M199" s="12">
        <f t="shared" si="11"/>
        <v>0</v>
      </c>
    </row>
    <row r="200" spans="1:13" ht="15" customHeight="1" x14ac:dyDescent="0.2">
      <c r="A200" s="12" t="s">
        <v>110</v>
      </c>
      <c r="B200" s="15">
        <v>0</v>
      </c>
      <c r="C200" s="15">
        <v>0</v>
      </c>
      <c r="D200" s="15">
        <v>0</v>
      </c>
      <c r="E200" s="15">
        <v>0</v>
      </c>
      <c r="F200" s="15">
        <v>0</v>
      </c>
      <c r="G200" s="15">
        <v>0</v>
      </c>
      <c r="H200" s="15">
        <v>0</v>
      </c>
      <c r="I200" s="15">
        <v>0</v>
      </c>
      <c r="J200" s="12">
        <f t="shared" si="8"/>
        <v>0</v>
      </c>
      <c r="K200" s="12">
        <f t="shared" si="9"/>
        <v>0</v>
      </c>
      <c r="L200" s="12">
        <f t="shared" si="10"/>
        <v>0</v>
      </c>
      <c r="M200" s="12">
        <f t="shared" si="11"/>
        <v>0</v>
      </c>
    </row>
    <row r="201" spans="1:13" ht="15" customHeight="1" x14ac:dyDescent="0.2">
      <c r="B201" s="12">
        <f t="shared" ref="B201:M201" si="12">SUM(B9:B200)</f>
        <v>5</v>
      </c>
      <c r="C201" s="12">
        <f t="shared" si="12"/>
        <v>51</v>
      </c>
      <c r="D201" s="12">
        <f t="shared" si="12"/>
        <v>18</v>
      </c>
      <c r="E201" s="12">
        <f t="shared" si="12"/>
        <v>63</v>
      </c>
      <c r="F201" s="12">
        <f t="shared" si="12"/>
        <v>70</v>
      </c>
      <c r="G201" s="12">
        <f t="shared" si="12"/>
        <v>0</v>
      </c>
      <c r="H201" s="12">
        <f t="shared" si="12"/>
        <v>12</v>
      </c>
      <c r="I201" s="12">
        <f t="shared" si="12"/>
        <v>32</v>
      </c>
      <c r="J201" s="12">
        <f t="shared" si="12"/>
        <v>75</v>
      </c>
      <c r="K201" s="12">
        <f t="shared" si="12"/>
        <v>50</v>
      </c>
      <c r="L201" s="12">
        <f t="shared" si="12"/>
        <v>109</v>
      </c>
      <c r="M201" s="12">
        <f t="shared" si="12"/>
        <v>5</v>
      </c>
    </row>
    <row r="203" spans="1:13" ht="15" customHeight="1" x14ac:dyDescent="0.2">
      <c r="K203" s="88" t="s">
        <v>212</v>
      </c>
      <c r="L203" s="6">
        <f>SUM(L36:L88,L132:L184)</f>
        <v>87</v>
      </c>
    </row>
    <row r="204" spans="1:13" ht="15" customHeight="1" x14ac:dyDescent="0.2">
      <c r="K204" s="88" t="s">
        <v>213</v>
      </c>
      <c r="L204" s="6">
        <f>L201-L203</f>
        <v>22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"/>
  <sheetViews>
    <sheetView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N1" sqref="N1:N1048576"/>
    </sheetView>
  </sheetViews>
  <sheetFormatPr defaultColWidth="12.140625" defaultRowHeight="15" customHeight="1" x14ac:dyDescent="0.2"/>
  <cols>
    <col min="1" max="1" width="12.140625" bestFit="1" customWidth="1"/>
    <col min="2" max="5" width="10.42578125" customWidth="1"/>
    <col min="6" max="9" width="9.85546875" customWidth="1"/>
    <col min="10" max="10" width="9.28515625" customWidth="1"/>
    <col min="11" max="11" width="10.5703125" customWidth="1"/>
    <col min="12" max="12" width="10.7109375" customWidth="1"/>
    <col min="13" max="13" width="10.85546875" customWidth="1"/>
  </cols>
  <sheetData>
    <row r="1" spans="1:15" ht="15" customHeight="1" x14ac:dyDescent="0.3">
      <c r="A1" s="111" t="s">
        <v>0</v>
      </c>
      <c r="B1" s="111"/>
      <c r="C1" s="112" t="s">
        <v>122</v>
      </c>
      <c r="D1" s="112"/>
      <c r="E1" s="112"/>
      <c r="F1" s="112"/>
      <c r="G1" s="112"/>
      <c r="H1" s="112"/>
      <c r="I1" s="112"/>
    </row>
    <row r="2" spans="1:15" ht="15" customHeight="1" x14ac:dyDescent="0.3">
      <c r="A2" s="111" t="s">
        <v>2</v>
      </c>
      <c r="B2" s="111"/>
      <c r="C2" s="112" t="s">
        <v>123</v>
      </c>
      <c r="D2" s="112"/>
      <c r="E2" s="112"/>
      <c r="F2" s="112"/>
      <c r="G2" s="112"/>
      <c r="H2" s="112"/>
      <c r="I2" s="112"/>
    </row>
    <row r="3" spans="1:15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5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5" s="1" customFormat="1" ht="30" customHeight="1" x14ac:dyDescent="0.3">
      <c r="A7" s="2" t="s">
        <v>8</v>
      </c>
      <c r="B7" s="3" t="s">
        <v>124</v>
      </c>
      <c r="C7" s="3" t="s">
        <v>125</v>
      </c>
      <c r="D7" s="3" t="s">
        <v>126</v>
      </c>
      <c r="E7" s="3" t="s">
        <v>127</v>
      </c>
      <c r="F7" s="3" t="s">
        <v>124</v>
      </c>
      <c r="G7" s="3" t="s">
        <v>125</v>
      </c>
      <c r="H7" s="3" t="s">
        <v>126</v>
      </c>
      <c r="I7" s="3" t="s">
        <v>127</v>
      </c>
    </row>
    <row r="8" spans="1:15" s="1" customFormat="1" ht="15" customHeight="1" x14ac:dyDescent="0.3">
      <c r="A8" s="2" t="s">
        <v>13</v>
      </c>
      <c r="B8" s="4" t="s">
        <v>128</v>
      </c>
      <c r="C8" s="4" t="s">
        <v>128</v>
      </c>
      <c r="D8" s="4" t="s">
        <v>128</v>
      </c>
      <c r="E8" s="4" t="s">
        <v>128</v>
      </c>
      <c r="F8" s="4" t="s">
        <v>129</v>
      </c>
      <c r="G8" s="4" t="s">
        <v>129</v>
      </c>
      <c r="H8" s="4" t="s">
        <v>129</v>
      </c>
      <c r="I8" s="4" t="s">
        <v>129</v>
      </c>
    </row>
    <row r="9" spans="1:15" s="1" customFormat="1" ht="30" customHeight="1" x14ac:dyDescent="0.2">
      <c r="B9" s="16" t="s">
        <v>120</v>
      </c>
      <c r="C9" s="16" t="s">
        <v>111</v>
      </c>
      <c r="D9" s="16" t="s">
        <v>121</v>
      </c>
      <c r="E9" s="16" t="s">
        <v>113</v>
      </c>
      <c r="F9" s="16" t="s">
        <v>121</v>
      </c>
      <c r="G9" s="16" t="s">
        <v>113</v>
      </c>
      <c r="H9" s="16" t="s">
        <v>120</v>
      </c>
      <c r="I9" s="16" t="s">
        <v>111</v>
      </c>
      <c r="J9" s="17" t="s">
        <v>113</v>
      </c>
      <c r="K9" s="17" t="s">
        <v>111</v>
      </c>
      <c r="L9" s="91" t="s">
        <v>121</v>
      </c>
      <c r="M9" s="17" t="s">
        <v>120</v>
      </c>
      <c r="O9" s="30" t="s">
        <v>194</v>
      </c>
    </row>
    <row r="10" spans="1:15" ht="15" customHeight="1" x14ac:dyDescent="0.2">
      <c r="A10" t="s">
        <v>5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21">
        <f t="shared" ref="J10:J73" si="0">SUM(E10,G10)</f>
        <v>0</v>
      </c>
      <c r="K10" s="21">
        <f t="shared" ref="K10:K73" si="1">SUM(C10,I10)</f>
        <v>0</v>
      </c>
      <c r="L10" s="21">
        <f t="shared" ref="L10:L73" si="2">SUM(D10,F10)</f>
        <v>0</v>
      </c>
      <c r="M10" s="21">
        <f t="shared" ref="M10:M73" si="3">SUM(B10,H10)</f>
        <v>0</v>
      </c>
      <c r="N10">
        <v>15</v>
      </c>
    </row>
    <row r="11" spans="1:15" ht="15" customHeight="1" x14ac:dyDescent="0.2">
      <c r="A11" t="s">
        <v>16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21">
        <f t="shared" si="0"/>
        <v>0</v>
      </c>
      <c r="K11" s="21">
        <f t="shared" si="1"/>
        <v>0</v>
      </c>
      <c r="L11" s="21">
        <f t="shared" si="2"/>
        <v>0</v>
      </c>
      <c r="M11" s="21">
        <f t="shared" si="3"/>
        <v>0</v>
      </c>
      <c r="N11">
        <v>15</v>
      </c>
    </row>
    <row r="12" spans="1:15" ht="15" customHeight="1" x14ac:dyDescent="0.2">
      <c r="A12" t="s">
        <v>17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21">
        <f t="shared" si="0"/>
        <v>0</v>
      </c>
      <c r="K12" s="21">
        <f t="shared" si="1"/>
        <v>0</v>
      </c>
      <c r="L12" s="21">
        <f t="shared" si="2"/>
        <v>0</v>
      </c>
      <c r="M12" s="21">
        <f t="shared" si="3"/>
        <v>0</v>
      </c>
      <c r="N12">
        <v>15</v>
      </c>
    </row>
    <row r="13" spans="1:15" ht="15" customHeight="1" x14ac:dyDescent="0.2">
      <c r="A13" t="s">
        <v>18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21">
        <f t="shared" si="0"/>
        <v>0</v>
      </c>
      <c r="K13" s="21">
        <f t="shared" si="1"/>
        <v>0</v>
      </c>
      <c r="L13" s="21">
        <f t="shared" si="2"/>
        <v>0</v>
      </c>
      <c r="M13" s="21">
        <f t="shared" si="3"/>
        <v>0</v>
      </c>
      <c r="N13">
        <v>15</v>
      </c>
    </row>
    <row r="14" spans="1:15" ht="15" customHeight="1" x14ac:dyDescent="0.2">
      <c r="A14" t="s">
        <v>19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21">
        <f t="shared" si="0"/>
        <v>0</v>
      </c>
      <c r="K14" s="21">
        <f t="shared" si="1"/>
        <v>0</v>
      </c>
      <c r="L14" s="21">
        <f t="shared" si="2"/>
        <v>0</v>
      </c>
      <c r="M14" s="21">
        <f t="shared" si="3"/>
        <v>0</v>
      </c>
      <c r="N14">
        <v>15</v>
      </c>
      <c r="O14">
        <f>SUM(J10:M13)</f>
        <v>0</v>
      </c>
    </row>
    <row r="15" spans="1:15" ht="15" customHeight="1" x14ac:dyDescent="0.2">
      <c r="A15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21">
        <f t="shared" si="0"/>
        <v>0</v>
      </c>
      <c r="K15" s="21">
        <f t="shared" si="1"/>
        <v>0</v>
      </c>
      <c r="L15" s="21">
        <f t="shared" si="2"/>
        <v>0</v>
      </c>
      <c r="M15" s="21">
        <f t="shared" si="3"/>
        <v>0</v>
      </c>
      <c r="N15">
        <v>15</v>
      </c>
      <c r="O15">
        <f t="shared" ref="O15:O78" si="4">SUM(J11:M14)</f>
        <v>0</v>
      </c>
    </row>
    <row r="16" spans="1:15" ht="15" customHeight="1" x14ac:dyDescent="0.2">
      <c r="A16" t="s">
        <v>21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1">
        <f t="shared" si="0"/>
        <v>0</v>
      </c>
      <c r="K16" s="21">
        <f t="shared" si="1"/>
        <v>0</v>
      </c>
      <c r="L16" s="21">
        <f t="shared" si="2"/>
        <v>0</v>
      </c>
      <c r="M16" s="21">
        <f t="shared" si="3"/>
        <v>0</v>
      </c>
      <c r="N16">
        <v>15</v>
      </c>
      <c r="O16">
        <f t="shared" si="4"/>
        <v>0</v>
      </c>
    </row>
    <row r="17" spans="1:15" ht="15" customHeight="1" x14ac:dyDescent="0.2">
      <c r="A17" t="s">
        <v>22</v>
      </c>
      <c r="B17" s="18">
        <v>0</v>
      </c>
      <c r="C17" s="18">
        <v>0</v>
      </c>
      <c r="D17" s="18">
        <v>1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21">
        <f t="shared" si="0"/>
        <v>0</v>
      </c>
      <c r="K17" s="21">
        <f t="shared" si="1"/>
        <v>0</v>
      </c>
      <c r="L17" s="21">
        <f t="shared" si="2"/>
        <v>1</v>
      </c>
      <c r="M17" s="21">
        <f t="shared" si="3"/>
        <v>0</v>
      </c>
      <c r="N17">
        <v>15</v>
      </c>
      <c r="O17">
        <f t="shared" si="4"/>
        <v>0</v>
      </c>
    </row>
    <row r="18" spans="1:15" ht="15" customHeight="1" x14ac:dyDescent="0.2">
      <c r="A18" t="s">
        <v>23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21">
        <f t="shared" si="0"/>
        <v>0</v>
      </c>
      <c r="K18" s="21">
        <f t="shared" si="1"/>
        <v>0</v>
      </c>
      <c r="L18" s="21">
        <f t="shared" si="2"/>
        <v>0</v>
      </c>
      <c r="M18" s="21">
        <f t="shared" si="3"/>
        <v>0</v>
      </c>
      <c r="N18">
        <v>15</v>
      </c>
      <c r="O18">
        <f t="shared" si="4"/>
        <v>1</v>
      </c>
    </row>
    <row r="19" spans="1:15" ht="15" customHeight="1" x14ac:dyDescent="0.2">
      <c r="A19" t="s">
        <v>24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21">
        <f t="shared" si="0"/>
        <v>0</v>
      </c>
      <c r="K19" s="21">
        <f t="shared" si="1"/>
        <v>0</v>
      </c>
      <c r="L19" s="21">
        <f t="shared" si="2"/>
        <v>0</v>
      </c>
      <c r="M19" s="21">
        <f t="shared" si="3"/>
        <v>0</v>
      </c>
      <c r="N19">
        <v>15</v>
      </c>
      <c r="O19">
        <f t="shared" si="4"/>
        <v>1</v>
      </c>
    </row>
    <row r="20" spans="1:15" ht="15" customHeight="1" x14ac:dyDescent="0.2">
      <c r="A20" t="s">
        <v>25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21">
        <f t="shared" si="0"/>
        <v>0</v>
      </c>
      <c r="K20" s="21">
        <f t="shared" si="1"/>
        <v>0</v>
      </c>
      <c r="L20" s="21">
        <f t="shared" si="2"/>
        <v>0</v>
      </c>
      <c r="M20" s="21">
        <f t="shared" si="3"/>
        <v>0</v>
      </c>
      <c r="N20">
        <v>15</v>
      </c>
      <c r="O20">
        <f t="shared" si="4"/>
        <v>1</v>
      </c>
    </row>
    <row r="21" spans="1:15" ht="15" customHeight="1" x14ac:dyDescent="0.2">
      <c r="A21" t="s">
        <v>26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21">
        <f t="shared" si="0"/>
        <v>0</v>
      </c>
      <c r="K21" s="21">
        <f t="shared" si="1"/>
        <v>0</v>
      </c>
      <c r="L21" s="21">
        <f t="shared" si="2"/>
        <v>0</v>
      </c>
      <c r="M21" s="21">
        <f t="shared" si="3"/>
        <v>0</v>
      </c>
      <c r="N21">
        <v>15</v>
      </c>
      <c r="O21">
        <f t="shared" si="4"/>
        <v>1</v>
      </c>
    </row>
    <row r="22" spans="1:15" ht="15" customHeight="1" x14ac:dyDescent="0.2">
      <c r="A22" t="s">
        <v>27</v>
      </c>
      <c r="B22" s="18">
        <v>0</v>
      </c>
      <c r="C22" s="18">
        <v>0</v>
      </c>
      <c r="D22" s="18">
        <v>0</v>
      </c>
      <c r="E22" s="18">
        <v>0</v>
      </c>
      <c r="F22" s="18">
        <v>1</v>
      </c>
      <c r="G22" s="18">
        <v>0</v>
      </c>
      <c r="H22" s="18">
        <v>0</v>
      </c>
      <c r="I22" s="18">
        <v>0</v>
      </c>
      <c r="J22" s="21">
        <f t="shared" si="0"/>
        <v>0</v>
      </c>
      <c r="K22" s="21">
        <f t="shared" si="1"/>
        <v>0</v>
      </c>
      <c r="L22" s="21">
        <f t="shared" si="2"/>
        <v>1</v>
      </c>
      <c r="M22" s="21">
        <f t="shared" si="3"/>
        <v>0</v>
      </c>
      <c r="N22">
        <v>15</v>
      </c>
      <c r="O22">
        <f t="shared" si="4"/>
        <v>0</v>
      </c>
    </row>
    <row r="23" spans="1:15" ht="15" customHeight="1" x14ac:dyDescent="0.2">
      <c r="A23" t="s">
        <v>28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21">
        <f t="shared" si="0"/>
        <v>0</v>
      </c>
      <c r="K23" s="21">
        <f t="shared" si="1"/>
        <v>0</v>
      </c>
      <c r="L23" s="21">
        <f t="shared" si="2"/>
        <v>0</v>
      </c>
      <c r="M23" s="21">
        <f t="shared" si="3"/>
        <v>0</v>
      </c>
      <c r="N23">
        <v>15</v>
      </c>
      <c r="O23">
        <f t="shared" si="4"/>
        <v>1</v>
      </c>
    </row>
    <row r="24" spans="1:15" ht="15" customHeight="1" x14ac:dyDescent="0.2">
      <c r="A24" t="s">
        <v>29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21">
        <f t="shared" si="0"/>
        <v>0</v>
      </c>
      <c r="K24" s="21">
        <f t="shared" si="1"/>
        <v>0</v>
      </c>
      <c r="L24" s="21">
        <f t="shared" si="2"/>
        <v>0</v>
      </c>
      <c r="M24" s="21">
        <f t="shared" si="3"/>
        <v>0</v>
      </c>
      <c r="N24">
        <v>15</v>
      </c>
      <c r="O24">
        <f t="shared" si="4"/>
        <v>1</v>
      </c>
    </row>
    <row r="25" spans="1:15" ht="15" customHeight="1" x14ac:dyDescent="0.2">
      <c r="A25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1</v>
      </c>
      <c r="G25" s="18">
        <v>0</v>
      </c>
      <c r="H25" s="18">
        <v>0</v>
      </c>
      <c r="I25" s="18">
        <v>0</v>
      </c>
      <c r="J25" s="21">
        <f t="shared" si="0"/>
        <v>0</v>
      </c>
      <c r="K25" s="21">
        <f t="shared" si="1"/>
        <v>0</v>
      </c>
      <c r="L25" s="21">
        <f t="shared" si="2"/>
        <v>1</v>
      </c>
      <c r="M25" s="21">
        <f t="shared" si="3"/>
        <v>0</v>
      </c>
      <c r="N25">
        <v>15</v>
      </c>
      <c r="O25">
        <f t="shared" si="4"/>
        <v>1</v>
      </c>
    </row>
    <row r="26" spans="1:15" ht="15" customHeight="1" x14ac:dyDescent="0.2">
      <c r="A26" t="s">
        <v>31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21">
        <f t="shared" si="0"/>
        <v>0</v>
      </c>
      <c r="K26" s="21">
        <f t="shared" si="1"/>
        <v>0</v>
      </c>
      <c r="L26" s="21">
        <f t="shared" si="2"/>
        <v>0</v>
      </c>
      <c r="M26" s="21">
        <f t="shared" si="3"/>
        <v>0</v>
      </c>
      <c r="N26">
        <v>15</v>
      </c>
      <c r="O26">
        <f t="shared" si="4"/>
        <v>2</v>
      </c>
    </row>
    <row r="27" spans="1:15" ht="15" customHeight="1" x14ac:dyDescent="0.2">
      <c r="A2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21">
        <f t="shared" si="0"/>
        <v>0</v>
      </c>
      <c r="K27" s="21">
        <f t="shared" si="1"/>
        <v>0</v>
      </c>
      <c r="L27" s="21">
        <f t="shared" si="2"/>
        <v>0</v>
      </c>
      <c r="M27" s="21">
        <f t="shared" si="3"/>
        <v>0</v>
      </c>
      <c r="N27">
        <v>15</v>
      </c>
      <c r="O27">
        <f t="shared" si="4"/>
        <v>1</v>
      </c>
    </row>
    <row r="28" spans="1:15" ht="15" customHeight="1" x14ac:dyDescent="0.2">
      <c r="A28" t="s">
        <v>33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21">
        <f t="shared" si="0"/>
        <v>0</v>
      </c>
      <c r="K28" s="21">
        <f t="shared" si="1"/>
        <v>0</v>
      </c>
      <c r="L28" s="21">
        <f t="shared" si="2"/>
        <v>0</v>
      </c>
      <c r="M28" s="21">
        <f t="shared" si="3"/>
        <v>0</v>
      </c>
      <c r="N28">
        <v>15</v>
      </c>
      <c r="O28">
        <f t="shared" si="4"/>
        <v>1</v>
      </c>
    </row>
    <row r="29" spans="1:15" ht="15" customHeight="1" x14ac:dyDescent="0.2">
      <c r="A29" t="s">
        <v>34</v>
      </c>
      <c r="B29" s="18">
        <v>0</v>
      </c>
      <c r="C29" s="18">
        <v>0</v>
      </c>
      <c r="D29" s="18">
        <v>0</v>
      </c>
      <c r="E29" s="18">
        <v>0</v>
      </c>
      <c r="F29" s="18">
        <v>1</v>
      </c>
      <c r="G29" s="18">
        <v>0</v>
      </c>
      <c r="H29" s="18">
        <v>0</v>
      </c>
      <c r="I29" s="18">
        <v>0</v>
      </c>
      <c r="J29" s="21">
        <f t="shared" si="0"/>
        <v>0</v>
      </c>
      <c r="K29" s="21">
        <f t="shared" si="1"/>
        <v>0</v>
      </c>
      <c r="L29" s="21">
        <f t="shared" si="2"/>
        <v>1</v>
      </c>
      <c r="M29" s="21">
        <f t="shared" si="3"/>
        <v>0</v>
      </c>
      <c r="N29">
        <v>15</v>
      </c>
      <c r="O29">
        <f t="shared" si="4"/>
        <v>1</v>
      </c>
    </row>
    <row r="30" spans="1:15" ht="15" customHeight="1" x14ac:dyDescent="0.2">
      <c r="A30" t="s">
        <v>35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21">
        <f t="shared" si="0"/>
        <v>0</v>
      </c>
      <c r="K30" s="21">
        <f t="shared" si="1"/>
        <v>0</v>
      </c>
      <c r="L30" s="21">
        <f t="shared" si="2"/>
        <v>0</v>
      </c>
      <c r="M30" s="21">
        <f t="shared" si="3"/>
        <v>0</v>
      </c>
      <c r="N30">
        <v>15</v>
      </c>
      <c r="O30">
        <f t="shared" si="4"/>
        <v>1</v>
      </c>
    </row>
    <row r="31" spans="1:15" ht="15" customHeight="1" x14ac:dyDescent="0.2">
      <c r="A31" t="s">
        <v>36</v>
      </c>
      <c r="B31" s="18">
        <v>0</v>
      </c>
      <c r="C31" s="18">
        <v>0</v>
      </c>
      <c r="D31" s="18">
        <v>1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21">
        <f t="shared" si="0"/>
        <v>0</v>
      </c>
      <c r="K31" s="21">
        <f t="shared" si="1"/>
        <v>0</v>
      </c>
      <c r="L31" s="21">
        <f t="shared" si="2"/>
        <v>1</v>
      </c>
      <c r="M31" s="21">
        <f t="shared" si="3"/>
        <v>0</v>
      </c>
      <c r="N31">
        <v>15</v>
      </c>
      <c r="O31">
        <f t="shared" si="4"/>
        <v>1</v>
      </c>
    </row>
    <row r="32" spans="1:15" ht="15" customHeight="1" x14ac:dyDescent="0.2">
      <c r="A32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21">
        <f t="shared" si="0"/>
        <v>0</v>
      </c>
      <c r="K32" s="21">
        <f t="shared" si="1"/>
        <v>0</v>
      </c>
      <c r="L32" s="21">
        <f t="shared" si="2"/>
        <v>0</v>
      </c>
      <c r="M32" s="21">
        <f t="shared" si="3"/>
        <v>0</v>
      </c>
      <c r="N32">
        <v>15</v>
      </c>
      <c r="O32">
        <f t="shared" si="4"/>
        <v>2</v>
      </c>
    </row>
    <row r="33" spans="1:16" ht="15" customHeight="1" x14ac:dyDescent="0.2">
      <c r="A33" t="s">
        <v>38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1</v>
      </c>
      <c r="H33" s="18">
        <v>0</v>
      </c>
      <c r="I33" s="18">
        <v>0</v>
      </c>
      <c r="J33" s="21">
        <f t="shared" si="0"/>
        <v>1</v>
      </c>
      <c r="K33" s="21">
        <f t="shared" si="1"/>
        <v>0</v>
      </c>
      <c r="L33" s="21">
        <f t="shared" si="2"/>
        <v>0</v>
      </c>
      <c r="M33" s="21">
        <f t="shared" si="3"/>
        <v>0</v>
      </c>
      <c r="N33">
        <v>15</v>
      </c>
      <c r="O33">
        <f t="shared" si="4"/>
        <v>2</v>
      </c>
    </row>
    <row r="34" spans="1:16" ht="15" customHeight="1" x14ac:dyDescent="0.2">
      <c r="A34" t="s">
        <v>39</v>
      </c>
      <c r="B34" s="18">
        <v>0</v>
      </c>
      <c r="C34" s="18">
        <v>0</v>
      </c>
      <c r="D34" s="18">
        <v>0</v>
      </c>
      <c r="E34" s="18">
        <v>0</v>
      </c>
      <c r="F34" s="18">
        <v>1</v>
      </c>
      <c r="G34" s="18">
        <v>0</v>
      </c>
      <c r="H34" s="18">
        <v>0</v>
      </c>
      <c r="I34" s="18">
        <v>0</v>
      </c>
      <c r="J34" s="21">
        <f t="shared" si="0"/>
        <v>0</v>
      </c>
      <c r="K34" s="21">
        <f t="shared" si="1"/>
        <v>0</v>
      </c>
      <c r="L34" s="21">
        <f t="shared" si="2"/>
        <v>1</v>
      </c>
      <c r="M34" s="21">
        <f t="shared" si="3"/>
        <v>0</v>
      </c>
      <c r="N34">
        <v>15</v>
      </c>
      <c r="O34">
        <f t="shared" si="4"/>
        <v>2</v>
      </c>
    </row>
    <row r="35" spans="1:16" ht="15" customHeight="1" x14ac:dyDescent="0.2">
      <c r="A35" t="s">
        <v>40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21">
        <f t="shared" si="0"/>
        <v>0</v>
      </c>
      <c r="K35" s="21">
        <f t="shared" si="1"/>
        <v>0</v>
      </c>
      <c r="L35" s="21">
        <f t="shared" si="2"/>
        <v>0</v>
      </c>
      <c r="M35" s="21">
        <f t="shared" si="3"/>
        <v>0</v>
      </c>
      <c r="N35">
        <v>15</v>
      </c>
      <c r="O35">
        <f t="shared" si="4"/>
        <v>3</v>
      </c>
    </row>
    <row r="36" spans="1:16" s="33" customFormat="1" ht="15" customHeight="1" x14ac:dyDescent="0.2">
      <c r="A36" s="33" t="s">
        <v>41</v>
      </c>
      <c r="B36" s="61">
        <v>0</v>
      </c>
      <c r="C36" s="61">
        <v>0</v>
      </c>
      <c r="D36" s="61">
        <v>1</v>
      </c>
      <c r="E36" s="61">
        <v>0</v>
      </c>
      <c r="F36" s="61">
        <v>0</v>
      </c>
      <c r="G36" s="61">
        <v>0</v>
      </c>
      <c r="H36" s="61">
        <v>0</v>
      </c>
      <c r="I36" s="61">
        <v>0</v>
      </c>
      <c r="J36" s="90">
        <f t="shared" si="0"/>
        <v>0</v>
      </c>
      <c r="K36" s="90">
        <f t="shared" si="1"/>
        <v>0</v>
      </c>
      <c r="L36" s="90">
        <f t="shared" si="2"/>
        <v>1</v>
      </c>
      <c r="M36" s="90">
        <f t="shared" si="3"/>
        <v>0</v>
      </c>
      <c r="N36">
        <v>15</v>
      </c>
      <c r="O36" s="33">
        <f t="shared" si="4"/>
        <v>2</v>
      </c>
    </row>
    <row r="37" spans="1:16" s="33" customFormat="1" ht="15" customHeight="1" x14ac:dyDescent="0.2">
      <c r="A37" s="33" t="s">
        <v>42</v>
      </c>
      <c r="B37" s="61">
        <v>0</v>
      </c>
      <c r="C37" s="61">
        <v>0</v>
      </c>
      <c r="D37" s="61">
        <v>0</v>
      </c>
      <c r="E37" s="61">
        <v>0</v>
      </c>
      <c r="F37" s="61">
        <v>0</v>
      </c>
      <c r="G37" s="61">
        <v>0</v>
      </c>
      <c r="H37" s="61">
        <v>0</v>
      </c>
      <c r="I37" s="61">
        <v>0</v>
      </c>
      <c r="J37" s="90">
        <f t="shared" si="0"/>
        <v>0</v>
      </c>
      <c r="K37" s="90">
        <f t="shared" si="1"/>
        <v>0</v>
      </c>
      <c r="L37" s="90">
        <f t="shared" si="2"/>
        <v>0</v>
      </c>
      <c r="M37" s="90">
        <f t="shared" si="3"/>
        <v>0</v>
      </c>
      <c r="N37">
        <v>15</v>
      </c>
      <c r="O37" s="33">
        <f t="shared" si="4"/>
        <v>3</v>
      </c>
    </row>
    <row r="38" spans="1:16" s="33" customFormat="1" ht="15" customHeight="1" x14ac:dyDescent="0.2">
      <c r="A38" s="33" t="s">
        <v>43</v>
      </c>
      <c r="B38" s="61">
        <v>0</v>
      </c>
      <c r="C38" s="61">
        <v>0</v>
      </c>
      <c r="D38" s="61">
        <v>1</v>
      </c>
      <c r="E38" s="61">
        <v>0</v>
      </c>
      <c r="F38" s="61">
        <v>0</v>
      </c>
      <c r="G38" s="61">
        <v>0</v>
      </c>
      <c r="H38" s="61">
        <v>0</v>
      </c>
      <c r="I38" s="61">
        <v>0</v>
      </c>
      <c r="J38" s="90">
        <f t="shared" si="0"/>
        <v>0</v>
      </c>
      <c r="K38" s="90">
        <f t="shared" si="1"/>
        <v>0</v>
      </c>
      <c r="L38" s="90">
        <f t="shared" si="2"/>
        <v>1</v>
      </c>
      <c r="M38" s="90">
        <f t="shared" si="3"/>
        <v>0</v>
      </c>
      <c r="N38">
        <v>15</v>
      </c>
      <c r="O38" s="33">
        <f t="shared" si="4"/>
        <v>2</v>
      </c>
    </row>
    <row r="39" spans="1:16" s="33" customFormat="1" ht="15" customHeight="1" x14ac:dyDescent="0.2">
      <c r="A39" s="33" t="s">
        <v>44</v>
      </c>
      <c r="B39" s="61">
        <v>0</v>
      </c>
      <c r="C39" s="61">
        <v>0</v>
      </c>
      <c r="D39" s="61">
        <v>2</v>
      </c>
      <c r="E39" s="61">
        <v>0</v>
      </c>
      <c r="F39" s="61">
        <v>0</v>
      </c>
      <c r="G39" s="61">
        <v>0</v>
      </c>
      <c r="H39" s="61">
        <v>0</v>
      </c>
      <c r="I39" s="61">
        <v>0</v>
      </c>
      <c r="J39" s="90">
        <f t="shared" si="0"/>
        <v>0</v>
      </c>
      <c r="K39" s="90">
        <f t="shared" si="1"/>
        <v>0</v>
      </c>
      <c r="L39" s="90">
        <f t="shared" si="2"/>
        <v>2</v>
      </c>
      <c r="M39" s="90">
        <f t="shared" si="3"/>
        <v>0</v>
      </c>
      <c r="N39">
        <v>15</v>
      </c>
      <c r="O39" s="33">
        <f t="shared" si="4"/>
        <v>2</v>
      </c>
    </row>
    <row r="40" spans="1:16" s="33" customFormat="1" ht="15" customHeight="1" x14ac:dyDescent="0.2">
      <c r="A40" s="33" t="s">
        <v>45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90">
        <f t="shared" si="0"/>
        <v>0</v>
      </c>
      <c r="K40" s="90">
        <f t="shared" si="1"/>
        <v>0</v>
      </c>
      <c r="L40" s="90">
        <f t="shared" si="2"/>
        <v>0</v>
      </c>
      <c r="M40" s="90">
        <f t="shared" si="3"/>
        <v>0</v>
      </c>
      <c r="N40">
        <v>15</v>
      </c>
      <c r="O40" s="33">
        <f t="shared" si="4"/>
        <v>4</v>
      </c>
    </row>
    <row r="41" spans="1:16" s="33" customFormat="1" ht="15" customHeight="1" x14ac:dyDescent="0.2">
      <c r="A41" s="33" t="s">
        <v>46</v>
      </c>
      <c r="B41" s="61">
        <v>0</v>
      </c>
      <c r="C41" s="61">
        <v>0</v>
      </c>
      <c r="D41" s="61">
        <v>2</v>
      </c>
      <c r="E41" s="61">
        <v>0</v>
      </c>
      <c r="F41" s="61">
        <v>1</v>
      </c>
      <c r="G41" s="61">
        <v>0</v>
      </c>
      <c r="H41" s="61">
        <v>0</v>
      </c>
      <c r="I41" s="61">
        <v>0</v>
      </c>
      <c r="J41" s="90">
        <f t="shared" si="0"/>
        <v>0</v>
      </c>
      <c r="K41" s="90">
        <f t="shared" si="1"/>
        <v>0</v>
      </c>
      <c r="L41" s="90">
        <f t="shared" si="2"/>
        <v>3</v>
      </c>
      <c r="M41" s="90">
        <f t="shared" si="3"/>
        <v>0</v>
      </c>
      <c r="N41">
        <v>15</v>
      </c>
      <c r="O41" s="33">
        <f t="shared" si="4"/>
        <v>3</v>
      </c>
    </row>
    <row r="42" spans="1:16" s="33" customFormat="1" ht="15" customHeight="1" x14ac:dyDescent="0.2">
      <c r="A42" s="33" t="s">
        <v>47</v>
      </c>
      <c r="B42" s="61">
        <v>0</v>
      </c>
      <c r="C42" s="61">
        <v>0</v>
      </c>
      <c r="D42" s="61">
        <v>0</v>
      </c>
      <c r="E42" s="61">
        <v>0</v>
      </c>
      <c r="F42" s="61">
        <v>0</v>
      </c>
      <c r="G42" s="61">
        <v>0</v>
      </c>
      <c r="H42" s="61">
        <v>0</v>
      </c>
      <c r="I42" s="61">
        <v>0</v>
      </c>
      <c r="J42" s="90">
        <f t="shared" si="0"/>
        <v>0</v>
      </c>
      <c r="K42" s="90">
        <f t="shared" si="1"/>
        <v>0</v>
      </c>
      <c r="L42" s="90">
        <f t="shared" si="2"/>
        <v>0</v>
      </c>
      <c r="M42" s="90">
        <f t="shared" si="3"/>
        <v>0</v>
      </c>
      <c r="N42">
        <v>15</v>
      </c>
      <c r="O42" s="33">
        <f t="shared" si="4"/>
        <v>6</v>
      </c>
    </row>
    <row r="43" spans="1:16" s="33" customFormat="1" ht="15" customHeight="1" x14ac:dyDescent="0.2">
      <c r="A43" s="33" t="s">
        <v>48</v>
      </c>
      <c r="B43" s="61">
        <v>0</v>
      </c>
      <c r="C43" s="61">
        <v>0</v>
      </c>
      <c r="D43" s="61">
        <v>1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90">
        <f t="shared" si="0"/>
        <v>0</v>
      </c>
      <c r="K43" s="90">
        <f t="shared" si="1"/>
        <v>0</v>
      </c>
      <c r="L43" s="90">
        <f t="shared" si="2"/>
        <v>1</v>
      </c>
      <c r="M43" s="90">
        <f t="shared" si="3"/>
        <v>0</v>
      </c>
      <c r="N43">
        <v>15</v>
      </c>
      <c r="O43" s="33">
        <f t="shared" si="4"/>
        <v>5</v>
      </c>
    </row>
    <row r="44" spans="1:16" s="33" customFormat="1" ht="15" customHeight="1" x14ac:dyDescent="0.2">
      <c r="A44" s="33" t="s">
        <v>49</v>
      </c>
      <c r="B44" s="61">
        <v>0</v>
      </c>
      <c r="C44" s="61">
        <v>0</v>
      </c>
      <c r="D44" s="61">
        <v>1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90">
        <f t="shared" si="0"/>
        <v>0</v>
      </c>
      <c r="K44" s="90">
        <f t="shared" si="1"/>
        <v>0</v>
      </c>
      <c r="L44" s="90">
        <f t="shared" si="2"/>
        <v>1</v>
      </c>
      <c r="M44" s="90">
        <f t="shared" si="3"/>
        <v>0</v>
      </c>
      <c r="N44">
        <v>15</v>
      </c>
      <c r="O44" s="33">
        <f t="shared" si="4"/>
        <v>4</v>
      </c>
    </row>
    <row r="45" spans="1:16" s="33" customFormat="1" ht="15" customHeight="1" x14ac:dyDescent="0.2">
      <c r="A45" s="33" t="s">
        <v>50</v>
      </c>
      <c r="B45" s="61">
        <v>0</v>
      </c>
      <c r="C45" s="61">
        <v>0</v>
      </c>
      <c r="D45" s="61">
        <v>2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90">
        <f t="shared" si="0"/>
        <v>0</v>
      </c>
      <c r="K45" s="90">
        <f t="shared" si="1"/>
        <v>0</v>
      </c>
      <c r="L45" s="90">
        <f t="shared" si="2"/>
        <v>2</v>
      </c>
      <c r="M45" s="90">
        <f t="shared" si="3"/>
        <v>0</v>
      </c>
      <c r="N45">
        <v>15</v>
      </c>
      <c r="O45" s="33">
        <f t="shared" si="4"/>
        <v>5</v>
      </c>
      <c r="P45" s="33">
        <f>SUM(J38:M45)/2</f>
        <v>5</v>
      </c>
    </row>
    <row r="46" spans="1:16" s="33" customFormat="1" ht="15" customHeight="1" x14ac:dyDescent="0.2">
      <c r="A46" s="33" t="s">
        <v>51</v>
      </c>
      <c r="B46" s="61">
        <v>0</v>
      </c>
      <c r="C46" s="61">
        <v>0</v>
      </c>
      <c r="D46" s="61">
        <v>1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90">
        <f t="shared" si="0"/>
        <v>0</v>
      </c>
      <c r="K46" s="90">
        <f t="shared" si="1"/>
        <v>0</v>
      </c>
      <c r="L46" s="90">
        <f t="shared" si="2"/>
        <v>1</v>
      </c>
      <c r="M46" s="90">
        <f t="shared" si="3"/>
        <v>0</v>
      </c>
      <c r="N46">
        <v>15</v>
      </c>
      <c r="O46" s="33">
        <f t="shared" si="4"/>
        <v>4</v>
      </c>
    </row>
    <row r="47" spans="1:16" s="33" customFormat="1" ht="15" customHeight="1" x14ac:dyDescent="0.2">
      <c r="A47" s="33" t="s">
        <v>52</v>
      </c>
      <c r="B47" s="61">
        <v>0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90">
        <f t="shared" si="0"/>
        <v>0</v>
      </c>
      <c r="K47" s="90">
        <f t="shared" si="1"/>
        <v>0</v>
      </c>
      <c r="L47" s="90">
        <f t="shared" si="2"/>
        <v>0</v>
      </c>
      <c r="M47" s="90">
        <f t="shared" si="3"/>
        <v>0</v>
      </c>
      <c r="N47">
        <v>15</v>
      </c>
      <c r="O47" s="33">
        <f t="shared" si="4"/>
        <v>5</v>
      </c>
    </row>
    <row r="48" spans="1:16" s="33" customFormat="1" ht="15" customHeight="1" x14ac:dyDescent="0.2">
      <c r="A48" s="33" t="s">
        <v>53</v>
      </c>
      <c r="B48" s="61">
        <v>0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90">
        <f t="shared" si="0"/>
        <v>0</v>
      </c>
      <c r="K48" s="90">
        <f t="shared" si="1"/>
        <v>0</v>
      </c>
      <c r="L48" s="90">
        <f t="shared" si="2"/>
        <v>0</v>
      </c>
      <c r="M48" s="90">
        <f t="shared" si="3"/>
        <v>0</v>
      </c>
      <c r="N48">
        <v>15</v>
      </c>
      <c r="O48" s="33">
        <f t="shared" si="4"/>
        <v>4</v>
      </c>
    </row>
    <row r="49" spans="1:15" s="33" customFormat="1" ht="15" customHeight="1" x14ac:dyDescent="0.2">
      <c r="A49" s="33" t="s">
        <v>54</v>
      </c>
      <c r="B49" s="61">
        <v>0</v>
      </c>
      <c r="C49" s="61">
        <v>0</v>
      </c>
      <c r="D49" s="61">
        <v>1</v>
      </c>
      <c r="E49" s="61">
        <v>0</v>
      </c>
      <c r="F49" s="61">
        <v>1</v>
      </c>
      <c r="G49" s="61">
        <v>0</v>
      </c>
      <c r="H49" s="61">
        <v>0</v>
      </c>
      <c r="I49" s="61">
        <v>0</v>
      </c>
      <c r="J49" s="90">
        <f t="shared" si="0"/>
        <v>0</v>
      </c>
      <c r="K49" s="90">
        <f t="shared" si="1"/>
        <v>0</v>
      </c>
      <c r="L49" s="90">
        <f t="shared" si="2"/>
        <v>2</v>
      </c>
      <c r="M49" s="90">
        <f t="shared" si="3"/>
        <v>0</v>
      </c>
      <c r="N49">
        <v>15</v>
      </c>
      <c r="O49" s="33">
        <f t="shared" si="4"/>
        <v>3</v>
      </c>
    </row>
    <row r="50" spans="1:15" s="33" customFormat="1" ht="15" customHeight="1" x14ac:dyDescent="0.2">
      <c r="A50" s="33" t="s">
        <v>55</v>
      </c>
      <c r="B50" s="61">
        <v>0</v>
      </c>
      <c r="C50" s="61">
        <v>0</v>
      </c>
      <c r="D50" s="61">
        <v>0</v>
      </c>
      <c r="E50" s="61">
        <v>0</v>
      </c>
      <c r="F50" s="61">
        <v>1</v>
      </c>
      <c r="G50" s="61">
        <v>0</v>
      </c>
      <c r="H50" s="61">
        <v>0</v>
      </c>
      <c r="I50" s="61">
        <v>0</v>
      </c>
      <c r="J50" s="90">
        <f t="shared" si="0"/>
        <v>0</v>
      </c>
      <c r="K50" s="90">
        <f t="shared" si="1"/>
        <v>0</v>
      </c>
      <c r="L50" s="90">
        <f t="shared" si="2"/>
        <v>1</v>
      </c>
      <c r="M50" s="90">
        <f t="shared" si="3"/>
        <v>0</v>
      </c>
      <c r="N50">
        <v>15</v>
      </c>
      <c r="O50" s="33">
        <f t="shared" si="4"/>
        <v>3</v>
      </c>
    </row>
    <row r="51" spans="1:15" s="33" customFormat="1" ht="15" customHeight="1" x14ac:dyDescent="0.2">
      <c r="A51" s="33" t="s">
        <v>56</v>
      </c>
      <c r="B51" s="61">
        <v>0</v>
      </c>
      <c r="C51" s="61">
        <v>0</v>
      </c>
      <c r="D51" s="61">
        <v>0</v>
      </c>
      <c r="E51" s="61">
        <v>0</v>
      </c>
      <c r="F51" s="61">
        <v>0</v>
      </c>
      <c r="G51" s="61">
        <v>0</v>
      </c>
      <c r="H51" s="61">
        <v>0</v>
      </c>
      <c r="I51" s="61">
        <v>0</v>
      </c>
      <c r="J51" s="90">
        <f t="shared" si="0"/>
        <v>0</v>
      </c>
      <c r="K51" s="90">
        <f t="shared" si="1"/>
        <v>0</v>
      </c>
      <c r="L51" s="90">
        <f t="shared" si="2"/>
        <v>0</v>
      </c>
      <c r="M51" s="90">
        <f t="shared" si="3"/>
        <v>0</v>
      </c>
      <c r="N51">
        <v>15</v>
      </c>
      <c r="O51" s="33">
        <f t="shared" si="4"/>
        <v>3</v>
      </c>
    </row>
    <row r="52" spans="1:15" s="33" customFormat="1" ht="15" customHeight="1" x14ac:dyDescent="0.2">
      <c r="A52" s="33" t="s">
        <v>57</v>
      </c>
      <c r="B52" s="61">
        <v>0</v>
      </c>
      <c r="C52" s="61">
        <v>0</v>
      </c>
      <c r="D52" s="61">
        <v>0</v>
      </c>
      <c r="E52" s="61">
        <v>0</v>
      </c>
      <c r="F52" s="61">
        <v>0</v>
      </c>
      <c r="G52" s="61">
        <v>0</v>
      </c>
      <c r="H52" s="61">
        <v>0</v>
      </c>
      <c r="I52" s="61">
        <v>0</v>
      </c>
      <c r="J52" s="90">
        <f t="shared" si="0"/>
        <v>0</v>
      </c>
      <c r="K52" s="90">
        <f t="shared" si="1"/>
        <v>0</v>
      </c>
      <c r="L52" s="90">
        <f t="shared" si="2"/>
        <v>0</v>
      </c>
      <c r="M52" s="90">
        <f t="shared" si="3"/>
        <v>0</v>
      </c>
      <c r="N52">
        <v>15</v>
      </c>
      <c r="O52" s="33">
        <f t="shared" si="4"/>
        <v>3</v>
      </c>
    </row>
    <row r="53" spans="1:15" s="33" customFormat="1" ht="15" customHeight="1" x14ac:dyDescent="0.2">
      <c r="A53" s="33" t="s">
        <v>58</v>
      </c>
      <c r="B53" s="61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90">
        <f t="shared" si="0"/>
        <v>0</v>
      </c>
      <c r="K53" s="90">
        <f t="shared" si="1"/>
        <v>0</v>
      </c>
      <c r="L53" s="90">
        <f t="shared" si="2"/>
        <v>0</v>
      </c>
      <c r="M53" s="90">
        <f t="shared" si="3"/>
        <v>0</v>
      </c>
      <c r="N53">
        <v>15</v>
      </c>
      <c r="O53" s="33">
        <f t="shared" si="4"/>
        <v>3</v>
      </c>
    </row>
    <row r="54" spans="1:15" s="33" customFormat="1" ht="15" customHeight="1" x14ac:dyDescent="0.2">
      <c r="A54" s="33" t="s">
        <v>59</v>
      </c>
      <c r="B54" s="61">
        <v>0</v>
      </c>
      <c r="C54" s="61">
        <v>0</v>
      </c>
      <c r="D54" s="61">
        <v>1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90">
        <f t="shared" si="0"/>
        <v>0</v>
      </c>
      <c r="K54" s="90">
        <f t="shared" si="1"/>
        <v>0</v>
      </c>
      <c r="L54" s="90">
        <f t="shared" si="2"/>
        <v>1</v>
      </c>
      <c r="M54" s="90">
        <f t="shared" si="3"/>
        <v>0</v>
      </c>
      <c r="N54">
        <v>15</v>
      </c>
      <c r="O54" s="33">
        <f t="shared" si="4"/>
        <v>1</v>
      </c>
    </row>
    <row r="55" spans="1:15" s="33" customFormat="1" ht="15" customHeight="1" x14ac:dyDescent="0.2">
      <c r="A55" s="33" t="s">
        <v>60</v>
      </c>
      <c r="B55" s="61">
        <v>0</v>
      </c>
      <c r="C55" s="61">
        <v>0</v>
      </c>
      <c r="D55" s="61">
        <v>0</v>
      </c>
      <c r="E55" s="61">
        <v>0</v>
      </c>
      <c r="F55" s="61">
        <v>1</v>
      </c>
      <c r="G55" s="61">
        <v>0</v>
      </c>
      <c r="H55" s="61">
        <v>0</v>
      </c>
      <c r="I55" s="61">
        <v>0</v>
      </c>
      <c r="J55" s="90">
        <f t="shared" si="0"/>
        <v>0</v>
      </c>
      <c r="K55" s="90">
        <f t="shared" si="1"/>
        <v>0</v>
      </c>
      <c r="L55" s="90">
        <f t="shared" si="2"/>
        <v>1</v>
      </c>
      <c r="M55" s="90">
        <f t="shared" si="3"/>
        <v>0</v>
      </c>
      <c r="N55">
        <v>15</v>
      </c>
      <c r="O55" s="33">
        <f t="shared" si="4"/>
        <v>1</v>
      </c>
    </row>
    <row r="56" spans="1:15" s="33" customFormat="1" ht="15" customHeight="1" x14ac:dyDescent="0.2">
      <c r="A56" s="33" t="s">
        <v>61</v>
      </c>
      <c r="B56" s="61">
        <v>0</v>
      </c>
      <c r="C56" s="61">
        <v>0</v>
      </c>
      <c r="D56" s="61">
        <v>0</v>
      </c>
      <c r="E56" s="61">
        <v>0</v>
      </c>
      <c r="F56" s="61">
        <v>0</v>
      </c>
      <c r="G56" s="61">
        <v>0</v>
      </c>
      <c r="H56" s="61">
        <v>1</v>
      </c>
      <c r="I56" s="61">
        <v>0</v>
      </c>
      <c r="J56" s="90">
        <f t="shared" si="0"/>
        <v>0</v>
      </c>
      <c r="K56" s="90">
        <f t="shared" si="1"/>
        <v>0</v>
      </c>
      <c r="L56" s="90">
        <f t="shared" si="2"/>
        <v>0</v>
      </c>
      <c r="M56" s="90">
        <f t="shared" si="3"/>
        <v>1</v>
      </c>
      <c r="N56">
        <v>15</v>
      </c>
      <c r="O56" s="33">
        <f t="shared" si="4"/>
        <v>2</v>
      </c>
    </row>
    <row r="57" spans="1:15" s="33" customFormat="1" ht="15" customHeight="1" x14ac:dyDescent="0.2">
      <c r="A57" s="33" t="s">
        <v>62</v>
      </c>
      <c r="B57" s="61">
        <v>0</v>
      </c>
      <c r="C57" s="61">
        <v>0</v>
      </c>
      <c r="D57" s="61">
        <v>0</v>
      </c>
      <c r="E57" s="61">
        <v>0</v>
      </c>
      <c r="F57" s="61">
        <v>0</v>
      </c>
      <c r="G57" s="61">
        <v>0</v>
      </c>
      <c r="H57" s="61">
        <v>0</v>
      </c>
      <c r="I57" s="61">
        <v>0</v>
      </c>
      <c r="J57" s="90">
        <f t="shared" si="0"/>
        <v>0</v>
      </c>
      <c r="K57" s="90">
        <f t="shared" si="1"/>
        <v>0</v>
      </c>
      <c r="L57" s="90">
        <f t="shared" si="2"/>
        <v>0</v>
      </c>
      <c r="M57" s="90">
        <f t="shared" si="3"/>
        <v>0</v>
      </c>
      <c r="N57">
        <v>15</v>
      </c>
      <c r="O57" s="33">
        <f t="shared" si="4"/>
        <v>3</v>
      </c>
    </row>
    <row r="58" spans="1:15" s="33" customFormat="1" ht="15" customHeight="1" x14ac:dyDescent="0.2">
      <c r="A58" s="33" t="s">
        <v>63</v>
      </c>
      <c r="B58" s="61">
        <v>0</v>
      </c>
      <c r="C58" s="61">
        <v>0</v>
      </c>
      <c r="D58" s="61">
        <v>0</v>
      </c>
      <c r="E58" s="61">
        <v>1</v>
      </c>
      <c r="F58" s="61">
        <v>0</v>
      </c>
      <c r="G58" s="61">
        <v>0</v>
      </c>
      <c r="H58" s="61">
        <v>0</v>
      </c>
      <c r="I58" s="61">
        <v>0</v>
      </c>
      <c r="J58" s="90">
        <f t="shared" si="0"/>
        <v>1</v>
      </c>
      <c r="K58" s="90">
        <f t="shared" si="1"/>
        <v>0</v>
      </c>
      <c r="L58" s="90">
        <f t="shared" si="2"/>
        <v>0</v>
      </c>
      <c r="M58" s="90">
        <f t="shared" si="3"/>
        <v>0</v>
      </c>
      <c r="N58">
        <v>15</v>
      </c>
      <c r="O58" s="33">
        <f t="shared" si="4"/>
        <v>3</v>
      </c>
    </row>
    <row r="59" spans="1:15" s="33" customFormat="1" ht="15" customHeight="1" x14ac:dyDescent="0.2">
      <c r="A59" s="33" t="s">
        <v>64</v>
      </c>
      <c r="B59" s="61">
        <v>0</v>
      </c>
      <c r="C59" s="61">
        <v>0</v>
      </c>
      <c r="D59" s="61">
        <v>0</v>
      </c>
      <c r="E59" s="61">
        <v>0</v>
      </c>
      <c r="F59" s="61">
        <v>0</v>
      </c>
      <c r="G59" s="61">
        <v>0</v>
      </c>
      <c r="H59" s="61">
        <v>0</v>
      </c>
      <c r="I59" s="61">
        <v>0</v>
      </c>
      <c r="J59" s="90">
        <f t="shared" si="0"/>
        <v>0</v>
      </c>
      <c r="K59" s="90">
        <f t="shared" si="1"/>
        <v>0</v>
      </c>
      <c r="L59" s="90">
        <f t="shared" si="2"/>
        <v>0</v>
      </c>
      <c r="M59" s="90">
        <f t="shared" si="3"/>
        <v>0</v>
      </c>
      <c r="N59">
        <v>15</v>
      </c>
      <c r="O59" s="33">
        <f t="shared" si="4"/>
        <v>3</v>
      </c>
    </row>
    <row r="60" spans="1:15" s="33" customFormat="1" ht="15" customHeight="1" x14ac:dyDescent="0.2">
      <c r="A60" s="33" t="s">
        <v>65</v>
      </c>
      <c r="B60" s="61">
        <v>0</v>
      </c>
      <c r="C60" s="61">
        <v>0</v>
      </c>
      <c r="D60" s="61">
        <v>0</v>
      </c>
      <c r="E60" s="61">
        <v>0</v>
      </c>
      <c r="F60" s="61">
        <v>1</v>
      </c>
      <c r="G60" s="61">
        <v>0</v>
      </c>
      <c r="H60" s="61">
        <v>0</v>
      </c>
      <c r="I60" s="61">
        <v>0</v>
      </c>
      <c r="J60" s="90">
        <f t="shared" si="0"/>
        <v>0</v>
      </c>
      <c r="K60" s="90">
        <f t="shared" si="1"/>
        <v>0</v>
      </c>
      <c r="L60" s="90">
        <f t="shared" si="2"/>
        <v>1</v>
      </c>
      <c r="M60" s="90">
        <f t="shared" si="3"/>
        <v>0</v>
      </c>
      <c r="N60">
        <v>15</v>
      </c>
      <c r="O60" s="33">
        <f t="shared" si="4"/>
        <v>2</v>
      </c>
    </row>
    <row r="61" spans="1:15" s="33" customFormat="1" ht="15" customHeight="1" x14ac:dyDescent="0.2">
      <c r="A61" s="33" t="s">
        <v>66</v>
      </c>
      <c r="B61" s="61">
        <v>0</v>
      </c>
      <c r="C61" s="61">
        <v>0</v>
      </c>
      <c r="D61" s="61">
        <v>0</v>
      </c>
      <c r="E61" s="61">
        <v>0</v>
      </c>
      <c r="F61" s="61">
        <v>1</v>
      </c>
      <c r="G61" s="61">
        <v>0</v>
      </c>
      <c r="H61" s="61">
        <v>0</v>
      </c>
      <c r="I61" s="61">
        <v>0</v>
      </c>
      <c r="J61" s="90">
        <f t="shared" si="0"/>
        <v>0</v>
      </c>
      <c r="K61" s="90">
        <f t="shared" si="1"/>
        <v>0</v>
      </c>
      <c r="L61" s="90">
        <f t="shared" si="2"/>
        <v>1</v>
      </c>
      <c r="M61" s="90">
        <f t="shared" si="3"/>
        <v>0</v>
      </c>
      <c r="N61">
        <v>15</v>
      </c>
      <c r="O61" s="33">
        <f t="shared" si="4"/>
        <v>2</v>
      </c>
    </row>
    <row r="62" spans="1:15" s="33" customFormat="1" ht="15" customHeight="1" x14ac:dyDescent="0.2">
      <c r="A62" s="33" t="s">
        <v>67</v>
      </c>
      <c r="B62" s="61">
        <v>0</v>
      </c>
      <c r="C62" s="61">
        <v>0</v>
      </c>
      <c r="D62" s="61">
        <v>0</v>
      </c>
      <c r="E62" s="61">
        <v>0</v>
      </c>
      <c r="F62" s="61">
        <v>0</v>
      </c>
      <c r="G62" s="61">
        <v>0</v>
      </c>
      <c r="H62" s="61">
        <v>0</v>
      </c>
      <c r="I62" s="61">
        <v>0</v>
      </c>
      <c r="J62" s="90">
        <f t="shared" si="0"/>
        <v>0</v>
      </c>
      <c r="K62" s="90">
        <f t="shared" si="1"/>
        <v>0</v>
      </c>
      <c r="L62" s="90">
        <f t="shared" si="2"/>
        <v>0</v>
      </c>
      <c r="M62" s="90">
        <f t="shared" si="3"/>
        <v>0</v>
      </c>
      <c r="N62">
        <v>15</v>
      </c>
      <c r="O62" s="33">
        <f t="shared" si="4"/>
        <v>3</v>
      </c>
    </row>
    <row r="63" spans="1:15" s="33" customFormat="1" ht="15" customHeight="1" x14ac:dyDescent="0.2">
      <c r="A63" s="33" t="s">
        <v>68</v>
      </c>
      <c r="B63" s="61">
        <v>0</v>
      </c>
      <c r="C63" s="61">
        <v>0</v>
      </c>
      <c r="D63" s="61">
        <v>0</v>
      </c>
      <c r="E63" s="61">
        <v>0</v>
      </c>
      <c r="F63" s="61">
        <v>1</v>
      </c>
      <c r="G63" s="61">
        <v>0</v>
      </c>
      <c r="H63" s="61">
        <v>0</v>
      </c>
      <c r="I63" s="61">
        <v>0</v>
      </c>
      <c r="J63" s="90">
        <f t="shared" si="0"/>
        <v>0</v>
      </c>
      <c r="K63" s="90">
        <f t="shared" si="1"/>
        <v>0</v>
      </c>
      <c r="L63" s="90">
        <f t="shared" si="2"/>
        <v>1</v>
      </c>
      <c r="M63" s="90">
        <f t="shared" si="3"/>
        <v>0</v>
      </c>
      <c r="N63">
        <v>15</v>
      </c>
      <c r="O63" s="33">
        <f t="shared" si="4"/>
        <v>2</v>
      </c>
    </row>
    <row r="64" spans="1:15" s="33" customFormat="1" ht="15" customHeight="1" x14ac:dyDescent="0.2">
      <c r="A64" s="33" t="s">
        <v>69</v>
      </c>
      <c r="B64" s="61">
        <v>0</v>
      </c>
      <c r="C64" s="61">
        <v>0</v>
      </c>
      <c r="D64" s="61">
        <v>1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90">
        <f t="shared" si="0"/>
        <v>0</v>
      </c>
      <c r="K64" s="90">
        <f t="shared" si="1"/>
        <v>0</v>
      </c>
      <c r="L64" s="90">
        <f t="shared" si="2"/>
        <v>1</v>
      </c>
      <c r="M64" s="90">
        <f t="shared" si="3"/>
        <v>0</v>
      </c>
      <c r="N64">
        <v>15</v>
      </c>
      <c r="O64" s="33">
        <f t="shared" si="4"/>
        <v>3</v>
      </c>
    </row>
    <row r="65" spans="1:15" s="33" customFormat="1" ht="15" customHeight="1" x14ac:dyDescent="0.2">
      <c r="A65" s="33" t="s">
        <v>70</v>
      </c>
      <c r="B65" s="61">
        <v>0</v>
      </c>
      <c r="C65" s="61">
        <v>0</v>
      </c>
      <c r="D65" s="61">
        <v>0</v>
      </c>
      <c r="E65" s="61">
        <v>0</v>
      </c>
      <c r="F65" s="61">
        <v>0</v>
      </c>
      <c r="G65" s="61">
        <v>0</v>
      </c>
      <c r="H65" s="61">
        <v>0</v>
      </c>
      <c r="I65" s="61">
        <v>0</v>
      </c>
      <c r="J65" s="90">
        <f t="shared" si="0"/>
        <v>0</v>
      </c>
      <c r="K65" s="90">
        <f t="shared" si="1"/>
        <v>0</v>
      </c>
      <c r="L65" s="90">
        <f t="shared" si="2"/>
        <v>0</v>
      </c>
      <c r="M65" s="90">
        <f t="shared" si="3"/>
        <v>0</v>
      </c>
      <c r="N65">
        <v>15</v>
      </c>
      <c r="O65" s="33">
        <f t="shared" si="4"/>
        <v>3</v>
      </c>
    </row>
    <row r="66" spans="1:15" s="33" customFormat="1" ht="15" customHeight="1" x14ac:dyDescent="0.2">
      <c r="A66" s="33" t="s">
        <v>71</v>
      </c>
      <c r="B66" s="61">
        <v>0</v>
      </c>
      <c r="C66" s="61">
        <v>0</v>
      </c>
      <c r="D66" s="61">
        <v>0</v>
      </c>
      <c r="E66" s="61">
        <v>0</v>
      </c>
      <c r="F66" s="61">
        <v>1</v>
      </c>
      <c r="G66" s="61">
        <v>0</v>
      </c>
      <c r="H66" s="61">
        <v>0</v>
      </c>
      <c r="I66" s="61">
        <v>0</v>
      </c>
      <c r="J66" s="90">
        <f t="shared" si="0"/>
        <v>0</v>
      </c>
      <c r="K66" s="90">
        <f t="shared" si="1"/>
        <v>0</v>
      </c>
      <c r="L66" s="90">
        <f t="shared" si="2"/>
        <v>1</v>
      </c>
      <c r="M66" s="90">
        <f t="shared" si="3"/>
        <v>0</v>
      </c>
      <c r="N66">
        <v>15</v>
      </c>
      <c r="O66" s="33">
        <f t="shared" si="4"/>
        <v>2</v>
      </c>
    </row>
    <row r="67" spans="1:15" s="33" customFormat="1" ht="15" customHeight="1" x14ac:dyDescent="0.2">
      <c r="A67" s="33" t="s">
        <v>72</v>
      </c>
      <c r="B67" s="61">
        <v>0</v>
      </c>
      <c r="C67" s="61">
        <v>0</v>
      </c>
      <c r="D67" s="61">
        <v>0</v>
      </c>
      <c r="E67" s="61">
        <v>0</v>
      </c>
      <c r="F67" s="61">
        <v>0</v>
      </c>
      <c r="G67" s="61">
        <v>0</v>
      </c>
      <c r="H67" s="61">
        <v>0</v>
      </c>
      <c r="I67" s="61">
        <v>0</v>
      </c>
      <c r="J67" s="90">
        <f t="shared" si="0"/>
        <v>0</v>
      </c>
      <c r="K67" s="90">
        <f t="shared" si="1"/>
        <v>0</v>
      </c>
      <c r="L67" s="90">
        <f t="shared" si="2"/>
        <v>0</v>
      </c>
      <c r="M67" s="90">
        <f t="shared" si="3"/>
        <v>0</v>
      </c>
      <c r="N67">
        <v>15</v>
      </c>
      <c r="O67" s="33">
        <f t="shared" si="4"/>
        <v>3</v>
      </c>
    </row>
    <row r="68" spans="1:15" s="33" customFormat="1" ht="15" customHeight="1" x14ac:dyDescent="0.2">
      <c r="A68" s="33" t="s">
        <v>73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90">
        <f t="shared" si="0"/>
        <v>0</v>
      </c>
      <c r="K68" s="90">
        <f t="shared" si="1"/>
        <v>0</v>
      </c>
      <c r="L68" s="90">
        <f t="shared" si="2"/>
        <v>0</v>
      </c>
      <c r="M68" s="90">
        <f t="shared" si="3"/>
        <v>0</v>
      </c>
      <c r="N68">
        <v>15</v>
      </c>
      <c r="O68" s="33">
        <f t="shared" si="4"/>
        <v>2</v>
      </c>
    </row>
    <row r="69" spans="1:15" s="33" customFormat="1" ht="15" customHeight="1" x14ac:dyDescent="0.2">
      <c r="A69" s="33" t="s">
        <v>74</v>
      </c>
      <c r="B69" s="61">
        <v>0</v>
      </c>
      <c r="C69" s="61">
        <v>1</v>
      </c>
      <c r="D69" s="61">
        <v>1</v>
      </c>
      <c r="E69" s="61">
        <v>0</v>
      </c>
      <c r="F69" s="61">
        <v>1</v>
      </c>
      <c r="G69" s="61">
        <v>0</v>
      </c>
      <c r="H69" s="61">
        <v>0</v>
      </c>
      <c r="I69" s="61">
        <v>0</v>
      </c>
      <c r="J69" s="90">
        <f t="shared" si="0"/>
        <v>0</v>
      </c>
      <c r="K69" s="90">
        <f t="shared" si="1"/>
        <v>1</v>
      </c>
      <c r="L69" s="90">
        <f t="shared" si="2"/>
        <v>2</v>
      </c>
      <c r="M69" s="90">
        <f t="shared" si="3"/>
        <v>0</v>
      </c>
      <c r="N69">
        <v>15</v>
      </c>
      <c r="O69" s="33">
        <f t="shared" si="4"/>
        <v>1</v>
      </c>
    </row>
    <row r="70" spans="1:15" s="33" customFormat="1" ht="15" customHeight="1" x14ac:dyDescent="0.2">
      <c r="A70" s="33" t="s">
        <v>75</v>
      </c>
      <c r="B70" s="61">
        <v>0</v>
      </c>
      <c r="C70" s="61">
        <v>0</v>
      </c>
      <c r="D70" s="61">
        <v>0</v>
      </c>
      <c r="E70" s="61">
        <v>0</v>
      </c>
      <c r="F70" s="61">
        <v>0</v>
      </c>
      <c r="G70" s="61">
        <v>0</v>
      </c>
      <c r="H70" s="61">
        <v>0</v>
      </c>
      <c r="I70" s="61">
        <v>0</v>
      </c>
      <c r="J70" s="90">
        <f t="shared" si="0"/>
        <v>0</v>
      </c>
      <c r="K70" s="90">
        <f t="shared" si="1"/>
        <v>0</v>
      </c>
      <c r="L70" s="90">
        <f t="shared" si="2"/>
        <v>0</v>
      </c>
      <c r="M70" s="90">
        <f t="shared" si="3"/>
        <v>0</v>
      </c>
      <c r="N70">
        <v>15</v>
      </c>
      <c r="O70" s="33">
        <f t="shared" si="4"/>
        <v>4</v>
      </c>
    </row>
    <row r="71" spans="1:15" s="33" customFormat="1" ht="15" customHeight="1" x14ac:dyDescent="0.2">
      <c r="A71" s="33" t="s">
        <v>76</v>
      </c>
      <c r="B71" s="61">
        <v>0</v>
      </c>
      <c r="C71" s="61">
        <v>0</v>
      </c>
      <c r="D71" s="61">
        <v>0</v>
      </c>
      <c r="E71" s="61">
        <v>0</v>
      </c>
      <c r="F71" s="61">
        <v>0</v>
      </c>
      <c r="G71" s="61">
        <v>0</v>
      </c>
      <c r="H71" s="61">
        <v>0</v>
      </c>
      <c r="I71" s="61">
        <v>0</v>
      </c>
      <c r="J71" s="90">
        <f t="shared" si="0"/>
        <v>0</v>
      </c>
      <c r="K71" s="90">
        <f t="shared" si="1"/>
        <v>0</v>
      </c>
      <c r="L71" s="90">
        <f t="shared" si="2"/>
        <v>0</v>
      </c>
      <c r="M71" s="90">
        <f t="shared" si="3"/>
        <v>0</v>
      </c>
      <c r="N71">
        <v>15</v>
      </c>
      <c r="O71" s="33">
        <f t="shared" si="4"/>
        <v>3</v>
      </c>
    </row>
    <row r="72" spans="1:15" s="33" customFormat="1" ht="15" customHeight="1" x14ac:dyDescent="0.2">
      <c r="A72" s="33" t="s">
        <v>77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90">
        <f t="shared" si="0"/>
        <v>0</v>
      </c>
      <c r="K72" s="90">
        <f t="shared" si="1"/>
        <v>0</v>
      </c>
      <c r="L72" s="90">
        <f t="shared" si="2"/>
        <v>0</v>
      </c>
      <c r="M72" s="90">
        <f t="shared" si="3"/>
        <v>0</v>
      </c>
      <c r="N72">
        <v>15</v>
      </c>
      <c r="O72" s="33">
        <f t="shared" si="4"/>
        <v>3</v>
      </c>
    </row>
    <row r="73" spans="1:15" s="33" customFormat="1" ht="15" customHeight="1" x14ac:dyDescent="0.2">
      <c r="A73" s="33" t="s">
        <v>78</v>
      </c>
      <c r="B73" s="61">
        <v>0</v>
      </c>
      <c r="C73" s="61">
        <v>1</v>
      </c>
      <c r="D73" s="61">
        <v>1</v>
      </c>
      <c r="E73" s="61">
        <v>0</v>
      </c>
      <c r="F73" s="61">
        <v>0</v>
      </c>
      <c r="G73" s="61">
        <v>0</v>
      </c>
      <c r="H73" s="61">
        <v>1</v>
      </c>
      <c r="I73" s="61">
        <v>0</v>
      </c>
      <c r="J73" s="90">
        <f t="shared" si="0"/>
        <v>0</v>
      </c>
      <c r="K73" s="90">
        <f t="shared" si="1"/>
        <v>1</v>
      </c>
      <c r="L73" s="90">
        <f t="shared" si="2"/>
        <v>1</v>
      </c>
      <c r="M73" s="90">
        <f t="shared" si="3"/>
        <v>1</v>
      </c>
      <c r="N73">
        <v>15</v>
      </c>
      <c r="O73" s="33">
        <f t="shared" si="4"/>
        <v>3</v>
      </c>
    </row>
    <row r="74" spans="1:15" s="33" customFormat="1" ht="15" customHeight="1" x14ac:dyDescent="0.2">
      <c r="A74" s="33" t="s">
        <v>79</v>
      </c>
      <c r="B74" s="61">
        <v>0</v>
      </c>
      <c r="C74" s="61">
        <v>0</v>
      </c>
      <c r="D74" s="61">
        <v>0</v>
      </c>
      <c r="E74" s="61">
        <v>0</v>
      </c>
      <c r="F74" s="61">
        <v>0</v>
      </c>
      <c r="G74" s="61">
        <v>2</v>
      </c>
      <c r="H74" s="61">
        <v>0</v>
      </c>
      <c r="I74" s="61">
        <v>0</v>
      </c>
      <c r="J74" s="90">
        <f t="shared" ref="J74:J137" si="5">SUM(E74,G74)</f>
        <v>2</v>
      </c>
      <c r="K74" s="90">
        <f t="shared" ref="K74:K137" si="6">SUM(C74,I74)</f>
        <v>0</v>
      </c>
      <c r="L74" s="90">
        <f t="shared" ref="L74:L137" si="7">SUM(D74,F74)</f>
        <v>0</v>
      </c>
      <c r="M74" s="90">
        <f t="shared" ref="M74:M137" si="8">SUM(B74,H74)</f>
        <v>0</v>
      </c>
      <c r="N74">
        <v>15</v>
      </c>
      <c r="O74" s="33">
        <f t="shared" si="4"/>
        <v>3</v>
      </c>
    </row>
    <row r="75" spans="1:15" s="33" customFormat="1" ht="15" customHeight="1" x14ac:dyDescent="0.2">
      <c r="A75" s="33" t="s">
        <v>80</v>
      </c>
      <c r="B75" s="61">
        <v>0</v>
      </c>
      <c r="C75" s="61">
        <v>0</v>
      </c>
      <c r="D75" s="61">
        <v>1</v>
      </c>
      <c r="E75" s="61">
        <v>0</v>
      </c>
      <c r="F75" s="61">
        <v>2</v>
      </c>
      <c r="G75" s="61">
        <v>0</v>
      </c>
      <c r="H75" s="61">
        <v>0</v>
      </c>
      <c r="I75" s="61">
        <v>0</v>
      </c>
      <c r="J75" s="90">
        <f t="shared" si="5"/>
        <v>0</v>
      </c>
      <c r="K75" s="90">
        <f t="shared" si="6"/>
        <v>0</v>
      </c>
      <c r="L75" s="90">
        <f t="shared" si="7"/>
        <v>3</v>
      </c>
      <c r="M75" s="90">
        <f t="shared" si="8"/>
        <v>0</v>
      </c>
      <c r="N75">
        <v>15</v>
      </c>
      <c r="O75" s="33">
        <f t="shared" si="4"/>
        <v>5</v>
      </c>
    </row>
    <row r="76" spans="1:15" s="33" customFormat="1" ht="15" customHeight="1" x14ac:dyDescent="0.2">
      <c r="A76" s="33" t="s">
        <v>81</v>
      </c>
      <c r="B76" s="61">
        <v>0</v>
      </c>
      <c r="C76" s="61">
        <v>0</v>
      </c>
      <c r="D76" s="61">
        <v>0</v>
      </c>
      <c r="E76" s="61">
        <v>0</v>
      </c>
      <c r="F76" s="61">
        <v>1</v>
      </c>
      <c r="G76" s="61">
        <v>0</v>
      </c>
      <c r="H76" s="61">
        <v>0</v>
      </c>
      <c r="I76" s="61">
        <v>0</v>
      </c>
      <c r="J76" s="90">
        <f t="shared" si="5"/>
        <v>0</v>
      </c>
      <c r="K76" s="90">
        <f t="shared" si="6"/>
        <v>0</v>
      </c>
      <c r="L76" s="90">
        <f t="shared" si="7"/>
        <v>1</v>
      </c>
      <c r="M76" s="90">
        <f t="shared" si="8"/>
        <v>0</v>
      </c>
      <c r="N76">
        <v>15</v>
      </c>
      <c r="O76" s="33">
        <f t="shared" si="4"/>
        <v>8</v>
      </c>
    </row>
    <row r="77" spans="1:15" s="33" customFormat="1" ht="15" customHeight="1" x14ac:dyDescent="0.2">
      <c r="A77" s="33" t="s">
        <v>82</v>
      </c>
      <c r="B77" s="61">
        <v>0</v>
      </c>
      <c r="C77" s="61">
        <v>0</v>
      </c>
      <c r="D77" s="61">
        <v>2</v>
      </c>
      <c r="E77" s="61">
        <v>1</v>
      </c>
      <c r="F77" s="61">
        <v>1</v>
      </c>
      <c r="G77" s="61">
        <v>0</v>
      </c>
      <c r="H77" s="61">
        <v>0</v>
      </c>
      <c r="I77" s="61">
        <v>0</v>
      </c>
      <c r="J77" s="90">
        <f t="shared" si="5"/>
        <v>1</v>
      </c>
      <c r="K77" s="90">
        <f t="shared" si="6"/>
        <v>0</v>
      </c>
      <c r="L77" s="90">
        <f t="shared" si="7"/>
        <v>3</v>
      </c>
      <c r="M77" s="90">
        <f t="shared" si="8"/>
        <v>0</v>
      </c>
      <c r="N77">
        <v>15</v>
      </c>
      <c r="O77" s="33">
        <f t="shared" si="4"/>
        <v>9</v>
      </c>
    </row>
    <row r="78" spans="1:15" s="33" customFormat="1" ht="15" customHeight="1" x14ac:dyDescent="0.2">
      <c r="A78" s="33" t="s">
        <v>83</v>
      </c>
      <c r="B78" s="61">
        <v>0</v>
      </c>
      <c r="C78" s="61">
        <v>0</v>
      </c>
      <c r="D78" s="61">
        <v>0</v>
      </c>
      <c r="E78" s="61">
        <v>0</v>
      </c>
      <c r="F78" s="61">
        <v>1</v>
      </c>
      <c r="G78" s="61">
        <v>0</v>
      </c>
      <c r="H78" s="61">
        <v>0</v>
      </c>
      <c r="I78" s="61">
        <v>0</v>
      </c>
      <c r="J78" s="90">
        <f t="shared" si="5"/>
        <v>0</v>
      </c>
      <c r="K78" s="90">
        <f t="shared" si="6"/>
        <v>0</v>
      </c>
      <c r="L78" s="90">
        <f t="shared" si="7"/>
        <v>1</v>
      </c>
      <c r="M78" s="90">
        <f t="shared" si="8"/>
        <v>0</v>
      </c>
      <c r="N78">
        <v>15</v>
      </c>
      <c r="O78" s="33">
        <f t="shared" si="4"/>
        <v>10</v>
      </c>
    </row>
    <row r="79" spans="1:15" s="33" customFormat="1" ht="15" customHeight="1" x14ac:dyDescent="0.2">
      <c r="A79" s="33" t="s">
        <v>84</v>
      </c>
      <c r="B79" s="61">
        <v>0</v>
      </c>
      <c r="C79" s="61">
        <v>0</v>
      </c>
      <c r="D79" s="61">
        <v>1</v>
      </c>
      <c r="E79" s="61">
        <v>1</v>
      </c>
      <c r="F79" s="61">
        <v>1</v>
      </c>
      <c r="G79" s="61">
        <v>0</v>
      </c>
      <c r="H79" s="61">
        <v>0</v>
      </c>
      <c r="I79" s="61">
        <v>0</v>
      </c>
      <c r="J79" s="90">
        <f t="shared" si="5"/>
        <v>1</v>
      </c>
      <c r="K79" s="90">
        <f t="shared" si="6"/>
        <v>0</v>
      </c>
      <c r="L79" s="90">
        <f t="shared" si="7"/>
        <v>2</v>
      </c>
      <c r="M79" s="90">
        <f t="shared" si="8"/>
        <v>0</v>
      </c>
      <c r="N79">
        <v>15</v>
      </c>
      <c r="O79" s="33">
        <f t="shared" ref="O79:O142" si="9">SUM(J75:M78)</f>
        <v>9</v>
      </c>
    </row>
    <row r="80" spans="1:15" s="33" customFormat="1" ht="15" customHeight="1" x14ac:dyDescent="0.2">
      <c r="A80" s="33" t="s">
        <v>85</v>
      </c>
      <c r="B80" s="61">
        <v>0</v>
      </c>
      <c r="C80" s="61">
        <v>0</v>
      </c>
      <c r="D80" s="61">
        <v>1</v>
      </c>
      <c r="E80" s="61">
        <v>0</v>
      </c>
      <c r="F80" s="61">
        <v>1</v>
      </c>
      <c r="G80" s="61">
        <v>0</v>
      </c>
      <c r="H80" s="61">
        <v>0</v>
      </c>
      <c r="I80" s="61">
        <v>0</v>
      </c>
      <c r="J80" s="90">
        <f t="shared" si="5"/>
        <v>0</v>
      </c>
      <c r="K80" s="90">
        <f t="shared" si="6"/>
        <v>0</v>
      </c>
      <c r="L80" s="90">
        <f t="shared" si="7"/>
        <v>2</v>
      </c>
      <c r="M80" s="90">
        <f t="shared" si="8"/>
        <v>0</v>
      </c>
      <c r="N80">
        <v>15</v>
      </c>
      <c r="O80" s="33">
        <f t="shared" si="9"/>
        <v>9</v>
      </c>
    </row>
    <row r="81" spans="1:16" s="33" customFormat="1" ht="15" customHeight="1" x14ac:dyDescent="0.2">
      <c r="A81" s="33" t="s">
        <v>86</v>
      </c>
      <c r="B81" s="61">
        <v>0</v>
      </c>
      <c r="C81" s="61">
        <v>0</v>
      </c>
      <c r="D81" s="61">
        <v>1</v>
      </c>
      <c r="E81" s="61">
        <v>1</v>
      </c>
      <c r="F81" s="61">
        <v>0</v>
      </c>
      <c r="G81" s="61">
        <v>0</v>
      </c>
      <c r="H81" s="61">
        <v>0</v>
      </c>
      <c r="I81" s="61">
        <v>0</v>
      </c>
      <c r="J81" s="90">
        <f t="shared" si="5"/>
        <v>1</v>
      </c>
      <c r="K81" s="90">
        <f t="shared" si="6"/>
        <v>0</v>
      </c>
      <c r="L81" s="90">
        <f t="shared" si="7"/>
        <v>1</v>
      </c>
      <c r="M81" s="90">
        <f t="shared" si="8"/>
        <v>0</v>
      </c>
      <c r="N81">
        <v>15</v>
      </c>
      <c r="O81" s="33">
        <f t="shared" si="9"/>
        <v>10</v>
      </c>
    </row>
    <row r="82" spans="1:16" s="33" customFormat="1" ht="15" customHeight="1" x14ac:dyDescent="0.2">
      <c r="A82" s="33" t="s">
        <v>87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1</v>
      </c>
      <c r="J82" s="90">
        <f t="shared" si="5"/>
        <v>0</v>
      </c>
      <c r="K82" s="90">
        <f t="shared" si="6"/>
        <v>1</v>
      </c>
      <c r="L82" s="90">
        <f t="shared" si="7"/>
        <v>0</v>
      </c>
      <c r="M82" s="90">
        <f t="shared" si="8"/>
        <v>0</v>
      </c>
      <c r="N82">
        <v>15</v>
      </c>
      <c r="O82" s="33">
        <f t="shared" si="9"/>
        <v>8</v>
      </c>
    </row>
    <row r="83" spans="1:16" s="33" customFormat="1" ht="15" customHeight="1" x14ac:dyDescent="0.2">
      <c r="A83" s="33" t="s">
        <v>88</v>
      </c>
      <c r="B83" s="61">
        <v>0</v>
      </c>
      <c r="C83" s="61">
        <v>0</v>
      </c>
      <c r="D83" s="61">
        <v>1</v>
      </c>
      <c r="E83" s="61">
        <v>0</v>
      </c>
      <c r="F83" s="61">
        <v>2</v>
      </c>
      <c r="G83" s="61">
        <v>0</v>
      </c>
      <c r="H83" s="61">
        <v>0</v>
      </c>
      <c r="I83" s="61">
        <v>1</v>
      </c>
      <c r="J83" s="90">
        <f t="shared" si="5"/>
        <v>0</v>
      </c>
      <c r="K83" s="90">
        <f t="shared" si="6"/>
        <v>1</v>
      </c>
      <c r="L83" s="90">
        <f t="shared" si="7"/>
        <v>3</v>
      </c>
      <c r="M83" s="90">
        <f t="shared" si="8"/>
        <v>0</v>
      </c>
      <c r="N83">
        <v>15</v>
      </c>
      <c r="O83" s="33">
        <f t="shared" si="9"/>
        <v>8</v>
      </c>
      <c r="P83" s="33">
        <f>SUM(J76:M83)/2</f>
        <v>9</v>
      </c>
    </row>
    <row r="84" spans="1:16" s="33" customFormat="1" ht="15" customHeight="1" x14ac:dyDescent="0.2">
      <c r="A84" s="33" t="s">
        <v>89</v>
      </c>
      <c r="B84" s="61">
        <v>0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0</v>
      </c>
      <c r="I84" s="61">
        <v>0</v>
      </c>
      <c r="J84" s="90">
        <f t="shared" si="5"/>
        <v>0</v>
      </c>
      <c r="K84" s="90">
        <f t="shared" si="6"/>
        <v>0</v>
      </c>
      <c r="L84" s="90">
        <f t="shared" si="7"/>
        <v>0</v>
      </c>
      <c r="M84" s="90">
        <f t="shared" si="8"/>
        <v>0</v>
      </c>
      <c r="N84">
        <v>15</v>
      </c>
      <c r="O84" s="33">
        <f t="shared" si="9"/>
        <v>9</v>
      </c>
    </row>
    <row r="85" spans="1:16" s="33" customFormat="1" ht="15" customHeight="1" x14ac:dyDescent="0.2">
      <c r="A85" s="33" t="s">
        <v>90</v>
      </c>
      <c r="B85" s="61">
        <v>0</v>
      </c>
      <c r="C85" s="61">
        <v>0</v>
      </c>
      <c r="D85" s="61">
        <v>0</v>
      </c>
      <c r="E85" s="61">
        <v>0</v>
      </c>
      <c r="F85" s="61">
        <v>0</v>
      </c>
      <c r="G85" s="61">
        <v>0</v>
      </c>
      <c r="H85" s="61">
        <v>0</v>
      </c>
      <c r="I85" s="61">
        <v>0</v>
      </c>
      <c r="J85" s="90">
        <f t="shared" si="5"/>
        <v>0</v>
      </c>
      <c r="K85" s="90">
        <f t="shared" si="6"/>
        <v>0</v>
      </c>
      <c r="L85" s="90">
        <f t="shared" si="7"/>
        <v>0</v>
      </c>
      <c r="M85" s="90">
        <f t="shared" si="8"/>
        <v>0</v>
      </c>
      <c r="N85">
        <v>15</v>
      </c>
      <c r="O85" s="33">
        <f t="shared" si="9"/>
        <v>7</v>
      </c>
    </row>
    <row r="86" spans="1:16" s="33" customFormat="1" ht="15" customHeight="1" x14ac:dyDescent="0.2">
      <c r="A86" s="33" t="s">
        <v>91</v>
      </c>
      <c r="B86" s="61">
        <v>0</v>
      </c>
      <c r="C86" s="61">
        <v>0</v>
      </c>
      <c r="D86" s="61">
        <v>1</v>
      </c>
      <c r="E86" s="61">
        <v>0</v>
      </c>
      <c r="F86" s="61">
        <v>2</v>
      </c>
      <c r="G86" s="61">
        <v>0</v>
      </c>
      <c r="H86" s="61">
        <v>0</v>
      </c>
      <c r="I86" s="61">
        <v>0</v>
      </c>
      <c r="J86" s="90">
        <f t="shared" si="5"/>
        <v>0</v>
      </c>
      <c r="K86" s="90">
        <f t="shared" si="6"/>
        <v>0</v>
      </c>
      <c r="L86" s="90">
        <f t="shared" si="7"/>
        <v>3</v>
      </c>
      <c r="M86" s="90">
        <f t="shared" si="8"/>
        <v>0</v>
      </c>
      <c r="N86">
        <v>15</v>
      </c>
      <c r="O86" s="33">
        <f t="shared" si="9"/>
        <v>5</v>
      </c>
    </row>
    <row r="87" spans="1:16" s="33" customFormat="1" ht="15" customHeight="1" x14ac:dyDescent="0.2">
      <c r="A87" s="33" t="s">
        <v>92</v>
      </c>
      <c r="B87" s="61">
        <v>0</v>
      </c>
      <c r="C87" s="61">
        <v>0</v>
      </c>
      <c r="D87" s="61">
        <v>1</v>
      </c>
      <c r="E87" s="61">
        <v>0</v>
      </c>
      <c r="F87" s="61">
        <v>2</v>
      </c>
      <c r="G87" s="61">
        <v>0</v>
      </c>
      <c r="H87" s="61">
        <v>1</v>
      </c>
      <c r="I87" s="61">
        <v>1</v>
      </c>
      <c r="J87" s="90">
        <f t="shared" si="5"/>
        <v>0</v>
      </c>
      <c r="K87" s="90">
        <f t="shared" si="6"/>
        <v>1</v>
      </c>
      <c r="L87" s="90">
        <f t="shared" si="7"/>
        <v>3</v>
      </c>
      <c r="M87" s="90">
        <f t="shared" si="8"/>
        <v>1</v>
      </c>
      <c r="N87">
        <v>15</v>
      </c>
      <c r="O87" s="33">
        <f t="shared" si="9"/>
        <v>7</v>
      </c>
    </row>
    <row r="88" spans="1:16" s="33" customFormat="1" ht="15" customHeight="1" x14ac:dyDescent="0.2">
      <c r="A88" s="33" t="s">
        <v>93</v>
      </c>
      <c r="B88" s="61">
        <v>0</v>
      </c>
      <c r="C88" s="61">
        <v>0</v>
      </c>
      <c r="D88" s="61">
        <v>1</v>
      </c>
      <c r="E88" s="61">
        <v>0</v>
      </c>
      <c r="F88" s="61">
        <v>0</v>
      </c>
      <c r="G88" s="61">
        <v>0</v>
      </c>
      <c r="H88" s="61">
        <v>0</v>
      </c>
      <c r="I88" s="61">
        <v>0</v>
      </c>
      <c r="J88" s="90">
        <f t="shared" si="5"/>
        <v>0</v>
      </c>
      <c r="K88" s="90">
        <f t="shared" si="6"/>
        <v>0</v>
      </c>
      <c r="L88" s="90">
        <f t="shared" si="7"/>
        <v>1</v>
      </c>
      <c r="M88" s="90">
        <f t="shared" si="8"/>
        <v>0</v>
      </c>
      <c r="N88">
        <v>15</v>
      </c>
      <c r="O88" s="33">
        <f t="shared" si="9"/>
        <v>8</v>
      </c>
    </row>
    <row r="89" spans="1:16" s="33" customFormat="1" ht="15" customHeight="1" x14ac:dyDescent="0.2">
      <c r="A89" s="33" t="s">
        <v>94</v>
      </c>
      <c r="B89" s="61">
        <v>0</v>
      </c>
      <c r="C89" s="61">
        <v>2</v>
      </c>
      <c r="D89" s="61">
        <v>0</v>
      </c>
      <c r="E89" s="61">
        <v>0</v>
      </c>
      <c r="F89" s="61">
        <v>3</v>
      </c>
      <c r="G89" s="61">
        <v>0</v>
      </c>
      <c r="H89" s="61">
        <v>0</v>
      </c>
      <c r="I89" s="61">
        <v>0</v>
      </c>
      <c r="J89" s="90">
        <f t="shared" si="5"/>
        <v>0</v>
      </c>
      <c r="K89" s="90">
        <f t="shared" si="6"/>
        <v>2</v>
      </c>
      <c r="L89" s="90">
        <f t="shared" si="7"/>
        <v>3</v>
      </c>
      <c r="M89" s="90">
        <f t="shared" si="8"/>
        <v>0</v>
      </c>
      <c r="N89">
        <v>15</v>
      </c>
      <c r="O89" s="33">
        <f t="shared" si="9"/>
        <v>9</v>
      </c>
    </row>
    <row r="90" spans="1:16" s="33" customFormat="1" ht="15" customHeight="1" x14ac:dyDescent="0.2">
      <c r="A90" s="33" t="s">
        <v>95</v>
      </c>
      <c r="B90" s="61">
        <v>0</v>
      </c>
      <c r="C90" s="61">
        <v>0</v>
      </c>
      <c r="D90" s="61">
        <v>0</v>
      </c>
      <c r="E90" s="61">
        <v>0</v>
      </c>
      <c r="F90" s="61">
        <v>0</v>
      </c>
      <c r="G90" s="61">
        <v>0</v>
      </c>
      <c r="H90" s="61">
        <v>0</v>
      </c>
      <c r="I90" s="61">
        <v>0</v>
      </c>
      <c r="J90" s="90">
        <f t="shared" si="5"/>
        <v>0</v>
      </c>
      <c r="K90" s="90">
        <f t="shared" si="6"/>
        <v>0</v>
      </c>
      <c r="L90" s="90">
        <f t="shared" si="7"/>
        <v>0</v>
      </c>
      <c r="M90" s="90">
        <f t="shared" si="8"/>
        <v>0</v>
      </c>
      <c r="N90">
        <v>15</v>
      </c>
      <c r="O90" s="33">
        <f t="shared" si="9"/>
        <v>14</v>
      </c>
    </row>
    <row r="91" spans="1:16" ht="15" customHeight="1" x14ac:dyDescent="0.2">
      <c r="A91" t="s">
        <v>96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21">
        <f t="shared" si="5"/>
        <v>0</v>
      </c>
      <c r="K91" s="21">
        <f t="shared" si="6"/>
        <v>0</v>
      </c>
      <c r="L91" s="21">
        <f t="shared" si="7"/>
        <v>0</v>
      </c>
      <c r="M91" s="21">
        <f t="shared" si="8"/>
        <v>0</v>
      </c>
      <c r="N91">
        <v>15</v>
      </c>
      <c r="O91">
        <f t="shared" si="9"/>
        <v>11</v>
      </c>
    </row>
    <row r="92" spans="1:16" ht="15" customHeight="1" x14ac:dyDescent="0.2">
      <c r="A92" t="s">
        <v>97</v>
      </c>
      <c r="B92" s="18">
        <v>0</v>
      </c>
      <c r="C92" s="18">
        <v>0</v>
      </c>
      <c r="D92" s="18">
        <v>0</v>
      </c>
      <c r="E92" s="18">
        <v>1</v>
      </c>
      <c r="F92" s="18">
        <v>0</v>
      </c>
      <c r="G92" s="18">
        <v>0</v>
      </c>
      <c r="H92" s="18">
        <v>0</v>
      </c>
      <c r="I92" s="18">
        <v>1</v>
      </c>
      <c r="J92" s="21">
        <f t="shared" si="5"/>
        <v>1</v>
      </c>
      <c r="K92" s="21">
        <f t="shared" si="6"/>
        <v>1</v>
      </c>
      <c r="L92" s="21">
        <f t="shared" si="7"/>
        <v>0</v>
      </c>
      <c r="M92" s="21">
        <f t="shared" si="8"/>
        <v>0</v>
      </c>
      <c r="N92">
        <v>15</v>
      </c>
      <c r="O92">
        <f t="shared" si="9"/>
        <v>6</v>
      </c>
    </row>
    <row r="93" spans="1:16" ht="15" customHeight="1" x14ac:dyDescent="0.2">
      <c r="A93" t="s">
        <v>98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21">
        <f t="shared" si="5"/>
        <v>0</v>
      </c>
      <c r="K93" s="21">
        <f t="shared" si="6"/>
        <v>0</v>
      </c>
      <c r="L93" s="21">
        <f t="shared" si="7"/>
        <v>0</v>
      </c>
      <c r="M93" s="21">
        <f t="shared" si="8"/>
        <v>0</v>
      </c>
      <c r="N93">
        <v>15</v>
      </c>
      <c r="O93">
        <f t="shared" si="9"/>
        <v>7</v>
      </c>
    </row>
    <row r="94" spans="1:16" ht="15" customHeight="1" x14ac:dyDescent="0.2">
      <c r="A94" t="s">
        <v>99</v>
      </c>
      <c r="B94" s="18">
        <v>0</v>
      </c>
      <c r="C94" s="18">
        <v>0</v>
      </c>
      <c r="D94" s="18">
        <v>0</v>
      </c>
      <c r="E94" s="18">
        <v>0</v>
      </c>
      <c r="F94" s="18">
        <v>1</v>
      </c>
      <c r="G94" s="18">
        <v>0</v>
      </c>
      <c r="H94" s="18">
        <v>0</v>
      </c>
      <c r="I94" s="18">
        <v>0</v>
      </c>
      <c r="J94" s="21">
        <f t="shared" si="5"/>
        <v>0</v>
      </c>
      <c r="K94" s="21">
        <f t="shared" si="6"/>
        <v>0</v>
      </c>
      <c r="L94" s="21">
        <f t="shared" si="7"/>
        <v>1</v>
      </c>
      <c r="M94" s="21">
        <f t="shared" si="8"/>
        <v>0</v>
      </c>
      <c r="N94">
        <v>15</v>
      </c>
      <c r="O94">
        <f t="shared" si="9"/>
        <v>2</v>
      </c>
    </row>
    <row r="95" spans="1:16" ht="15" customHeight="1" x14ac:dyDescent="0.2">
      <c r="A95" t="s">
        <v>100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21">
        <f t="shared" si="5"/>
        <v>0</v>
      </c>
      <c r="K95" s="21">
        <f t="shared" si="6"/>
        <v>0</v>
      </c>
      <c r="L95" s="21">
        <f t="shared" si="7"/>
        <v>0</v>
      </c>
      <c r="M95" s="21">
        <f t="shared" si="8"/>
        <v>0</v>
      </c>
      <c r="N95">
        <v>15</v>
      </c>
      <c r="O95">
        <f t="shared" si="9"/>
        <v>3</v>
      </c>
    </row>
    <row r="96" spans="1:16" ht="15" customHeight="1" x14ac:dyDescent="0.2">
      <c r="A96" t="s">
        <v>101</v>
      </c>
      <c r="B96" s="18">
        <v>0</v>
      </c>
      <c r="C96" s="18">
        <v>0</v>
      </c>
      <c r="D96" s="18">
        <v>2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21">
        <f t="shared" si="5"/>
        <v>0</v>
      </c>
      <c r="K96" s="21">
        <f t="shared" si="6"/>
        <v>0</v>
      </c>
      <c r="L96" s="21">
        <f t="shared" si="7"/>
        <v>2</v>
      </c>
      <c r="M96" s="21">
        <f t="shared" si="8"/>
        <v>0</v>
      </c>
      <c r="N96">
        <v>15</v>
      </c>
      <c r="O96">
        <f t="shared" si="9"/>
        <v>3</v>
      </c>
    </row>
    <row r="97" spans="1:15" ht="15" customHeight="1" x14ac:dyDescent="0.2">
      <c r="A97" t="s">
        <v>102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21">
        <f t="shared" si="5"/>
        <v>0</v>
      </c>
      <c r="K97" s="21">
        <f t="shared" si="6"/>
        <v>0</v>
      </c>
      <c r="L97" s="21">
        <f t="shared" si="7"/>
        <v>0</v>
      </c>
      <c r="M97" s="21">
        <f t="shared" si="8"/>
        <v>0</v>
      </c>
      <c r="N97">
        <v>15</v>
      </c>
      <c r="O97">
        <f t="shared" si="9"/>
        <v>3</v>
      </c>
    </row>
    <row r="98" spans="1:15" ht="15" customHeight="1" x14ac:dyDescent="0.2">
      <c r="A98" t="s">
        <v>103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21">
        <f t="shared" si="5"/>
        <v>0</v>
      </c>
      <c r="K98" s="21">
        <f t="shared" si="6"/>
        <v>0</v>
      </c>
      <c r="L98" s="21">
        <f t="shared" si="7"/>
        <v>0</v>
      </c>
      <c r="M98" s="21">
        <f t="shared" si="8"/>
        <v>0</v>
      </c>
      <c r="N98">
        <v>15</v>
      </c>
      <c r="O98">
        <f t="shared" si="9"/>
        <v>3</v>
      </c>
    </row>
    <row r="99" spans="1:15" ht="15" customHeight="1" x14ac:dyDescent="0.2">
      <c r="A99" t="s">
        <v>104</v>
      </c>
      <c r="B99" s="18">
        <v>0</v>
      </c>
      <c r="C99" s="18">
        <v>0</v>
      </c>
      <c r="D99" s="18">
        <v>0</v>
      </c>
      <c r="E99" s="18">
        <v>0</v>
      </c>
      <c r="F99" s="18">
        <v>3</v>
      </c>
      <c r="G99" s="18">
        <v>0</v>
      </c>
      <c r="H99" s="18">
        <v>0</v>
      </c>
      <c r="I99" s="18">
        <v>0</v>
      </c>
      <c r="J99" s="21">
        <f t="shared" si="5"/>
        <v>0</v>
      </c>
      <c r="K99" s="21">
        <f t="shared" si="6"/>
        <v>0</v>
      </c>
      <c r="L99" s="21">
        <f t="shared" si="7"/>
        <v>3</v>
      </c>
      <c r="M99" s="21">
        <f t="shared" si="8"/>
        <v>0</v>
      </c>
      <c r="N99">
        <v>15</v>
      </c>
      <c r="O99">
        <f t="shared" si="9"/>
        <v>2</v>
      </c>
    </row>
    <row r="100" spans="1:15" ht="15" customHeight="1" x14ac:dyDescent="0.2">
      <c r="A100" t="s">
        <v>105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21">
        <f t="shared" si="5"/>
        <v>0</v>
      </c>
      <c r="K100" s="21">
        <f t="shared" si="6"/>
        <v>0</v>
      </c>
      <c r="L100" s="21">
        <f t="shared" si="7"/>
        <v>0</v>
      </c>
      <c r="M100" s="21">
        <f t="shared" si="8"/>
        <v>0</v>
      </c>
      <c r="N100">
        <v>15</v>
      </c>
      <c r="O100">
        <f t="shared" si="9"/>
        <v>5</v>
      </c>
    </row>
    <row r="101" spans="1:15" ht="15" customHeight="1" x14ac:dyDescent="0.2">
      <c r="A101" t="s">
        <v>106</v>
      </c>
      <c r="B101" s="18">
        <v>0</v>
      </c>
      <c r="C101" s="18">
        <v>0</v>
      </c>
      <c r="D101" s="18">
        <v>1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21">
        <f t="shared" si="5"/>
        <v>0</v>
      </c>
      <c r="K101" s="21">
        <f t="shared" si="6"/>
        <v>0</v>
      </c>
      <c r="L101" s="21">
        <f t="shared" si="7"/>
        <v>1</v>
      </c>
      <c r="M101" s="21">
        <f t="shared" si="8"/>
        <v>0</v>
      </c>
      <c r="N101">
        <v>15</v>
      </c>
      <c r="O101">
        <f t="shared" si="9"/>
        <v>3</v>
      </c>
    </row>
    <row r="102" spans="1:15" ht="15" customHeight="1" x14ac:dyDescent="0.2">
      <c r="A102" t="s">
        <v>107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21">
        <f t="shared" si="5"/>
        <v>0</v>
      </c>
      <c r="K102" s="21">
        <f t="shared" si="6"/>
        <v>0</v>
      </c>
      <c r="L102" s="21">
        <f t="shared" si="7"/>
        <v>0</v>
      </c>
      <c r="M102" s="21">
        <f t="shared" si="8"/>
        <v>0</v>
      </c>
      <c r="N102">
        <v>15</v>
      </c>
      <c r="O102">
        <f t="shared" si="9"/>
        <v>4</v>
      </c>
    </row>
    <row r="103" spans="1:15" ht="15" customHeight="1" x14ac:dyDescent="0.2">
      <c r="A103" t="s">
        <v>108</v>
      </c>
      <c r="B103" s="18">
        <v>0</v>
      </c>
      <c r="C103" s="18">
        <v>0</v>
      </c>
      <c r="D103" s="18">
        <v>1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21">
        <f t="shared" si="5"/>
        <v>0</v>
      </c>
      <c r="K103" s="21">
        <f t="shared" si="6"/>
        <v>0</v>
      </c>
      <c r="L103" s="21">
        <f t="shared" si="7"/>
        <v>1</v>
      </c>
      <c r="M103" s="21">
        <f t="shared" si="8"/>
        <v>0</v>
      </c>
      <c r="N103">
        <v>15</v>
      </c>
      <c r="O103">
        <f t="shared" si="9"/>
        <v>4</v>
      </c>
    </row>
    <row r="104" spans="1:15" ht="15" customHeight="1" x14ac:dyDescent="0.2">
      <c r="A104" t="s">
        <v>109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21">
        <f t="shared" si="5"/>
        <v>0</v>
      </c>
      <c r="K104" s="21">
        <f t="shared" si="6"/>
        <v>0</v>
      </c>
      <c r="L104" s="21">
        <f t="shared" si="7"/>
        <v>0</v>
      </c>
      <c r="M104" s="21">
        <f t="shared" si="8"/>
        <v>0</v>
      </c>
      <c r="N104">
        <v>15</v>
      </c>
      <c r="O104">
        <f t="shared" si="9"/>
        <v>2</v>
      </c>
    </row>
    <row r="105" spans="1:15" ht="15" customHeight="1" x14ac:dyDescent="0.2">
      <c r="A105" t="s">
        <v>110</v>
      </c>
      <c r="B105" s="18">
        <v>0</v>
      </c>
      <c r="C105" s="18">
        <v>0</v>
      </c>
      <c r="D105" s="18">
        <v>0</v>
      </c>
      <c r="E105" s="18">
        <v>0</v>
      </c>
      <c r="F105" s="18">
        <v>1</v>
      </c>
      <c r="G105" s="18">
        <v>0</v>
      </c>
      <c r="H105" s="18">
        <v>0</v>
      </c>
      <c r="I105" s="18">
        <v>0</v>
      </c>
      <c r="J105" s="21">
        <f t="shared" si="5"/>
        <v>0</v>
      </c>
      <c r="K105" s="21">
        <f t="shared" si="6"/>
        <v>0</v>
      </c>
      <c r="L105" s="21">
        <f t="shared" si="7"/>
        <v>1</v>
      </c>
      <c r="M105" s="21">
        <f t="shared" si="8"/>
        <v>0</v>
      </c>
      <c r="N105">
        <v>15</v>
      </c>
      <c r="O105">
        <f t="shared" si="9"/>
        <v>2</v>
      </c>
    </row>
    <row r="106" spans="1:15" ht="15" customHeight="1" x14ac:dyDescent="0.2">
      <c r="A106" t="s">
        <v>5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21">
        <f t="shared" si="5"/>
        <v>0</v>
      </c>
      <c r="K106" s="21">
        <f t="shared" si="6"/>
        <v>0</v>
      </c>
      <c r="L106" s="21">
        <f t="shared" si="7"/>
        <v>0</v>
      </c>
      <c r="M106" s="21">
        <f t="shared" si="8"/>
        <v>0</v>
      </c>
      <c r="N106">
        <v>15</v>
      </c>
      <c r="O106">
        <f t="shared" si="9"/>
        <v>2</v>
      </c>
    </row>
    <row r="107" spans="1:15" ht="15" customHeight="1" x14ac:dyDescent="0.2">
      <c r="A107" t="s">
        <v>16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21">
        <f t="shared" si="5"/>
        <v>0</v>
      </c>
      <c r="K107" s="21">
        <f t="shared" si="6"/>
        <v>0</v>
      </c>
      <c r="L107" s="21">
        <f t="shared" si="7"/>
        <v>0</v>
      </c>
      <c r="M107" s="21">
        <f t="shared" si="8"/>
        <v>0</v>
      </c>
      <c r="N107">
        <v>15</v>
      </c>
      <c r="O107">
        <f t="shared" si="9"/>
        <v>2</v>
      </c>
    </row>
    <row r="108" spans="1:15" ht="15" customHeight="1" x14ac:dyDescent="0.2">
      <c r="A108" t="s">
        <v>17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21">
        <f t="shared" si="5"/>
        <v>0</v>
      </c>
      <c r="K108" s="21">
        <f t="shared" si="6"/>
        <v>0</v>
      </c>
      <c r="L108" s="21">
        <f t="shared" si="7"/>
        <v>0</v>
      </c>
      <c r="M108" s="21">
        <f t="shared" si="8"/>
        <v>0</v>
      </c>
      <c r="N108">
        <v>15</v>
      </c>
      <c r="O108">
        <f t="shared" si="9"/>
        <v>1</v>
      </c>
    </row>
    <row r="109" spans="1:15" ht="15" customHeight="1" x14ac:dyDescent="0.2">
      <c r="A109" t="s">
        <v>18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21">
        <f t="shared" si="5"/>
        <v>0</v>
      </c>
      <c r="K109" s="21">
        <f t="shared" si="6"/>
        <v>0</v>
      </c>
      <c r="L109" s="21">
        <f t="shared" si="7"/>
        <v>0</v>
      </c>
      <c r="M109" s="21">
        <f t="shared" si="8"/>
        <v>0</v>
      </c>
      <c r="N109">
        <v>15</v>
      </c>
      <c r="O109">
        <f t="shared" si="9"/>
        <v>1</v>
      </c>
    </row>
    <row r="110" spans="1:15" ht="15" customHeight="1" x14ac:dyDescent="0.2">
      <c r="A110" t="s">
        <v>19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21">
        <f t="shared" si="5"/>
        <v>0</v>
      </c>
      <c r="K110" s="21">
        <f t="shared" si="6"/>
        <v>0</v>
      </c>
      <c r="L110" s="21">
        <f t="shared" si="7"/>
        <v>0</v>
      </c>
      <c r="M110" s="21">
        <f t="shared" si="8"/>
        <v>0</v>
      </c>
      <c r="N110">
        <v>15</v>
      </c>
      <c r="O110">
        <f t="shared" si="9"/>
        <v>0</v>
      </c>
    </row>
    <row r="111" spans="1:15" ht="15" customHeight="1" x14ac:dyDescent="0.2">
      <c r="A111" t="s">
        <v>20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21">
        <f t="shared" si="5"/>
        <v>0</v>
      </c>
      <c r="K111" s="21">
        <f t="shared" si="6"/>
        <v>0</v>
      </c>
      <c r="L111" s="21">
        <f t="shared" si="7"/>
        <v>0</v>
      </c>
      <c r="M111" s="21">
        <f t="shared" si="8"/>
        <v>0</v>
      </c>
      <c r="N111">
        <v>15</v>
      </c>
      <c r="O111">
        <f t="shared" si="9"/>
        <v>0</v>
      </c>
    </row>
    <row r="112" spans="1:15" ht="15" customHeight="1" x14ac:dyDescent="0.2">
      <c r="A112" t="s">
        <v>21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21">
        <f t="shared" si="5"/>
        <v>0</v>
      </c>
      <c r="K112" s="21">
        <f t="shared" si="6"/>
        <v>0</v>
      </c>
      <c r="L112" s="21">
        <f t="shared" si="7"/>
        <v>0</v>
      </c>
      <c r="M112" s="21">
        <f t="shared" si="8"/>
        <v>0</v>
      </c>
      <c r="N112">
        <v>15</v>
      </c>
      <c r="O112">
        <f t="shared" si="9"/>
        <v>0</v>
      </c>
    </row>
    <row r="113" spans="1:15" ht="15" customHeight="1" x14ac:dyDescent="0.2">
      <c r="A113" t="s">
        <v>22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21">
        <f t="shared" si="5"/>
        <v>0</v>
      </c>
      <c r="K113" s="21">
        <f t="shared" si="6"/>
        <v>0</v>
      </c>
      <c r="L113" s="21">
        <f t="shared" si="7"/>
        <v>0</v>
      </c>
      <c r="M113" s="21">
        <f t="shared" si="8"/>
        <v>0</v>
      </c>
      <c r="N113">
        <v>15</v>
      </c>
      <c r="O113">
        <f t="shared" si="9"/>
        <v>0</v>
      </c>
    </row>
    <row r="114" spans="1:15" ht="15" customHeight="1" x14ac:dyDescent="0.2">
      <c r="A114" t="s">
        <v>23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21">
        <f t="shared" si="5"/>
        <v>0</v>
      </c>
      <c r="K114" s="21">
        <f t="shared" si="6"/>
        <v>0</v>
      </c>
      <c r="L114" s="21">
        <f t="shared" si="7"/>
        <v>0</v>
      </c>
      <c r="M114" s="21">
        <f t="shared" si="8"/>
        <v>0</v>
      </c>
      <c r="N114">
        <v>15</v>
      </c>
      <c r="O114">
        <f t="shared" si="9"/>
        <v>0</v>
      </c>
    </row>
    <row r="115" spans="1:15" ht="15" customHeight="1" x14ac:dyDescent="0.2">
      <c r="A115" t="s">
        <v>24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21">
        <f t="shared" si="5"/>
        <v>0</v>
      </c>
      <c r="K115" s="21">
        <f t="shared" si="6"/>
        <v>0</v>
      </c>
      <c r="L115" s="21">
        <f t="shared" si="7"/>
        <v>0</v>
      </c>
      <c r="M115" s="21">
        <f t="shared" si="8"/>
        <v>0</v>
      </c>
      <c r="N115">
        <v>15</v>
      </c>
      <c r="O115">
        <f t="shared" si="9"/>
        <v>0</v>
      </c>
    </row>
    <row r="116" spans="1:15" ht="15" customHeight="1" x14ac:dyDescent="0.2">
      <c r="A116" t="s">
        <v>25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21">
        <f t="shared" si="5"/>
        <v>0</v>
      </c>
      <c r="K116" s="21">
        <f t="shared" si="6"/>
        <v>0</v>
      </c>
      <c r="L116" s="21">
        <f t="shared" si="7"/>
        <v>0</v>
      </c>
      <c r="M116" s="21">
        <f t="shared" si="8"/>
        <v>0</v>
      </c>
      <c r="N116">
        <v>15</v>
      </c>
      <c r="O116">
        <f t="shared" si="9"/>
        <v>0</v>
      </c>
    </row>
    <row r="117" spans="1:15" ht="15" customHeight="1" x14ac:dyDescent="0.2">
      <c r="A117" t="s">
        <v>26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21">
        <f t="shared" si="5"/>
        <v>0</v>
      </c>
      <c r="K117" s="21">
        <f t="shared" si="6"/>
        <v>0</v>
      </c>
      <c r="L117" s="21">
        <f t="shared" si="7"/>
        <v>0</v>
      </c>
      <c r="M117" s="21">
        <f t="shared" si="8"/>
        <v>0</v>
      </c>
      <c r="N117">
        <v>15</v>
      </c>
      <c r="O117">
        <f t="shared" si="9"/>
        <v>0</v>
      </c>
    </row>
    <row r="118" spans="1:15" ht="15" customHeight="1" x14ac:dyDescent="0.2">
      <c r="A118" t="s">
        <v>27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21">
        <f t="shared" si="5"/>
        <v>0</v>
      </c>
      <c r="K118" s="21">
        <f t="shared" si="6"/>
        <v>0</v>
      </c>
      <c r="L118" s="21">
        <f t="shared" si="7"/>
        <v>0</v>
      </c>
      <c r="M118" s="21">
        <f t="shared" si="8"/>
        <v>0</v>
      </c>
      <c r="N118">
        <v>15</v>
      </c>
      <c r="O118">
        <f t="shared" si="9"/>
        <v>0</v>
      </c>
    </row>
    <row r="119" spans="1:15" ht="15" customHeight="1" x14ac:dyDescent="0.2">
      <c r="A119" t="s">
        <v>28</v>
      </c>
      <c r="B119" s="18">
        <v>0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21">
        <f t="shared" si="5"/>
        <v>0</v>
      </c>
      <c r="K119" s="21">
        <f t="shared" si="6"/>
        <v>0</v>
      </c>
      <c r="L119" s="21">
        <f t="shared" si="7"/>
        <v>0</v>
      </c>
      <c r="M119" s="21">
        <f t="shared" si="8"/>
        <v>0</v>
      </c>
      <c r="N119">
        <v>15</v>
      </c>
      <c r="O119">
        <f t="shared" si="9"/>
        <v>0</v>
      </c>
    </row>
    <row r="120" spans="1:15" ht="15" customHeight="1" x14ac:dyDescent="0.2">
      <c r="A120" t="s">
        <v>29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21">
        <f t="shared" si="5"/>
        <v>0</v>
      </c>
      <c r="K120" s="21">
        <f t="shared" si="6"/>
        <v>0</v>
      </c>
      <c r="L120" s="21">
        <f t="shared" si="7"/>
        <v>0</v>
      </c>
      <c r="M120" s="21">
        <f t="shared" si="8"/>
        <v>0</v>
      </c>
      <c r="N120">
        <v>15</v>
      </c>
      <c r="O120">
        <f t="shared" si="9"/>
        <v>0</v>
      </c>
    </row>
    <row r="121" spans="1:15" ht="15" customHeight="1" x14ac:dyDescent="0.2">
      <c r="A121" t="s">
        <v>30</v>
      </c>
      <c r="B121" s="18">
        <v>0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21">
        <f t="shared" si="5"/>
        <v>0</v>
      </c>
      <c r="K121" s="21">
        <f t="shared" si="6"/>
        <v>0</v>
      </c>
      <c r="L121" s="21">
        <f t="shared" si="7"/>
        <v>0</v>
      </c>
      <c r="M121" s="21">
        <f t="shared" si="8"/>
        <v>0</v>
      </c>
      <c r="N121">
        <v>15</v>
      </c>
      <c r="O121">
        <f t="shared" si="9"/>
        <v>0</v>
      </c>
    </row>
    <row r="122" spans="1:15" ht="15" customHeight="1" x14ac:dyDescent="0.2">
      <c r="A122" t="s">
        <v>31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21">
        <f t="shared" si="5"/>
        <v>0</v>
      </c>
      <c r="K122" s="21">
        <f t="shared" si="6"/>
        <v>0</v>
      </c>
      <c r="L122" s="21">
        <f t="shared" si="7"/>
        <v>0</v>
      </c>
      <c r="M122" s="21">
        <f t="shared" si="8"/>
        <v>0</v>
      </c>
      <c r="N122">
        <v>15</v>
      </c>
      <c r="O122">
        <f t="shared" si="9"/>
        <v>0</v>
      </c>
    </row>
    <row r="123" spans="1:15" ht="15" customHeight="1" x14ac:dyDescent="0.2">
      <c r="A123" t="s">
        <v>32</v>
      </c>
      <c r="B123" s="18">
        <v>0</v>
      </c>
      <c r="C123" s="18">
        <v>0</v>
      </c>
      <c r="D123" s="18">
        <v>0</v>
      </c>
      <c r="E123" s="18">
        <v>0</v>
      </c>
      <c r="F123" s="18">
        <v>1</v>
      </c>
      <c r="G123" s="18">
        <v>0</v>
      </c>
      <c r="H123" s="18">
        <v>0</v>
      </c>
      <c r="I123" s="18">
        <v>0</v>
      </c>
      <c r="J123" s="21">
        <f t="shared" si="5"/>
        <v>0</v>
      </c>
      <c r="K123" s="21">
        <f t="shared" si="6"/>
        <v>0</v>
      </c>
      <c r="L123" s="21">
        <f t="shared" si="7"/>
        <v>1</v>
      </c>
      <c r="M123" s="21">
        <f t="shared" si="8"/>
        <v>0</v>
      </c>
      <c r="N123">
        <v>15</v>
      </c>
      <c r="O123">
        <f t="shared" si="9"/>
        <v>0</v>
      </c>
    </row>
    <row r="124" spans="1:15" ht="15" customHeight="1" x14ac:dyDescent="0.2">
      <c r="A124" t="s">
        <v>33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21">
        <f t="shared" si="5"/>
        <v>0</v>
      </c>
      <c r="K124" s="21">
        <f t="shared" si="6"/>
        <v>0</v>
      </c>
      <c r="L124" s="21">
        <f t="shared" si="7"/>
        <v>0</v>
      </c>
      <c r="M124" s="21">
        <f t="shared" si="8"/>
        <v>0</v>
      </c>
      <c r="N124">
        <v>15</v>
      </c>
      <c r="O124">
        <f t="shared" si="9"/>
        <v>1</v>
      </c>
    </row>
    <row r="125" spans="1:15" ht="15" customHeight="1" x14ac:dyDescent="0.2">
      <c r="A125" t="s">
        <v>34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21">
        <f t="shared" si="5"/>
        <v>0</v>
      </c>
      <c r="K125" s="21">
        <f t="shared" si="6"/>
        <v>0</v>
      </c>
      <c r="L125" s="21">
        <f t="shared" si="7"/>
        <v>0</v>
      </c>
      <c r="M125" s="21">
        <f t="shared" si="8"/>
        <v>0</v>
      </c>
      <c r="N125">
        <v>15</v>
      </c>
      <c r="O125">
        <f t="shared" si="9"/>
        <v>1</v>
      </c>
    </row>
    <row r="126" spans="1:15" ht="15" customHeight="1" x14ac:dyDescent="0.2">
      <c r="A126" t="s">
        <v>35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21">
        <f t="shared" si="5"/>
        <v>0</v>
      </c>
      <c r="K126" s="21">
        <f t="shared" si="6"/>
        <v>0</v>
      </c>
      <c r="L126" s="21">
        <f t="shared" si="7"/>
        <v>0</v>
      </c>
      <c r="M126" s="21">
        <f t="shared" si="8"/>
        <v>0</v>
      </c>
      <c r="N126">
        <v>15</v>
      </c>
      <c r="O126">
        <f t="shared" si="9"/>
        <v>1</v>
      </c>
    </row>
    <row r="127" spans="1:15" ht="15" customHeight="1" x14ac:dyDescent="0.2">
      <c r="A127" t="s">
        <v>36</v>
      </c>
      <c r="B127" s="18">
        <v>0</v>
      </c>
      <c r="C127" s="18">
        <v>0</v>
      </c>
      <c r="D127" s="18">
        <v>1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21">
        <f t="shared" si="5"/>
        <v>0</v>
      </c>
      <c r="K127" s="21">
        <f t="shared" si="6"/>
        <v>0</v>
      </c>
      <c r="L127" s="21">
        <f t="shared" si="7"/>
        <v>1</v>
      </c>
      <c r="M127" s="21">
        <f t="shared" si="8"/>
        <v>0</v>
      </c>
      <c r="N127">
        <v>15</v>
      </c>
      <c r="O127">
        <f t="shared" si="9"/>
        <v>1</v>
      </c>
    </row>
    <row r="128" spans="1:15" ht="15" customHeight="1" x14ac:dyDescent="0.2">
      <c r="A128" t="s">
        <v>37</v>
      </c>
      <c r="B128" s="18">
        <v>0</v>
      </c>
      <c r="C128" s="18">
        <v>0</v>
      </c>
      <c r="D128" s="18">
        <v>0</v>
      </c>
      <c r="E128" s="18">
        <v>0</v>
      </c>
      <c r="F128" s="18">
        <v>1</v>
      </c>
      <c r="G128" s="18">
        <v>0</v>
      </c>
      <c r="H128" s="18">
        <v>0</v>
      </c>
      <c r="I128" s="18">
        <v>0</v>
      </c>
      <c r="J128" s="21">
        <f t="shared" si="5"/>
        <v>0</v>
      </c>
      <c r="K128" s="21">
        <f t="shared" si="6"/>
        <v>0</v>
      </c>
      <c r="L128" s="21">
        <f t="shared" si="7"/>
        <v>1</v>
      </c>
      <c r="M128" s="21">
        <f t="shared" si="8"/>
        <v>0</v>
      </c>
      <c r="N128">
        <v>15</v>
      </c>
      <c r="O128">
        <f t="shared" si="9"/>
        <v>1</v>
      </c>
    </row>
    <row r="129" spans="1:16" ht="15" customHeight="1" x14ac:dyDescent="0.2">
      <c r="A129" t="s">
        <v>38</v>
      </c>
      <c r="B129" s="18">
        <v>0</v>
      </c>
      <c r="C129" s="18">
        <v>0</v>
      </c>
      <c r="D129" s="18">
        <v>0</v>
      </c>
      <c r="E129" s="18">
        <v>0</v>
      </c>
      <c r="F129" s="18">
        <v>0</v>
      </c>
      <c r="G129" s="18">
        <v>1</v>
      </c>
      <c r="H129" s="18">
        <v>0</v>
      </c>
      <c r="I129" s="18">
        <v>0</v>
      </c>
      <c r="J129" s="21">
        <f t="shared" si="5"/>
        <v>1</v>
      </c>
      <c r="K129" s="21">
        <f t="shared" si="6"/>
        <v>0</v>
      </c>
      <c r="L129" s="21">
        <f t="shared" si="7"/>
        <v>0</v>
      </c>
      <c r="M129" s="21">
        <f t="shared" si="8"/>
        <v>0</v>
      </c>
      <c r="N129">
        <v>15</v>
      </c>
      <c r="O129">
        <f t="shared" si="9"/>
        <v>2</v>
      </c>
    </row>
    <row r="130" spans="1:16" ht="15" customHeight="1" x14ac:dyDescent="0.2">
      <c r="A130" t="s">
        <v>39</v>
      </c>
      <c r="B130" s="18">
        <v>0</v>
      </c>
      <c r="C130" s="18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21">
        <f t="shared" si="5"/>
        <v>0</v>
      </c>
      <c r="K130" s="21">
        <f t="shared" si="6"/>
        <v>0</v>
      </c>
      <c r="L130" s="21">
        <f t="shared" si="7"/>
        <v>0</v>
      </c>
      <c r="M130" s="21">
        <f t="shared" si="8"/>
        <v>0</v>
      </c>
      <c r="N130">
        <v>15</v>
      </c>
      <c r="O130">
        <f t="shared" si="9"/>
        <v>3</v>
      </c>
    </row>
    <row r="131" spans="1:16" ht="15" customHeight="1" x14ac:dyDescent="0.2">
      <c r="A131" t="s">
        <v>40</v>
      </c>
      <c r="B131" s="18">
        <v>0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21">
        <f t="shared" si="5"/>
        <v>0</v>
      </c>
      <c r="K131" s="21">
        <f t="shared" si="6"/>
        <v>0</v>
      </c>
      <c r="L131" s="21">
        <f t="shared" si="7"/>
        <v>0</v>
      </c>
      <c r="M131" s="21">
        <f t="shared" si="8"/>
        <v>0</v>
      </c>
      <c r="N131">
        <v>15</v>
      </c>
      <c r="O131">
        <f t="shared" si="9"/>
        <v>3</v>
      </c>
    </row>
    <row r="132" spans="1:16" s="33" customFormat="1" ht="15" customHeight="1" x14ac:dyDescent="0.2">
      <c r="A132" s="33" t="s">
        <v>41</v>
      </c>
      <c r="B132" s="61">
        <v>0</v>
      </c>
      <c r="C132" s="61">
        <v>1</v>
      </c>
      <c r="D132" s="61">
        <v>0</v>
      </c>
      <c r="E132" s="61">
        <v>0</v>
      </c>
      <c r="F132" s="61">
        <v>0</v>
      </c>
      <c r="G132" s="61">
        <v>0</v>
      </c>
      <c r="H132" s="61">
        <v>0</v>
      </c>
      <c r="I132" s="61">
        <v>0</v>
      </c>
      <c r="J132" s="90">
        <f t="shared" si="5"/>
        <v>0</v>
      </c>
      <c r="K132" s="90">
        <f t="shared" si="6"/>
        <v>1</v>
      </c>
      <c r="L132" s="90">
        <f t="shared" si="7"/>
        <v>0</v>
      </c>
      <c r="M132" s="90">
        <f t="shared" si="8"/>
        <v>0</v>
      </c>
      <c r="N132">
        <v>15</v>
      </c>
      <c r="O132" s="33">
        <f t="shared" si="9"/>
        <v>2</v>
      </c>
    </row>
    <row r="133" spans="1:16" s="33" customFormat="1" ht="15" customHeight="1" x14ac:dyDescent="0.2">
      <c r="A133" s="33" t="s">
        <v>42</v>
      </c>
      <c r="B133" s="61">
        <v>0</v>
      </c>
      <c r="C133" s="61">
        <v>0</v>
      </c>
      <c r="D133" s="61">
        <v>0</v>
      </c>
      <c r="E133" s="61">
        <v>0</v>
      </c>
      <c r="F133" s="61">
        <v>0</v>
      </c>
      <c r="G133" s="61">
        <v>0</v>
      </c>
      <c r="H133" s="61">
        <v>0</v>
      </c>
      <c r="I133" s="61">
        <v>0</v>
      </c>
      <c r="J133" s="90">
        <f t="shared" si="5"/>
        <v>0</v>
      </c>
      <c r="K133" s="90">
        <f t="shared" si="6"/>
        <v>0</v>
      </c>
      <c r="L133" s="90">
        <f t="shared" si="7"/>
        <v>0</v>
      </c>
      <c r="M133" s="90">
        <f t="shared" si="8"/>
        <v>0</v>
      </c>
      <c r="N133">
        <v>15</v>
      </c>
      <c r="O133" s="33">
        <f t="shared" si="9"/>
        <v>2</v>
      </c>
    </row>
    <row r="134" spans="1:16" s="33" customFormat="1" ht="15" customHeight="1" x14ac:dyDescent="0.2">
      <c r="A134" s="33" t="s">
        <v>43</v>
      </c>
      <c r="B134" s="61">
        <v>0</v>
      </c>
      <c r="C134" s="61">
        <v>0</v>
      </c>
      <c r="D134" s="61">
        <v>0</v>
      </c>
      <c r="E134" s="61">
        <v>0</v>
      </c>
      <c r="F134" s="61">
        <v>0</v>
      </c>
      <c r="G134" s="61">
        <v>0</v>
      </c>
      <c r="H134" s="61">
        <v>0</v>
      </c>
      <c r="I134" s="61">
        <v>0</v>
      </c>
      <c r="J134" s="90">
        <f t="shared" si="5"/>
        <v>0</v>
      </c>
      <c r="K134" s="90">
        <f t="shared" si="6"/>
        <v>0</v>
      </c>
      <c r="L134" s="90">
        <f t="shared" si="7"/>
        <v>0</v>
      </c>
      <c r="M134" s="90">
        <f t="shared" si="8"/>
        <v>0</v>
      </c>
      <c r="N134">
        <v>15</v>
      </c>
      <c r="O134" s="33">
        <f t="shared" si="9"/>
        <v>1</v>
      </c>
    </row>
    <row r="135" spans="1:16" s="33" customFormat="1" ht="15" customHeight="1" x14ac:dyDescent="0.2">
      <c r="A135" s="33" t="s">
        <v>44</v>
      </c>
      <c r="B135" s="61">
        <v>0</v>
      </c>
      <c r="C135" s="61">
        <v>0</v>
      </c>
      <c r="D135" s="61">
        <v>0</v>
      </c>
      <c r="E135" s="61">
        <v>0</v>
      </c>
      <c r="F135" s="61">
        <v>0</v>
      </c>
      <c r="G135" s="61">
        <v>0</v>
      </c>
      <c r="H135" s="61">
        <v>0</v>
      </c>
      <c r="I135" s="61">
        <v>0</v>
      </c>
      <c r="J135" s="90">
        <f t="shared" si="5"/>
        <v>0</v>
      </c>
      <c r="K135" s="90">
        <f t="shared" si="6"/>
        <v>0</v>
      </c>
      <c r="L135" s="90">
        <f t="shared" si="7"/>
        <v>0</v>
      </c>
      <c r="M135" s="90">
        <f t="shared" si="8"/>
        <v>0</v>
      </c>
      <c r="N135">
        <v>15</v>
      </c>
      <c r="O135" s="33">
        <f t="shared" si="9"/>
        <v>1</v>
      </c>
    </row>
    <row r="136" spans="1:16" s="33" customFormat="1" ht="15" customHeight="1" x14ac:dyDescent="0.2">
      <c r="A136" s="33" t="s">
        <v>45</v>
      </c>
      <c r="B136" s="61">
        <v>0</v>
      </c>
      <c r="C136" s="61">
        <v>0</v>
      </c>
      <c r="D136" s="61">
        <v>0</v>
      </c>
      <c r="E136" s="61">
        <v>0</v>
      </c>
      <c r="F136" s="61">
        <v>0</v>
      </c>
      <c r="G136" s="61">
        <v>0</v>
      </c>
      <c r="H136" s="61">
        <v>0</v>
      </c>
      <c r="I136" s="61">
        <v>0</v>
      </c>
      <c r="J136" s="90">
        <f t="shared" si="5"/>
        <v>0</v>
      </c>
      <c r="K136" s="90">
        <f t="shared" si="6"/>
        <v>0</v>
      </c>
      <c r="L136" s="90">
        <f t="shared" si="7"/>
        <v>0</v>
      </c>
      <c r="M136" s="90">
        <f t="shared" si="8"/>
        <v>0</v>
      </c>
      <c r="N136">
        <v>15</v>
      </c>
      <c r="O136" s="33">
        <f t="shared" si="9"/>
        <v>1</v>
      </c>
    </row>
    <row r="137" spans="1:16" s="33" customFormat="1" ht="15" customHeight="1" x14ac:dyDescent="0.2">
      <c r="A137" s="33" t="s">
        <v>46</v>
      </c>
      <c r="B137" s="61">
        <v>0</v>
      </c>
      <c r="C137" s="61">
        <v>0</v>
      </c>
      <c r="D137" s="61">
        <v>1</v>
      </c>
      <c r="E137" s="61">
        <v>0</v>
      </c>
      <c r="F137" s="61">
        <v>0</v>
      </c>
      <c r="G137" s="61">
        <v>0</v>
      </c>
      <c r="H137" s="61">
        <v>0</v>
      </c>
      <c r="I137" s="61">
        <v>0</v>
      </c>
      <c r="J137" s="90">
        <f t="shared" si="5"/>
        <v>0</v>
      </c>
      <c r="K137" s="90">
        <f t="shared" si="6"/>
        <v>0</v>
      </c>
      <c r="L137" s="90">
        <f t="shared" si="7"/>
        <v>1</v>
      </c>
      <c r="M137" s="90">
        <f t="shared" si="8"/>
        <v>0</v>
      </c>
      <c r="N137">
        <v>15</v>
      </c>
      <c r="O137" s="33">
        <f t="shared" si="9"/>
        <v>0</v>
      </c>
    </row>
    <row r="138" spans="1:16" s="33" customFormat="1" ht="15" customHeight="1" x14ac:dyDescent="0.2">
      <c r="A138" s="33" t="s">
        <v>47</v>
      </c>
      <c r="B138" s="61">
        <v>0</v>
      </c>
      <c r="C138" s="61">
        <v>0</v>
      </c>
      <c r="D138" s="61">
        <v>1</v>
      </c>
      <c r="E138" s="61">
        <v>0</v>
      </c>
      <c r="F138" s="61">
        <v>0</v>
      </c>
      <c r="G138" s="61">
        <v>0</v>
      </c>
      <c r="H138" s="61">
        <v>0</v>
      </c>
      <c r="I138" s="61">
        <v>0</v>
      </c>
      <c r="J138" s="90">
        <f t="shared" ref="J138:J201" si="10">SUM(E138,G138)</f>
        <v>0</v>
      </c>
      <c r="K138" s="90">
        <f t="shared" ref="K138:K201" si="11">SUM(C138,I138)</f>
        <v>0</v>
      </c>
      <c r="L138" s="90">
        <f t="shared" ref="L138:L201" si="12">SUM(D138,F138)</f>
        <v>1</v>
      </c>
      <c r="M138" s="90">
        <f t="shared" ref="M138:M201" si="13">SUM(B138,H138)</f>
        <v>0</v>
      </c>
      <c r="N138">
        <v>15</v>
      </c>
      <c r="O138" s="33">
        <f t="shared" si="9"/>
        <v>1</v>
      </c>
    </row>
    <row r="139" spans="1:16" s="33" customFormat="1" ht="15" customHeight="1" x14ac:dyDescent="0.2">
      <c r="A139" s="33" t="s">
        <v>48</v>
      </c>
      <c r="B139" s="61">
        <v>0</v>
      </c>
      <c r="C139" s="61">
        <v>0</v>
      </c>
      <c r="D139" s="61">
        <v>0</v>
      </c>
      <c r="E139" s="61">
        <v>0</v>
      </c>
      <c r="F139" s="61">
        <v>1</v>
      </c>
      <c r="G139" s="61">
        <v>0</v>
      </c>
      <c r="H139" s="61">
        <v>0</v>
      </c>
      <c r="I139" s="61">
        <v>0</v>
      </c>
      <c r="J139" s="90">
        <f t="shared" si="10"/>
        <v>0</v>
      </c>
      <c r="K139" s="90">
        <f t="shared" si="11"/>
        <v>0</v>
      </c>
      <c r="L139" s="90">
        <f t="shared" si="12"/>
        <v>1</v>
      </c>
      <c r="M139" s="90">
        <f t="shared" si="13"/>
        <v>0</v>
      </c>
      <c r="N139">
        <v>15</v>
      </c>
      <c r="O139" s="33">
        <f t="shared" si="9"/>
        <v>2</v>
      </c>
    </row>
    <row r="140" spans="1:16" s="33" customFormat="1" ht="15" customHeight="1" x14ac:dyDescent="0.2">
      <c r="A140" s="33" t="s">
        <v>49</v>
      </c>
      <c r="B140" s="61">
        <v>0</v>
      </c>
      <c r="C140" s="61">
        <v>0</v>
      </c>
      <c r="D140" s="61">
        <v>0</v>
      </c>
      <c r="E140" s="61">
        <v>0</v>
      </c>
      <c r="F140" s="61">
        <v>0</v>
      </c>
      <c r="G140" s="61">
        <v>0</v>
      </c>
      <c r="H140" s="61">
        <v>0</v>
      </c>
      <c r="I140" s="61">
        <v>0</v>
      </c>
      <c r="J140" s="90">
        <f t="shared" si="10"/>
        <v>0</v>
      </c>
      <c r="K140" s="90">
        <f t="shared" si="11"/>
        <v>0</v>
      </c>
      <c r="L140" s="90">
        <f t="shared" si="12"/>
        <v>0</v>
      </c>
      <c r="M140" s="90">
        <f t="shared" si="13"/>
        <v>0</v>
      </c>
      <c r="N140">
        <v>15</v>
      </c>
      <c r="O140" s="33">
        <f t="shared" si="9"/>
        <v>3</v>
      </c>
    </row>
    <row r="141" spans="1:16" s="33" customFormat="1" ht="15" customHeight="1" x14ac:dyDescent="0.2">
      <c r="A141" s="33" t="s">
        <v>50</v>
      </c>
      <c r="B141" s="61">
        <v>0</v>
      </c>
      <c r="C141" s="61">
        <v>0</v>
      </c>
      <c r="D141" s="61">
        <v>0</v>
      </c>
      <c r="E141" s="61">
        <v>0</v>
      </c>
      <c r="F141" s="61">
        <v>0</v>
      </c>
      <c r="G141" s="61">
        <v>0</v>
      </c>
      <c r="H141" s="61">
        <v>0</v>
      </c>
      <c r="I141" s="61">
        <v>0</v>
      </c>
      <c r="J141" s="90">
        <f t="shared" si="10"/>
        <v>0</v>
      </c>
      <c r="K141" s="90">
        <f t="shared" si="11"/>
        <v>0</v>
      </c>
      <c r="L141" s="90">
        <f t="shared" si="12"/>
        <v>0</v>
      </c>
      <c r="M141" s="90">
        <f t="shared" si="13"/>
        <v>0</v>
      </c>
      <c r="N141">
        <v>15</v>
      </c>
      <c r="O141" s="33">
        <f t="shared" si="9"/>
        <v>3</v>
      </c>
      <c r="P141" s="33">
        <f>SUM(J134:M141)/2</f>
        <v>1.5</v>
      </c>
    </row>
    <row r="142" spans="1:16" s="33" customFormat="1" ht="15" customHeight="1" x14ac:dyDescent="0.2">
      <c r="A142" s="33" t="s">
        <v>51</v>
      </c>
      <c r="B142" s="61">
        <v>0</v>
      </c>
      <c r="C142" s="61">
        <v>0</v>
      </c>
      <c r="D142" s="61">
        <v>0</v>
      </c>
      <c r="E142" s="61">
        <v>0</v>
      </c>
      <c r="F142" s="61">
        <v>0</v>
      </c>
      <c r="G142" s="61">
        <v>0</v>
      </c>
      <c r="H142" s="61">
        <v>0</v>
      </c>
      <c r="I142" s="61">
        <v>1</v>
      </c>
      <c r="J142" s="90">
        <f t="shared" si="10"/>
        <v>0</v>
      </c>
      <c r="K142" s="90">
        <f t="shared" si="11"/>
        <v>1</v>
      </c>
      <c r="L142" s="90">
        <f t="shared" si="12"/>
        <v>0</v>
      </c>
      <c r="M142" s="90">
        <f t="shared" si="13"/>
        <v>0</v>
      </c>
      <c r="N142">
        <v>15</v>
      </c>
      <c r="O142" s="33">
        <f t="shared" si="9"/>
        <v>2</v>
      </c>
    </row>
    <row r="143" spans="1:16" s="33" customFormat="1" ht="15" customHeight="1" x14ac:dyDescent="0.2">
      <c r="A143" s="33" t="s">
        <v>52</v>
      </c>
      <c r="B143" s="61">
        <v>0</v>
      </c>
      <c r="C143" s="61">
        <v>0</v>
      </c>
      <c r="D143" s="61">
        <v>2</v>
      </c>
      <c r="E143" s="61">
        <v>0</v>
      </c>
      <c r="F143" s="61">
        <v>1</v>
      </c>
      <c r="G143" s="61">
        <v>0</v>
      </c>
      <c r="H143" s="61">
        <v>0</v>
      </c>
      <c r="I143" s="61">
        <v>0</v>
      </c>
      <c r="J143" s="90">
        <f t="shared" si="10"/>
        <v>0</v>
      </c>
      <c r="K143" s="90">
        <f t="shared" si="11"/>
        <v>0</v>
      </c>
      <c r="L143" s="90">
        <f t="shared" si="12"/>
        <v>3</v>
      </c>
      <c r="M143" s="90">
        <f t="shared" si="13"/>
        <v>0</v>
      </c>
      <c r="N143">
        <v>15</v>
      </c>
      <c r="O143" s="33">
        <f t="shared" ref="O143:O201" si="14">SUM(J139:M142)</f>
        <v>2</v>
      </c>
    </row>
    <row r="144" spans="1:16" s="33" customFormat="1" ht="15" customHeight="1" x14ac:dyDescent="0.2">
      <c r="A144" s="33" t="s">
        <v>53</v>
      </c>
      <c r="B144" s="61">
        <v>0</v>
      </c>
      <c r="C144" s="61">
        <v>0</v>
      </c>
      <c r="D144" s="61">
        <v>0</v>
      </c>
      <c r="E144" s="61">
        <v>0</v>
      </c>
      <c r="F144" s="61">
        <v>0</v>
      </c>
      <c r="G144" s="61">
        <v>0</v>
      </c>
      <c r="H144" s="61">
        <v>0</v>
      </c>
      <c r="I144" s="61">
        <v>0</v>
      </c>
      <c r="J144" s="90">
        <f t="shared" si="10"/>
        <v>0</v>
      </c>
      <c r="K144" s="90">
        <f t="shared" si="11"/>
        <v>0</v>
      </c>
      <c r="L144" s="90">
        <f t="shared" si="12"/>
        <v>0</v>
      </c>
      <c r="M144" s="90">
        <f t="shared" si="13"/>
        <v>0</v>
      </c>
      <c r="N144">
        <v>15</v>
      </c>
      <c r="O144" s="33">
        <f t="shared" si="14"/>
        <v>4</v>
      </c>
    </row>
    <row r="145" spans="1:15" s="33" customFormat="1" ht="15" customHeight="1" x14ac:dyDescent="0.2">
      <c r="A145" s="33" t="s">
        <v>54</v>
      </c>
      <c r="B145" s="61">
        <v>0</v>
      </c>
      <c r="C145" s="61">
        <v>0</v>
      </c>
      <c r="D145" s="61">
        <v>1</v>
      </c>
      <c r="E145" s="61">
        <v>0</v>
      </c>
      <c r="F145" s="61">
        <v>0</v>
      </c>
      <c r="G145" s="61">
        <v>0</v>
      </c>
      <c r="H145" s="61">
        <v>0</v>
      </c>
      <c r="I145" s="61">
        <v>0</v>
      </c>
      <c r="J145" s="90">
        <f t="shared" si="10"/>
        <v>0</v>
      </c>
      <c r="K145" s="90">
        <f t="shared" si="11"/>
        <v>0</v>
      </c>
      <c r="L145" s="90">
        <f t="shared" si="12"/>
        <v>1</v>
      </c>
      <c r="M145" s="90">
        <f t="shared" si="13"/>
        <v>0</v>
      </c>
      <c r="N145">
        <v>15</v>
      </c>
      <c r="O145" s="33">
        <f t="shared" si="14"/>
        <v>4</v>
      </c>
    </row>
    <row r="146" spans="1:15" s="33" customFormat="1" ht="15" customHeight="1" x14ac:dyDescent="0.2">
      <c r="A146" s="33" t="s">
        <v>55</v>
      </c>
      <c r="B146" s="61">
        <v>0</v>
      </c>
      <c r="C146" s="61">
        <v>0</v>
      </c>
      <c r="D146" s="61">
        <v>0</v>
      </c>
      <c r="E146" s="61">
        <v>0</v>
      </c>
      <c r="F146" s="61">
        <v>1</v>
      </c>
      <c r="G146" s="61">
        <v>0</v>
      </c>
      <c r="H146" s="61">
        <v>0</v>
      </c>
      <c r="I146" s="61">
        <v>0</v>
      </c>
      <c r="J146" s="90">
        <f t="shared" si="10"/>
        <v>0</v>
      </c>
      <c r="K146" s="90">
        <f t="shared" si="11"/>
        <v>0</v>
      </c>
      <c r="L146" s="90">
        <f t="shared" si="12"/>
        <v>1</v>
      </c>
      <c r="M146" s="90">
        <f t="shared" si="13"/>
        <v>0</v>
      </c>
      <c r="N146">
        <v>15</v>
      </c>
      <c r="O146" s="33">
        <f t="shared" si="14"/>
        <v>5</v>
      </c>
    </row>
    <row r="147" spans="1:15" s="33" customFormat="1" ht="15" customHeight="1" x14ac:dyDescent="0.2">
      <c r="A147" s="33" t="s">
        <v>56</v>
      </c>
      <c r="B147" s="61">
        <v>0</v>
      </c>
      <c r="C147" s="61">
        <v>0</v>
      </c>
      <c r="D147" s="61">
        <v>0</v>
      </c>
      <c r="E147" s="61">
        <v>0</v>
      </c>
      <c r="F147" s="61">
        <v>0</v>
      </c>
      <c r="G147" s="61">
        <v>0</v>
      </c>
      <c r="H147" s="61">
        <v>0</v>
      </c>
      <c r="I147" s="61">
        <v>0</v>
      </c>
      <c r="J147" s="90">
        <f t="shared" si="10"/>
        <v>0</v>
      </c>
      <c r="K147" s="90">
        <f t="shared" si="11"/>
        <v>0</v>
      </c>
      <c r="L147" s="90">
        <f t="shared" si="12"/>
        <v>0</v>
      </c>
      <c r="M147" s="90">
        <f t="shared" si="13"/>
        <v>0</v>
      </c>
      <c r="N147">
        <v>15</v>
      </c>
      <c r="O147" s="33">
        <f t="shared" si="14"/>
        <v>5</v>
      </c>
    </row>
    <row r="148" spans="1:15" s="33" customFormat="1" ht="15" customHeight="1" x14ac:dyDescent="0.2">
      <c r="A148" s="33" t="s">
        <v>57</v>
      </c>
      <c r="B148" s="61">
        <v>0</v>
      </c>
      <c r="C148" s="61">
        <v>0</v>
      </c>
      <c r="D148" s="61">
        <v>0</v>
      </c>
      <c r="E148" s="61">
        <v>0</v>
      </c>
      <c r="F148" s="61">
        <v>0</v>
      </c>
      <c r="G148" s="61">
        <v>0</v>
      </c>
      <c r="H148" s="61">
        <v>0</v>
      </c>
      <c r="I148" s="61">
        <v>0</v>
      </c>
      <c r="J148" s="90">
        <f t="shared" si="10"/>
        <v>0</v>
      </c>
      <c r="K148" s="90">
        <f t="shared" si="11"/>
        <v>0</v>
      </c>
      <c r="L148" s="90">
        <f t="shared" si="12"/>
        <v>0</v>
      </c>
      <c r="M148" s="90">
        <f t="shared" si="13"/>
        <v>0</v>
      </c>
      <c r="N148">
        <v>15</v>
      </c>
      <c r="O148" s="33">
        <f t="shared" si="14"/>
        <v>2</v>
      </c>
    </row>
    <row r="149" spans="1:15" s="33" customFormat="1" ht="15" customHeight="1" x14ac:dyDescent="0.2">
      <c r="A149" s="33" t="s">
        <v>58</v>
      </c>
      <c r="B149" s="61">
        <v>0</v>
      </c>
      <c r="C149" s="61">
        <v>0</v>
      </c>
      <c r="D149" s="61">
        <v>0</v>
      </c>
      <c r="E149" s="61">
        <v>0</v>
      </c>
      <c r="F149" s="61">
        <v>0</v>
      </c>
      <c r="G149" s="61">
        <v>0</v>
      </c>
      <c r="H149" s="61">
        <v>0</v>
      </c>
      <c r="I149" s="61">
        <v>0</v>
      </c>
      <c r="J149" s="90">
        <f t="shared" si="10"/>
        <v>0</v>
      </c>
      <c r="K149" s="90">
        <f t="shared" si="11"/>
        <v>0</v>
      </c>
      <c r="L149" s="90">
        <f t="shared" si="12"/>
        <v>0</v>
      </c>
      <c r="M149" s="90">
        <f t="shared" si="13"/>
        <v>0</v>
      </c>
      <c r="N149">
        <v>15</v>
      </c>
      <c r="O149" s="33">
        <f t="shared" si="14"/>
        <v>2</v>
      </c>
    </row>
    <row r="150" spans="1:15" s="33" customFormat="1" ht="15" customHeight="1" x14ac:dyDescent="0.2">
      <c r="A150" s="33" t="s">
        <v>59</v>
      </c>
      <c r="B150" s="61">
        <v>0</v>
      </c>
      <c r="C150" s="61">
        <v>0</v>
      </c>
      <c r="D150" s="61">
        <v>1</v>
      </c>
      <c r="E150" s="61">
        <v>0</v>
      </c>
      <c r="F150" s="61">
        <v>1</v>
      </c>
      <c r="G150" s="61">
        <v>0</v>
      </c>
      <c r="H150" s="61">
        <v>0</v>
      </c>
      <c r="I150" s="61">
        <v>0</v>
      </c>
      <c r="J150" s="90">
        <f t="shared" si="10"/>
        <v>0</v>
      </c>
      <c r="K150" s="90">
        <f t="shared" si="11"/>
        <v>0</v>
      </c>
      <c r="L150" s="90">
        <f t="shared" si="12"/>
        <v>2</v>
      </c>
      <c r="M150" s="90">
        <f t="shared" si="13"/>
        <v>0</v>
      </c>
      <c r="N150">
        <v>15</v>
      </c>
      <c r="O150" s="33">
        <f t="shared" si="14"/>
        <v>1</v>
      </c>
    </row>
    <row r="151" spans="1:15" s="33" customFormat="1" ht="15" customHeight="1" x14ac:dyDescent="0.2">
      <c r="A151" s="33" t="s">
        <v>60</v>
      </c>
      <c r="B151" s="61">
        <v>0</v>
      </c>
      <c r="C151" s="61">
        <v>0</v>
      </c>
      <c r="D151" s="61">
        <v>1</v>
      </c>
      <c r="E151" s="61">
        <v>0</v>
      </c>
      <c r="F151" s="61">
        <v>0</v>
      </c>
      <c r="G151" s="61">
        <v>0</v>
      </c>
      <c r="H151" s="61">
        <v>0</v>
      </c>
      <c r="I151" s="61">
        <v>0</v>
      </c>
      <c r="J151" s="90">
        <f t="shared" si="10"/>
        <v>0</v>
      </c>
      <c r="K151" s="90">
        <f t="shared" si="11"/>
        <v>0</v>
      </c>
      <c r="L151" s="90">
        <f t="shared" si="12"/>
        <v>1</v>
      </c>
      <c r="M151" s="90">
        <f t="shared" si="13"/>
        <v>0</v>
      </c>
      <c r="N151">
        <v>15</v>
      </c>
      <c r="O151" s="33">
        <f t="shared" si="14"/>
        <v>2</v>
      </c>
    </row>
    <row r="152" spans="1:15" s="33" customFormat="1" ht="15" customHeight="1" x14ac:dyDescent="0.2">
      <c r="A152" s="33" t="s">
        <v>61</v>
      </c>
      <c r="B152" s="61">
        <v>0</v>
      </c>
      <c r="C152" s="61">
        <v>0</v>
      </c>
      <c r="D152" s="61">
        <v>2</v>
      </c>
      <c r="E152" s="61">
        <v>0</v>
      </c>
      <c r="F152" s="61">
        <v>0</v>
      </c>
      <c r="G152" s="61">
        <v>1</v>
      </c>
      <c r="H152" s="61">
        <v>0</v>
      </c>
      <c r="I152" s="61">
        <v>0</v>
      </c>
      <c r="J152" s="90">
        <f t="shared" si="10"/>
        <v>1</v>
      </c>
      <c r="K152" s="90">
        <f t="shared" si="11"/>
        <v>0</v>
      </c>
      <c r="L152" s="90">
        <f t="shared" si="12"/>
        <v>2</v>
      </c>
      <c r="M152" s="90">
        <f t="shared" si="13"/>
        <v>0</v>
      </c>
      <c r="N152">
        <v>15</v>
      </c>
      <c r="O152" s="33">
        <f t="shared" si="14"/>
        <v>3</v>
      </c>
    </row>
    <row r="153" spans="1:15" s="33" customFormat="1" ht="15" customHeight="1" x14ac:dyDescent="0.2">
      <c r="A153" s="33" t="s">
        <v>62</v>
      </c>
      <c r="B153" s="61">
        <v>0</v>
      </c>
      <c r="C153" s="61">
        <v>0</v>
      </c>
      <c r="D153" s="61">
        <v>2</v>
      </c>
      <c r="E153" s="61">
        <v>0</v>
      </c>
      <c r="F153" s="61">
        <v>0</v>
      </c>
      <c r="G153" s="61">
        <v>0</v>
      </c>
      <c r="H153" s="61">
        <v>1</v>
      </c>
      <c r="I153" s="61">
        <v>0</v>
      </c>
      <c r="J153" s="90">
        <f t="shared" si="10"/>
        <v>0</v>
      </c>
      <c r="K153" s="90">
        <f t="shared" si="11"/>
        <v>0</v>
      </c>
      <c r="L153" s="90">
        <f t="shared" si="12"/>
        <v>2</v>
      </c>
      <c r="M153" s="90">
        <f t="shared" si="13"/>
        <v>1</v>
      </c>
      <c r="N153">
        <v>15</v>
      </c>
      <c r="O153" s="33">
        <f t="shared" si="14"/>
        <v>6</v>
      </c>
    </row>
    <row r="154" spans="1:15" s="33" customFormat="1" ht="15" customHeight="1" x14ac:dyDescent="0.2">
      <c r="A154" s="33" t="s">
        <v>63</v>
      </c>
      <c r="B154" s="61">
        <v>0</v>
      </c>
      <c r="C154" s="61">
        <v>0</v>
      </c>
      <c r="D154" s="61">
        <v>0</v>
      </c>
      <c r="E154" s="61">
        <v>0</v>
      </c>
      <c r="F154" s="61">
        <v>0</v>
      </c>
      <c r="G154" s="61">
        <v>0</v>
      </c>
      <c r="H154" s="61">
        <v>0</v>
      </c>
      <c r="I154" s="61">
        <v>0</v>
      </c>
      <c r="J154" s="90">
        <f t="shared" si="10"/>
        <v>0</v>
      </c>
      <c r="K154" s="90">
        <f t="shared" si="11"/>
        <v>0</v>
      </c>
      <c r="L154" s="90">
        <f t="shared" si="12"/>
        <v>0</v>
      </c>
      <c r="M154" s="90">
        <f t="shared" si="13"/>
        <v>0</v>
      </c>
      <c r="N154">
        <v>15</v>
      </c>
      <c r="O154" s="33">
        <f t="shared" si="14"/>
        <v>9</v>
      </c>
    </row>
    <row r="155" spans="1:15" s="33" customFormat="1" ht="15" customHeight="1" x14ac:dyDescent="0.2">
      <c r="A155" s="33" t="s">
        <v>64</v>
      </c>
      <c r="B155" s="61">
        <v>0</v>
      </c>
      <c r="C155" s="61">
        <v>0</v>
      </c>
      <c r="D155" s="61">
        <v>0</v>
      </c>
      <c r="E155" s="61">
        <v>0</v>
      </c>
      <c r="F155" s="61">
        <v>0</v>
      </c>
      <c r="G155" s="61">
        <v>0</v>
      </c>
      <c r="H155" s="61">
        <v>0</v>
      </c>
      <c r="I155" s="61">
        <v>0</v>
      </c>
      <c r="J155" s="90">
        <f t="shared" si="10"/>
        <v>0</v>
      </c>
      <c r="K155" s="90">
        <f t="shared" si="11"/>
        <v>0</v>
      </c>
      <c r="L155" s="90">
        <f t="shared" si="12"/>
        <v>0</v>
      </c>
      <c r="M155" s="90">
        <f t="shared" si="13"/>
        <v>0</v>
      </c>
      <c r="N155">
        <v>15</v>
      </c>
      <c r="O155" s="33">
        <f t="shared" si="14"/>
        <v>7</v>
      </c>
    </row>
    <row r="156" spans="1:15" s="33" customFormat="1" ht="15" customHeight="1" x14ac:dyDescent="0.2">
      <c r="A156" s="33" t="s">
        <v>65</v>
      </c>
      <c r="B156" s="61">
        <v>0</v>
      </c>
      <c r="C156" s="61">
        <v>0</v>
      </c>
      <c r="D156" s="61">
        <v>1</v>
      </c>
      <c r="E156" s="61">
        <v>0</v>
      </c>
      <c r="F156" s="61">
        <v>1</v>
      </c>
      <c r="G156" s="61">
        <v>1</v>
      </c>
      <c r="H156" s="61">
        <v>0</v>
      </c>
      <c r="I156" s="61">
        <v>0</v>
      </c>
      <c r="J156" s="90">
        <f t="shared" si="10"/>
        <v>1</v>
      </c>
      <c r="K156" s="90">
        <f t="shared" si="11"/>
        <v>0</v>
      </c>
      <c r="L156" s="90">
        <f t="shared" si="12"/>
        <v>2</v>
      </c>
      <c r="M156" s="90">
        <f t="shared" si="13"/>
        <v>0</v>
      </c>
      <c r="N156">
        <v>15</v>
      </c>
      <c r="O156" s="33">
        <f t="shared" si="14"/>
        <v>6</v>
      </c>
    </row>
    <row r="157" spans="1:15" s="33" customFormat="1" ht="15" customHeight="1" x14ac:dyDescent="0.2">
      <c r="A157" s="33" t="s">
        <v>66</v>
      </c>
      <c r="B157" s="61">
        <v>0</v>
      </c>
      <c r="C157" s="61">
        <v>0</v>
      </c>
      <c r="D157" s="61">
        <v>0</v>
      </c>
      <c r="E157" s="61">
        <v>0</v>
      </c>
      <c r="F157" s="61">
        <v>0</v>
      </c>
      <c r="G157" s="61">
        <v>0</v>
      </c>
      <c r="H157" s="61">
        <v>0</v>
      </c>
      <c r="I157" s="61">
        <v>1</v>
      </c>
      <c r="J157" s="90">
        <f t="shared" si="10"/>
        <v>0</v>
      </c>
      <c r="K157" s="90">
        <f t="shared" si="11"/>
        <v>1</v>
      </c>
      <c r="L157" s="90">
        <f t="shared" si="12"/>
        <v>0</v>
      </c>
      <c r="M157" s="90">
        <f t="shared" si="13"/>
        <v>0</v>
      </c>
      <c r="N157">
        <v>15</v>
      </c>
      <c r="O157" s="33">
        <f t="shared" si="14"/>
        <v>6</v>
      </c>
    </row>
    <row r="158" spans="1:15" s="33" customFormat="1" ht="15" customHeight="1" x14ac:dyDescent="0.2">
      <c r="A158" s="33" t="s">
        <v>67</v>
      </c>
      <c r="B158" s="61">
        <v>0</v>
      </c>
      <c r="C158" s="61">
        <v>0</v>
      </c>
      <c r="D158" s="61">
        <v>1</v>
      </c>
      <c r="E158" s="61">
        <v>0</v>
      </c>
      <c r="F158" s="61">
        <v>0</v>
      </c>
      <c r="G158" s="61">
        <v>0</v>
      </c>
      <c r="H158" s="61">
        <v>0</v>
      </c>
      <c r="I158" s="61">
        <v>0</v>
      </c>
      <c r="J158" s="90">
        <f t="shared" si="10"/>
        <v>0</v>
      </c>
      <c r="K158" s="90">
        <f t="shared" si="11"/>
        <v>0</v>
      </c>
      <c r="L158" s="90">
        <f t="shared" si="12"/>
        <v>1</v>
      </c>
      <c r="M158" s="90">
        <f t="shared" si="13"/>
        <v>0</v>
      </c>
      <c r="N158">
        <v>15</v>
      </c>
      <c r="O158" s="33">
        <f t="shared" si="14"/>
        <v>4</v>
      </c>
    </row>
    <row r="159" spans="1:15" s="33" customFormat="1" ht="15" customHeight="1" x14ac:dyDescent="0.2">
      <c r="A159" s="33" t="s">
        <v>68</v>
      </c>
      <c r="B159" s="61">
        <v>0</v>
      </c>
      <c r="C159" s="61">
        <v>0</v>
      </c>
      <c r="D159" s="61">
        <v>2</v>
      </c>
      <c r="E159" s="61">
        <v>0</v>
      </c>
      <c r="F159" s="61">
        <v>1</v>
      </c>
      <c r="G159" s="61">
        <v>0</v>
      </c>
      <c r="H159" s="61">
        <v>0</v>
      </c>
      <c r="I159" s="61">
        <v>0</v>
      </c>
      <c r="J159" s="90">
        <f t="shared" si="10"/>
        <v>0</v>
      </c>
      <c r="K159" s="90">
        <f t="shared" si="11"/>
        <v>0</v>
      </c>
      <c r="L159" s="90">
        <f t="shared" si="12"/>
        <v>3</v>
      </c>
      <c r="M159" s="90">
        <f t="shared" si="13"/>
        <v>0</v>
      </c>
      <c r="N159">
        <v>15</v>
      </c>
      <c r="O159" s="33">
        <f t="shared" si="14"/>
        <v>5</v>
      </c>
    </row>
    <row r="160" spans="1:15" s="33" customFormat="1" ht="15" customHeight="1" x14ac:dyDescent="0.2">
      <c r="A160" s="33" t="s">
        <v>69</v>
      </c>
      <c r="B160" s="61">
        <v>0</v>
      </c>
      <c r="C160" s="61">
        <v>0</v>
      </c>
      <c r="D160" s="61">
        <v>0</v>
      </c>
      <c r="E160" s="61">
        <v>0</v>
      </c>
      <c r="F160" s="61">
        <v>0</v>
      </c>
      <c r="G160" s="61">
        <v>0</v>
      </c>
      <c r="H160" s="61">
        <v>0</v>
      </c>
      <c r="I160" s="61">
        <v>1</v>
      </c>
      <c r="J160" s="90">
        <f t="shared" si="10"/>
        <v>0</v>
      </c>
      <c r="K160" s="90">
        <f t="shared" si="11"/>
        <v>1</v>
      </c>
      <c r="L160" s="90">
        <f t="shared" si="12"/>
        <v>0</v>
      </c>
      <c r="M160" s="90">
        <f t="shared" si="13"/>
        <v>0</v>
      </c>
      <c r="N160">
        <v>15</v>
      </c>
      <c r="O160" s="33">
        <f t="shared" si="14"/>
        <v>8</v>
      </c>
    </row>
    <row r="161" spans="1:15" s="33" customFormat="1" ht="15" customHeight="1" x14ac:dyDescent="0.2">
      <c r="A161" s="33" t="s">
        <v>70</v>
      </c>
      <c r="B161" s="61">
        <v>0</v>
      </c>
      <c r="C161" s="61">
        <v>0</v>
      </c>
      <c r="D161" s="61">
        <v>0</v>
      </c>
      <c r="E161" s="61">
        <v>0</v>
      </c>
      <c r="F161" s="61">
        <v>0</v>
      </c>
      <c r="G161" s="61">
        <v>0</v>
      </c>
      <c r="H161" s="61">
        <v>0</v>
      </c>
      <c r="I161" s="61">
        <v>0</v>
      </c>
      <c r="J161" s="90">
        <f t="shared" si="10"/>
        <v>0</v>
      </c>
      <c r="K161" s="90">
        <f t="shared" si="11"/>
        <v>0</v>
      </c>
      <c r="L161" s="90">
        <f t="shared" si="12"/>
        <v>0</v>
      </c>
      <c r="M161" s="90">
        <f t="shared" si="13"/>
        <v>0</v>
      </c>
      <c r="N161">
        <v>15</v>
      </c>
      <c r="O161" s="33">
        <f t="shared" si="14"/>
        <v>6</v>
      </c>
    </row>
    <row r="162" spans="1:15" s="33" customFormat="1" ht="15" customHeight="1" x14ac:dyDescent="0.2">
      <c r="A162" s="33" t="s">
        <v>71</v>
      </c>
      <c r="B162" s="61">
        <v>0</v>
      </c>
      <c r="C162" s="61">
        <v>0</v>
      </c>
      <c r="D162" s="61">
        <v>1</v>
      </c>
      <c r="E162" s="61">
        <v>0</v>
      </c>
      <c r="F162" s="61">
        <v>0</v>
      </c>
      <c r="G162" s="61">
        <v>0</v>
      </c>
      <c r="H162" s="61">
        <v>0</v>
      </c>
      <c r="I162" s="61">
        <v>0</v>
      </c>
      <c r="J162" s="90">
        <f t="shared" si="10"/>
        <v>0</v>
      </c>
      <c r="K162" s="90">
        <f t="shared" si="11"/>
        <v>0</v>
      </c>
      <c r="L162" s="90">
        <f t="shared" si="12"/>
        <v>1</v>
      </c>
      <c r="M162" s="90">
        <f t="shared" si="13"/>
        <v>0</v>
      </c>
      <c r="N162">
        <v>15</v>
      </c>
      <c r="O162" s="33">
        <f t="shared" si="14"/>
        <v>5</v>
      </c>
    </row>
    <row r="163" spans="1:15" s="33" customFormat="1" ht="15" customHeight="1" x14ac:dyDescent="0.2">
      <c r="A163" s="33" t="s">
        <v>72</v>
      </c>
      <c r="B163" s="61">
        <v>0</v>
      </c>
      <c r="C163" s="61">
        <v>0</v>
      </c>
      <c r="D163" s="61">
        <v>1</v>
      </c>
      <c r="E163" s="61">
        <v>0</v>
      </c>
      <c r="F163" s="61">
        <v>2</v>
      </c>
      <c r="G163" s="61">
        <v>0</v>
      </c>
      <c r="H163" s="61">
        <v>0</v>
      </c>
      <c r="I163" s="61">
        <v>0</v>
      </c>
      <c r="J163" s="90">
        <f t="shared" si="10"/>
        <v>0</v>
      </c>
      <c r="K163" s="90">
        <f t="shared" si="11"/>
        <v>0</v>
      </c>
      <c r="L163" s="90">
        <f t="shared" si="12"/>
        <v>3</v>
      </c>
      <c r="M163" s="90">
        <f t="shared" si="13"/>
        <v>0</v>
      </c>
      <c r="N163">
        <v>15</v>
      </c>
      <c r="O163" s="33">
        <f t="shared" si="14"/>
        <v>5</v>
      </c>
    </row>
    <row r="164" spans="1:15" s="33" customFormat="1" ht="15" customHeight="1" x14ac:dyDescent="0.2">
      <c r="A164" s="33" t="s">
        <v>73</v>
      </c>
      <c r="B164" s="61">
        <v>0</v>
      </c>
      <c r="C164" s="61">
        <v>0</v>
      </c>
      <c r="D164" s="61">
        <v>0</v>
      </c>
      <c r="E164" s="61">
        <v>0</v>
      </c>
      <c r="F164" s="61">
        <v>1</v>
      </c>
      <c r="G164" s="61">
        <v>0</v>
      </c>
      <c r="H164" s="61">
        <v>0</v>
      </c>
      <c r="I164" s="61">
        <v>0</v>
      </c>
      <c r="J164" s="90">
        <f t="shared" si="10"/>
        <v>0</v>
      </c>
      <c r="K164" s="90">
        <f t="shared" si="11"/>
        <v>0</v>
      </c>
      <c r="L164" s="90">
        <f t="shared" si="12"/>
        <v>1</v>
      </c>
      <c r="M164" s="90">
        <f t="shared" si="13"/>
        <v>0</v>
      </c>
      <c r="N164">
        <v>15</v>
      </c>
      <c r="O164" s="33">
        <f t="shared" si="14"/>
        <v>5</v>
      </c>
    </row>
    <row r="165" spans="1:15" s="33" customFormat="1" ht="15" customHeight="1" x14ac:dyDescent="0.2">
      <c r="A165" s="33" t="s">
        <v>74</v>
      </c>
      <c r="B165" s="61">
        <v>0</v>
      </c>
      <c r="C165" s="61">
        <v>0</v>
      </c>
      <c r="D165" s="61">
        <v>0</v>
      </c>
      <c r="E165" s="61">
        <v>0</v>
      </c>
      <c r="F165" s="61">
        <v>1</v>
      </c>
      <c r="G165" s="61">
        <v>0</v>
      </c>
      <c r="H165" s="61">
        <v>0</v>
      </c>
      <c r="I165" s="61">
        <v>0</v>
      </c>
      <c r="J165" s="90">
        <f t="shared" si="10"/>
        <v>0</v>
      </c>
      <c r="K165" s="90">
        <f t="shared" si="11"/>
        <v>0</v>
      </c>
      <c r="L165" s="90">
        <f t="shared" si="12"/>
        <v>1</v>
      </c>
      <c r="M165" s="90">
        <f t="shared" si="13"/>
        <v>0</v>
      </c>
      <c r="N165">
        <v>15</v>
      </c>
      <c r="O165" s="33">
        <f t="shared" si="14"/>
        <v>5</v>
      </c>
    </row>
    <row r="166" spans="1:15" s="33" customFormat="1" ht="15" customHeight="1" x14ac:dyDescent="0.2">
      <c r="A166" s="33" t="s">
        <v>75</v>
      </c>
      <c r="B166" s="61">
        <v>0</v>
      </c>
      <c r="C166" s="61">
        <v>0</v>
      </c>
      <c r="D166" s="61">
        <v>0</v>
      </c>
      <c r="E166" s="61">
        <v>0</v>
      </c>
      <c r="F166" s="61">
        <v>1</v>
      </c>
      <c r="G166" s="61">
        <v>0</v>
      </c>
      <c r="H166" s="61">
        <v>0</v>
      </c>
      <c r="I166" s="61">
        <v>0</v>
      </c>
      <c r="J166" s="90">
        <f t="shared" si="10"/>
        <v>0</v>
      </c>
      <c r="K166" s="90">
        <f t="shared" si="11"/>
        <v>0</v>
      </c>
      <c r="L166" s="90">
        <f t="shared" si="12"/>
        <v>1</v>
      </c>
      <c r="M166" s="90">
        <f t="shared" si="13"/>
        <v>0</v>
      </c>
      <c r="N166">
        <v>15</v>
      </c>
      <c r="O166" s="33">
        <f t="shared" si="14"/>
        <v>6</v>
      </c>
    </row>
    <row r="167" spans="1:15" s="33" customFormat="1" ht="15" customHeight="1" x14ac:dyDescent="0.2">
      <c r="A167" s="33" t="s">
        <v>76</v>
      </c>
      <c r="B167" s="61">
        <v>0</v>
      </c>
      <c r="C167" s="61">
        <v>1</v>
      </c>
      <c r="D167" s="61">
        <v>0</v>
      </c>
      <c r="E167" s="61">
        <v>0</v>
      </c>
      <c r="F167" s="61">
        <v>0</v>
      </c>
      <c r="G167" s="61">
        <v>0</v>
      </c>
      <c r="H167" s="61">
        <v>0</v>
      </c>
      <c r="I167" s="61">
        <v>0</v>
      </c>
      <c r="J167" s="90">
        <f t="shared" si="10"/>
        <v>0</v>
      </c>
      <c r="K167" s="90">
        <f t="shared" si="11"/>
        <v>1</v>
      </c>
      <c r="L167" s="90">
        <f t="shared" si="12"/>
        <v>0</v>
      </c>
      <c r="M167" s="90">
        <f t="shared" si="13"/>
        <v>0</v>
      </c>
      <c r="N167">
        <v>15</v>
      </c>
      <c r="O167" s="33">
        <f t="shared" si="14"/>
        <v>6</v>
      </c>
    </row>
    <row r="168" spans="1:15" s="33" customFormat="1" ht="15" customHeight="1" x14ac:dyDescent="0.2">
      <c r="A168" s="33" t="s">
        <v>77</v>
      </c>
      <c r="B168" s="61">
        <v>0</v>
      </c>
      <c r="C168" s="61">
        <v>0</v>
      </c>
      <c r="D168" s="61">
        <v>0</v>
      </c>
      <c r="E168" s="61">
        <v>0</v>
      </c>
      <c r="F168" s="61">
        <v>0</v>
      </c>
      <c r="G168" s="61">
        <v>0</v>
      </c>
      <c r="H168" s="61">
        <v>0</v>
      </c>
      <c r="I168" s="61">
        <v>0</v>
      </c>
      <c r="J168" s="90">
        <f t="shared" si="10"/>
        <v>0</v>
      </c>
      <c r="K168" s="90">
        <f t="shared" si="11"/>
        <v>0</v>
      </c>
      <c r="L168" s="90">
        <f t="shared" si="12"/>
        <v>0</v>
      </c>
      <c r="M168" s="90">
        <f t="shared" si="13"/>
        <v>0</v>
      </c>
      <c r="N168">
        <v>15</v>
      </c>
      <c r="O168" s="33">
        <f t="shared" si="14"/>
        <v>4</v>
      </c>
    </row>
    <row r="169" spans="1:15" s="33" customFormat="1" ht="15" customHeight="1" x14ac:dyDescent="0.2">
      <c r="A169" s="33" t="s">
        <v>78</v>
      </c>
      <c r="B169" s="61">
        <v>0</v>
      </c>
      <c r="C169" s="61">
        <v>0</v>
      </c>
      <c r="D169" s="61">
        <v>0</v>
      </c>
      <c r="E169" s="61">
        <v>0</v>
      </c>
      <c r="F169" s="61">
        <v>1</v>
      </c>
      <c r="G169" s="61">
        <v>1</v>
      </c>
      <c r="H169" s="61">
        <v>0</v>
      </c>
      <c r="I169" s="61">
        <v>0</v>
      </c>
      <c r="J169" s="90">
        <f t="shared" si="10"/>
        <v>1</v>
      </c>
      <c r="K169" s="90">
        <f t="shared" si="11"/>
        <v>0</v>
      </c>
      <c r="L169" s="90">
        <f t="shared" si="12"/>
        <v>1</v>
      </c>
      <c r="M169" s="90">
        <f t="shared" si="13"/>
        <v>0</v>
      </c>
      <c r="N169">
        <v>15</v>
      </c>
      <c r="O169" s="33">
        <f t="shared" si="14"/>
        <v>3</v>
      </c>
    </row>
    <row r="170" spans="1:15" s="33" customFormat="1" ht="15" customHeight="1" x14ac:dyDescent="0.2">
      <c r="A170" s="33" t="s">
        <v>79</v>
      </c>
      <c r="B170" s="61">
        <v>0</v>
      </c>
      <c r="C170" s="61">
        <v>0</v>
      </c>
      <c r="D170" s="61">
        <v>1</v>
      </c>
      <c r="E170" s="61">
        <v>0</v>
      </c>
      <c r="F170" s="61">
        <v>1</v>
      </c>
      <c r="G170" s="61">
        <v>0</v>
      </c>
      <c r="H170" s="61">
        <v>0</v>
      </c>
      <c r="I170" s="61">
        <v>0</v>
      </c>
      <c r="J170" s="90">
        <f t="shared" si="10"/>
        <v>0</v>
      </c>
      <c r="K170" s="90">
        <f t="shared" si="11"/>
        <v>0</v>
      </c>
      <c r="L170" s="90">
        <f t="shared" si="12"/>
        <v>2</v>
      </c>
      <c r="M170" s="90">
        <f t="shared" si="13"/>
        <v>0</v>
      </c>
      <c r="N170">
        <v>15</v>
      </c>
      <c r="O170" s="33">
        <f t="shared" si="14"/>
        <v>4</v>
      </c>
    </row>
    <row r="171" spans="1:15" s="33" customFormat="1" ht="15" customHeight="1" x14ac:dyDescent="0.2">
      <c r="A171" s="33" t="s">
        <v>80</v>
      </c>
      <c r="B171" s="61">
        <v>0</v>
      </c>
      <c r="C171" s="61">
        <v>0</v>
      </c>
      <c r="D171" s="61">
        <v>3</v>
      </c>
      <c r="E171" s="61">
        <v>0</v>
      </c>
      <c r="F171" s="61">
        <v>2</v>
      </c>
      <c r="G171" s="61">
        <v>0</v>
      </c>
      <c r="H171" s="61">
        <v>0</v>
      </c>
      <c r="I171" s="61">
        <v>0</v>
      </c>
      <c r="J171" s="90">
        <f t="shared" si="10"/>
        <v>0</v>
      </c>
      <c r="K171" s="90">
        <f t="shared" si="11"/>
        <v>0</v>
      </c>
      <c r="L171" s="90">
        <f t="shared" si="12"/>
        <v>5</v>
      </c>
      <c r="M171" s="90">
        <f t="shared" si="13"/>
        <v>0</v>
      </c>
      <c r="N171">
        <v>15</v>
      </c>
      <c r="O171" s="33">
        <f t="shared" si="14"/>
        <v>5</v>
      </c>
    </row>
    <row r="172" spans="1:15" s="33" customFormat="1" ht="15" customHeight="1" x14ac:dyDescent="0.2">
      <c r="A172" s="33" t="s">
        <v>81</v>
      </c>
      <c r="B172" s="61">
        <v>0</v>
      </c>
      <c r="C172" s="61">
        <v>0</v>
      </c>
      <c r="D172" s="61">
        <v>0</v>
      </c>
      <c r="E172" s="61">
        <v>0</v>
      </c>
      <c r="F172" s="61">
        <v>0</v>
      </c>
      <c r="G172" s="61">
        <v>0</v>
      </c>
      <c r="H172" s="61">
        <v>0</v>
      </c>
      <c r="I172" s="61">
        <v>0</v>
      </c>
      <c r="J172" s="90">
        <f t="shared" si="10"/>
        <v>0</v>
      </c>
      <c r="K172" s="90">
        <f t="shared" si="11"/>
        <v>0</v>
      </c>
      <c r="L172" s="90">
        <f t="shared" si="12"/>
        <v>0</v>
      </c>
      <c r="M172" s="90">
        <f t="shared" si="13"/>
        <v>0</v>
      </c>
      <c r="N172">
        <v>15</v>
      </c>
      <c r="O172" s="33">
        <f t="shared" si="14"/>
        <v>9</v>
      </c>
    </row>
    <row r="173" spans="1:15" s="33" customFormat="1" ht="15" customHeight="1" x14ac:dyDescent="0.2">
      <c r="A173" s="33" t="s">
        <v>82</v>
      </c>
      <c r="B173" s="61">
        <v>0</v>
      </c>
      <c r="C173" s="61">
        <v>0</v>
      </c>
      <c r="D173" s="61">
        <v>0</v>
      </c>
      <c r="E173" s="61">
        <v>0</v>
      </c>
      <c r="F173" s="61">
        <v>1</v>
      </c>
      <c r="G173" s="61">
        <v>0</v>
      </c>
      <c r="H173" s="61">
        <v>0</v>
      </c>
      <c r="I173" s="61">
        <v>0</v>
      </c>
      <c r="J173" s="90">
        <f t="shared" si="10"/>
        <v>0</v>
      </c>
      <c r="K173" s="90">
        <f t="shared" si="11"/>
        <v>0</v>
      </c>
      <c r="L173" s="90">
        <f t="shared" si="12"/>
        <v>1</v>
      </c>
      <c r="M173" s="90">
        <f t="shared" si="13"/>
        <v>0</v>
      </c>
      <c r="N173">
        <v>15</v>
      </c>
      <c r="O173" s="33">
        <f t="shared" si="14"/>
        <v>9</v>
      </c>
    </row>
    <row r="174" spans="1:15" s="33" customFormat="1" ht="15" customHeight="1" x14ac:dyDescent="0.2">
      <c r="A174" s="33" t="s">
        <v>83</v>
      </c>
      <c r="B174" s="61">
        <v>0</v>
      </c>
      <c r="C174" s="61">
        <v>0</v>
      </c>
      <c r="D174" s="61">
        <v>0</v>
      </c>
      <c r="E174" s="61">
        <v>0</v>
      </c>
      <c r="F174" s="61">
        <v>2</v>
      </c>
      <c r="G174" s="61">
        <v>0</v>
      </c>
      <c r="H174" s="61">
        <v>0</v>
      </c>
      <c r="I174" s="61">
        <v>0</v>
      </c>
      <c r="J174" s="90">
        <f t="shared" si="10"/>
        <v>0</v>
      </c>
      <c r="K174" s="90">
        <f t="shared" si="11"/>
        <v>0</v>
      </c>
      <c r="L174" s="90">
        <f t="shared" si="12"/>
        <v>2</v>
      </c>
      <c r="M174" s="90">
        <f t="shared" si="13"/>
        <v>0</v>
      </c>
      <c r="N174">
        <v>15</v>
      </c>
      <c r="O174" s="33">
        <f t="shared" si="14"/>
        <v>8</v>
      </c>
    </row>
    <row r="175" spans="1:15" s="33" customFormat="1" ht="15" customHeight="1" x14ac:dyDescent="0.2">
      <c r="A175" s="33" t="s">
        <v>84</v>
      </c>
      <c r="B175" s="61">
        <v>0</v>
      </c>
      <c r="C175" s="61">
        <v>0</v>
      </c>
      <c r="D175" s="61">
        <v>2</v>
      </c>
      <c r="E175" s="61">
        <v>0</v>
      </c>
      <c r="F175" s="61">
        <v>1</v>
      </c>
      <c r="G175" s="61">
        <v>0</v>
      </c>
      <c r="H175" s="61">
        <v>0</v>
      </c>
      <c r="I175" s="61">
        <v>0</v>
      </c>
      <c r="J175" s="90">
        <f t="shared" si="10"/>
        <v>0</v>
      </c>
      <c r="K175" s="90">
        <f t="shared" si="11"/>
        <v>0</v>
      </c>
      <c r="L175" s="90">
        <f t="shared" si="12"/>
        <v>3</v>
      </c>
      <c r="M175" s="90">
        <f t="shared" si="13"/>
        <v>0</v>
      </c>
      <c r="N175">
        <v>15</v>
      </c>
      <c r="O175" s="33">
        <f t="shared" si="14"/>
        <v>8</v>
      </c>
    </row>
    <row r="176" spans="1:15" s="33" customFormat="1" ht="15" customHeight="1" x14ac:dyDescent="0.2">
      <c r="A176" s="33" t="s">
        <v>85</v>
      </c>
      <c r="B176" s="61">
        <v>0</v>
      </c>
      <c r="C176" s="61">
        <v>0</v>
      </c>
      <c r="D176" s="61">
        <v>0</v>
      </c>
      <c r="E176" s="61">
        <v>0</v>
      </c>
      <c r="F176" s="61">
        <v>1</v>
      </c>
      <c r="G176" s="61">
        <v>0</v>
      </c>
      <c r="H176" s="61">
        <v>0</v>
      </c>
      <c r="I176" s="61">
        <v>0</v>
      </c>
      <c r="J176" s="90">
        <f t="shared" si="10"/>
        <v>0</v>
      </c>
      <c r="K176" s="90">
        <f t="shared" si="11"/>
        <v>0</v>
      </c>
      <c r="L176" s="90">
        <f t="shared" si="12"/>
        <v>1</v>
      </c>
      <c r="M176" s="90">
        <f t="shared" si="13"/>
        <v>0</v>
      </c>
      <c r="N176">
        <v>15</v>
      </c>
      <c r="O176" s="33">
        <f t="shared" si="14"/>
        <v>6</v>
      </c>
    </row>
    <row r="177" spans="1:16" s="33" customFormat="1" ht="15" customHeight="1" x14ac:dyDescent="0.2">
      <c r="A177" s="33" t="s">
        <v>86</v>
      </c>
      <c r="B177" s="61">
        <v>0</v>
      </c>
      <c r="C177" s="61">
        <v>0</v>
      </c>
      <c r="D177" s="61">
        <v>1</v>
      </c>
      <c r="E177" s="61">
        <v>0</v>
      </c>
      <c r="F177" s="61">
        <v>0</v>
      </c>
      <c r="G177" s="61">
        <v>0</v>
      </c>
      <c r="H177" s="61">
        <v>0</v>
      </c>
      <c r="I177" s="61">
        <v>0</v>
      </c>
      <c r="J177" s="90">
        <f t="shared" si="10"/>
        <v>0</v>
      </c>
      <c r="K177" s="90">
        <f t="shared" si="11"/>
        <v>0</v>
      </c>
      <c r="L177" s="90">
        <f t="shared" si="12"/>
        <v>1</v>
      </c>
      <c r="M177" s="90">
        <f t="shared" si="13"/>
        <v>0</v>
      </c>
      <c r="N177">
        <v>15</v>
      </c>
      <c r="O177" s="33">
        <f t="shared" si="14"/>
        <v>7</v>
      </c>
    </row>
    <row r="178" spans="1:16" s="33" customFormat="1" ht="15" customHeight="1" x14ac:dyDescent="0.2">
      <c r="A178" s="33" t="s">
        <v>87</v>
      </c>
      <c r="B178" s="61">
        <v>0</v>
      </c>
      <c r="C178" s="61">
        <v>0</v>
      </c>
      <c r="D178" s="61">
        <v>1</v>
      </c>
      <c r="E178" s="61">
        <v>0</v>
      </c>
      <c r="F178" s="61">
        <v>0</v>
      </c>
      <c r="G178" s="61">
        <v>0</v>
      </c>
      <c r="H178" s="61">
        <v>0</v>
      </c>
      <c r="I178" s="61">
        <v>0</v>
      </c>
      <c r="J178" s="90">
        <f t="shared" si="10"/>
        <v>0</v>
      </c>
      <c r="K178" s="90">
        <f t="shared" si="11"/>
        <v>0</v>
      </c>
      <c r="L178" s="90">
        <f t="shared" si="12"/>
        <v>1</v>
      </c>
      <c r="M178" s="90">
        <f t="shared" si="13"/>
        <v>0</v>
      </c>
      <c r="N178">
        <v>15</v>
      </c>
      <c r="O178" s="33">
        <f t="shared" si="14"/>
        <v>7</v>
      </c>
    </row>
    <row r="179" spans="1:16" s="33" customFormat="1" ht="15" customHeight="1" x14ac:dyDescent="0.2">
      <c r="A179" s="33" t="s">
        <v>88</v>
      </c>
      <c r="B179" s="61">
        <v>0</v>
      </c>
      <c r="C179" s="61">
        <v>0</v>
      </c>
      <c r="D179" s="61">
        <v>0</v>
      </c>
      <c r="E179" s="61">
        <v>0</v>
      </c>
      <c r="F179" s="61">
        <v>0</v>
      </c>
      <c r="G179" s="61">
        <v>0</v>
      </c>
      <c r="H179" s="61">
        <v>0</v>
      </c>
      <c r="I179" s="61">
        <v>0</v>
      </c>
      <c r="J179" s="90">
        <f t="shared" si="10"/>
        <v>0</v>
      </c>
      <c r="K179" s="90">
        <f t="shared" si="11"/>
        <v>0</v>
      </c>
      <c r="L179" s="90">
        <f t="shared" si="12"/>
        <v>0</v>
      </c>
      <c r="M179" s="90">
        <f t="shared" si="13"/>
        <v>0</v>
      </c>
      <c r="N179">
        <v>15</v>
      </c>
      <c r="O179" s="33">
        <f t="shared" si="14"/>
        <v>6</v>
      </c>
      <c r="P179" s="33">
        <f>SUM(J172:M179)/2</f>
        <v>4.5</v>
      </c>
    </row>
    <row r="180" spans="1:16" s="33" customFormat="1" ht="15" customHeight="1" x14ac:dyDescent="0.2">
      <c r="A180" s="33" t="s">
        <v>89</v>
      </c>
      <c r="B180" s="61">
        <v>0</v>
      </c>
      <c r="C180" s="61">
        <v>0</v>
      </c>
      <c r="D180" s="61">
        <v>1</v>
      </c>
      <c r="E180" s="61">
        <v>0</v>
      </c>
      <c r="F180" s="61">
        <v>0</v>
      </c>
      <c r="G180" s="61">
        <v>0</v>
      </c>
      <c r="H180" s="61">
        <v>0</v>
      </c>
      <c r="I180" s="61">
        <v>0</v>
      </c>
      <c r="J180" s="90">
        <f t="shared" si="10"/>
        <v>0</v>
      </c>
      <c r="K180" s="90">
        <f t="shared" si="11"/>
        <v>0</v>
      </c>
      <c r="L180" s="90">
        <f t="shared" si="12"/>
        <v>1</v>
      </c>
      <c r="M180" s="90">
        <f t="shared" si="13"/>
        <v>0</v>
      </c>
      <c r="N180">
        <v>15</v>
      </c>
      <c r="O180" s="33">
        <f t="shared" si="14"/>
        <v>3</v>
      </c>
    </row>
    <row r="181" spans="1:16" s="33" customFormat="1" ht="15" customHeight="1" x14ac:dyDescent="0.2">
      <c r="A181" s="33" t="s">
        <v>90</v>
      </c>
      <c r="B181" s="61">
        <v>0</v>
      </c>
      <c r="C181" s="61">
        <v>0</v>
      </c>
      <c r="D181" s="61">
        <v>2</v>
      </c>
      <c r="E181" s="61">
        <v>0</v>
      </c>
      <c r="F181" s="61">
        <v>3</v>
      </c>
      <c r="G181" s="61">
        <v>0</v>
      </c>
      <c r="H181" s="61">
        <v>0</v>
      </c>
      <c r="I181" s="61">
        <v>0</v>
      </c>
      <c r="J181" s="90">
        <f t="shared" si="10"/>
        <v>0</v>
      </c>
      <c r="K181" s="90">
        <f t="shared" si="11"/>
        <v>0</v>
      </c>
      <c r="L181" s="90">
        <f t="shared" si="12"/>
        <v>5</v>
      </c>
      <c r="M181" s="90">
        <f t="shared" si="13"/>
        <v>0</v>
      </c>
      <c r="N181">
        <v>15</v>
      </c>
      <c r="O181" s="33">
        <f t="shared" si="14"/>
        <v>3</v>
      </c>
    </row>
    <row r="182" spans="1:16" s="33" customFormat="1" ht="15" customHeight="1" x14ac:dyDescent="0.2">
      <c r="A182" s="33" t="s">
        <v>91</v>
      </c>
      <c r="B182" s="61">
        <v>0</v>
      </c>
      <c r="C182" s="61">
        <v>0</v>
      </c>
      <c r="D182" s="61">
        <v>0</v>
      </c>
      <c r="E182" s="61">
        <v>1</v>
      </c>
      <c r="F182" s="61">
        <v>0</v>
      </c>
      <c r="G182" s="61">
        <v>0</v>
      </c>
      <c r="H182" s="61">
        <v>0</v>
      </c>
      <c r="I182" s="61">
        <v>0</v>
      </c>
      <c r="J182" s="90">
        <f t="shared" si="10"/>
        <v>1</v>
      </c>
      <c r="K182" s="90">
        <f t="shared" si="11"/>
        <v>0</v>
      </c>
      <c r="L182" s="90">
        <f t="shared" si="12"/>
        <v>0</v>
      </c>
      <c r="M182" s="90">
        <f t="shared" si="13"/>
        <v>0</v>
      </c>
      <c r="N182">
        <v>15</v>
      </c>
      <c r="O182" s="33">
        <f t="shared" si="14"/>
        <v>7</v>
      </c>
    </row>
    <row r="183" spans="1:16" s="33" customFormat="1" ht="15" customHeight="1" x14ac:dyDescent="0.2">
      <c r="A183" s="33" t="s">
        <v>92</v>
      </c>
      <c r="B183" s="61">
        <v>0</v>
      </c>
      <c r="C183" s="61">
        <v>0</v>
      </c>
      <c r="D183" s="61">
        <v>0</v>
      </c>
      <c r="E183" s="61">
        <v>0</v>
      </c>
      <c r="F183" s="61">
        <v>2</v>
      </c>
      <c r="G183" s="61">
        <v>0</v>
      </c>
      <c r="H183" s="61">
        <v>0</v>
      </c>
      <c r="I183" s="61">
        <v>0</v>
      </c>
      <c r="J183" s="90">
        <f t="shared" si="10"/>
        <v>0</v>
      </c>
      <c r="K183" s="90">
        <f t="shared" si="11"/>
        <v>0</v>
      </c>
      <c r="L183" s="90">
        <f t="shared" si="12"/>
        <v>2</v>
      </c>
      <c r="M183" s="90">
        <f t="shared" si="13"/>
        <v>0</v>
      </c>
      <c r="N183">
        <v>15</v>
      </c>
      <c r="O183" s="33">
        <f t="shared" si="14"/>
        <v>7</v>
      </c>
    </row>
    <row r="184" spans="1:16" s="33" customFormat="1" ht="15" customHeight="1" x14ac:dyDescent="0.2">
      <c r="A184" s="33" t="s">
        <v>93</v>
      </c>
      <c r="B184" s="61">
        <v>0</v>
      </c>
      <c r="C184" s="61">
        <v>0</v>
      </c>
      <c r="D184" s="61">
        <v>0</v>
      </c>
      <c r="E184" s="61">
        <v>0</v>
      </c>
      <c r="F184" s="61">
        <v>2</v>
      </c>
      <c r="G184" s="61">
        <v>1</v>
      </c>
      <c r="H184" s="61">
        <v>0</v>
      </c>
      <c r="I184" s="61">
        <v>0</v>
      </c>
      <c r="J184" s="90">
        <f t="shared" si="10"/>
        <v>1</v>
      </c>
      <c r="K184" s="90">
        <f t="shared" si="11"/>
        <v>0</v>
      </c>
      <c r="L184" s="90">
        <f t="shared" si="12"/>
        <v>2</v>
      </c>
      <c r="M184" s="90">
        <f t="shared" si="13"/>
        <v>0</v>
      </c>
      <c r="N184">
        <v>15</v>
      </c>
      <c r="O184" s="33">
        <f t="shared" si="14"/>
        <v>9</v>
      </c>
    </row>
    <row r="185" spans="1:16" s="33" customFormat="1" ht="15" customHeight="1" x14ac:dyDescent="0.2">
      <c r="A185" s="33" t="s">
        <v>94</v>
      </c>
      <c r="B185" s="61">
        <v>0</v>
      </c>
      <c r="C185" s="61">
        <v>0</v>
      </c>
      <c r="D185" s="61">
        <v>0</v>
      </c>
      <c r="E185" s="61">
        <v>0</v>
      </c>
      <c r="F185" s="61">
        <v>1</v>
      </c>
      <c r="G185" s="61">
        <v>0</v>
      </c>
      <c r="H185" s="61">
        <v>0</v>
      </c>
      <c r="I185" s="61">
        <v>0</v>
      </c>
      <c r="J185" s="90">
        <f t="shared" si="10"/>
        <v>0</v>
      </c>
      <c r="K185" s="90">
        <f t="shared" si="11"/>
        <v>0</v>
      </c>
      <c r="L185" s="90">
        <f t="shared" si="12"/>
        <v>1</v>
      </c>
      <c r="M185" s="90">
        <f t="shared" si="13"/>
        <v>0</v>
      </c>
      <c r="N185">
        <v>15</v>
      </c>
      <c r="O185" s="33">
        <f t="shared" si="14"/>
        <v>11</v>
      </c>
    </row>
    <row r="186" spans="1:16" s="33" customFormat="1" ht="15" customHeight="1" x14ac:dyDescent="0.2">
      <c r="A186" s="33" t="s">
        <v>95</v>
      </c>
      <c r="B186" s="61">
        <v>0</v>
      </c>
      <c r="C186" s="61">
        <v>0</v>
      </c>
      <c r="D186" s="61">
        <v>2</v>
      </c>
      <c r="E186" s="61">
        <v>0</v>
      </c>
      <c r="F186" s="61">
        <v>0</v>
      </c>
      <c r="G186" s="61">
        <v>0</v>
      </c>
      <c r="H186" s="61">
        <v>0</v>
      </c>
      <c r="I186" s="61">
        <v>0</v>
      </c>
      <c r="J186" s="90">
        <f t="shared" si="10"/>
        <v>0</v>
      </c>
      <c r="K186" s="90">
        <f t="shared" si="11"/>
        <v>0</v>
      </c>
      <c r="L186" s="90">
        <f t="shared" si="12"/>
        <v>2</v>
      </c>
      <c r="M186" s="90">
        <f t="shared" si="13"/>
        <v>0</v>
      </c>
      <c r="N186">
        <v>15</v>
      </c>
      <c r="O186" s="33">
        <f t="shared" si="14"/>
        <v>7</v>
      </c>
    </row>
    <row r="187" spans="1:16" ht="15" customHeight="1" x14ac:dyDescent="0.2">
      <c r="A187" t="s">
        <v>96</v>
      </c>
      <c r="B187" s="18">
        <v>0</v>
      </c>
      <c r="C187" s="18">
        <v>0</v>
      </c>
      <c r="D187" s="18">
        <v>2</v>
      </c>
      <c r="E187" s="18">
        <v>0</v>
      </c>
      <c r="F187" s="18">
        <v>2</v>
      </c>
      <c r="G187" s="18">
        <v>0</v>
      </c>
      <c r="H187" s="18">
        <v>0</v>
      </c>
      <c r="I187" s="18">
        <v>0</v>
      </c>
      <c r="J187" s="21">
        <f t="shared" si="10"/>
        <v>0</v>
      </c>
      <c r="K187" s="21">
        <f t="shared" si="11"/>
        <v>0</v>
      </c>
      <c r="L187" s="21">
        <f t="shared" si="12"/>
        <v>4</v>
      </c>
      <c r="M187" s="21">
        <f t="shared" si="13"/>
        <v>0</v>
      </c>
      <c r="N187">
        <v>15</v>
      </c>
      <c r="O187">
        <f t="shared" si="14"/>
        <v>8</v>
      </c>
    </row>
    <row r="188" spans="1:16" ht="15" customHeight="1" x14ac:dyDescent="0.2">
      <c r="A188" t="s">
        <v>97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21">
        <f t="shared" si="10"/>
        <v>0</v>
      </c>
      <c r="K188" s="21">
        <f t="shared" si="11"/>
        <v>0</v>
      </c>
      <c r="L188" s="21">
        <f t="shared" si="12"/>
        <v>0</v>
      </c>
      <c r="M188" s="21">
        <f t="shared" si="13"/>
        <v>0</v>
      </c>
      <c r="N188">
        <v>15</v>
      </c>
      <c r="O188">
        <f t="shared" si="14"/>
        <v>10</v>
      </c>
    </row>
    <row r="189" spans="1:16" ht="15" customHeight="1" x14ac:dyDescent="0.2">
      <c r="A189" t="s">
        <v>98</v>
      </c>
      <c r="B189" s="18">
        <v>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21">
        <f t="shared" si="10"/>
        <v>0</v>
      </c>
      <c r="K189" s="21">
        <f t="shared" si="11"/>
        <v>0</v>
      </c>
      <c r="L189" s="21">
        <f t="shared" si="12"/>
        <v>0</v>
      </c>
      <c r="M189" s="21">
        <f t="shared" si="13"/>
        <v>0</v>
      </c>
      <c r="N189">
        <v>15</v>
      </c>
      <c r="O189">
        <f t="shared" si="14"/>
        <v>7</v>
      </c>
    </row>
    <row r="190" spans="1:16" ht="15" customHeight="1" x14ac:dyDescent="0.2">
      <c r="A190" t="s">
        <v>99</v>
      </c>
      <c r="B190" s="18">
        <v>0</v>
      </c>
      <c r="C190" s="18">
        <v>0</v>
      </c>
      <c r="D190" s="18">
        <v>2</v>
      </c>
      <c r="E190" s="18">
        <v>0</v>
      </c>
      <c r="F190" s="18">
        <v>2</v>
      </c>
      <c r="G190" s="18">
        <v>0</v>
      </c>
      <c r="H190" s="18">
        <v>0</v>
      </c>
      <c r="I190" s="18">
        <v>0</v>
      </c>
      <c r="J190" s="21">
        <f t="shared" si="10"/>
        <v>0</v>
      </c>
      <c r="K190" s="21">
        <f t="shared" si="11"/>
        <v>0</v>
      </c>
      <c r="L190" s="21">
        <f t="shared" si="12"/>
        <v>4</v>
      </c>
      <c r="M190" s="21">
        <f t="shared" si="13"/>
        <v>0</v>
      </c>
      <c r="N190">
        <v>15</v>
      </c>
      <c r="O190">
        <f t="shared" si="14"/>
        <v>6</v>
      </c>
    </row>
    <row r="191" spans="1:16" ht="15" customHeight="1" x14ac:dyDescent="0.2">
      <c r="A191" t="s">
        <v>100</v>
      </c>
      <c r="B191" s="18">
        <v>0</v>
      </c>
      <c r="C191" s="18">
        <v>0</v>
      </c>
      <c r="D191" s="18">
        <v>0</v>
      </c>
      <c r="E191" s="18">
        <v>0</v>
      </c>
      <c r="F191" s="18">
        <v>1</v>
      </c>
      <c r="G191" s="18">
        <v>0</v>
      </c>
      <c r="H191" s="18">
        <v>0</v>
      </c>
      <c r="I191" s="18">
        <v>0</v>
      </c>
      <c r="J191" s="21">
        <f t="shared" si="10"/>
        <v>0</v>
      </c>
      <c r="K191" s="21">
        <f t="shared" si="11"/>
        <v>0</v>
      </c>
      <c r="L191" s="21">
        <f t="shared" si="12"/>
        <v>1</v>
      </c>
      <c r="M191" s="21">
        <f t="shared" si="13"/>
        <v>0</v>
      </c>
      <c r="N191">
        <v>15</v>
      </c>
      <c r="O191">
        <f t="shared" si="14"/>
        <v>8</v>
      </c>
    </row>
    <row r="192" spans="1:16" ht="15" customHeight="1" x14ac:dyDescent="0.2">
      <c r="A192" t="s">
        <v>101</v>
      </c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21">
        <f t="shared" si="10"/>
        <v>0</v>
      </c>
      <c r="K192" s="21">
        <f t="shared" si="11"/>
        <v>0</v>
      </c>
      <c r="L192" s="21">
        <f t="shared" si="12"/>
        <v>0</v>
      </c>
      <c r="M192" s="21">
        <f t="shared" si="13"/>
        <v>0</v>
      </c>
      <c r="N192">
        <v>15</v>
      </c>
      <c r="O192">
        <f t="shared" si="14"/>
        <v>5</v>
      </c>
    </row>
    <row r="193" spans="1:18" ht="15" customHeight="1" x14ac:dyDescent="0.2">
      <c r="A193" t="s">
        <v>102</v>
      </c>
      <c r="B193" s="18">
        <v>0</v>
      </c>
      <c r="C193" s="18">
        <v>0</v>
      </c>
      <c r="D193" s="18">
        <v>1</v>
      </c>
      <c r="E193" s="18">
        <v>0</v>
      </c>
      <c r="F193" s="18">
        <v>1</v>
      </c>
      <c r="G193" s="18">
        <v>0</v>
      </c>
      <c r="H193" s="18">
        <v>0</v>
      </c>
      <c r="I193" s="18">
        <v>0</v>
      </c>
      <c r="J193" s="21">
        <f t="shared" si="10"/>
        <v>0</v>
      </c>
      <c r="K193" s="21">
        <f t="shared" si="11"/>
        <v>0</v>
      </c>
      <c r="L193" s="21">
        <f t="shared" si="12"/>
        <v>2</v>
      </c>
      <c r="M193" s="21">
        <f t="shared" si="13"/>
        <v>0</v>
      </c>
      <c r="N193">
        <v>15</v>
      </c>
      <c r="O193">
        <f t="shared" si="14"/>
        <v>5</v>
      </c>
    </row>
    <row r="194" spans="1:18" ht="15" customHeight="1" x14ac:dyDescent="0.2">
      <c r="A194" t="s">
        <v>103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21">
        <f t="shared" si="10"/>
        <v>0</v>
      </c>
      <c r="K194" s="21">
        <f t="shared" si="11"/>
        <v>0</v>
      </c>
      <c r="L194" s="21">
        <f t="shared" si="12"/>
        <v>0</v>
      </c>
      <c r="M194" s="21">
        <f t="shared" si="13"/>
        <v>0</v>
      </c>
      <c r="N194">
        <v>15</v>
      </c>
      <c r="O194">
        <f t="shared" si="14"/>
        <v>7</v>
      </c>
    </row>
    <row r="195" spans="1:18" ht="15" customHeight="1" x14ac:dyDescent="0.2">
      <c r="A195" t="s">
        <v>104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21">
        <f t="shared" si="10"/>
        <v>0</v>
      </c>
      <c r="K195" s="21">
        <f t="shared" si="11"/>
        <v>0</v>
      </c>
      <c r="L195" s="21">
        <f t="shared" si="12"/>
        <v>0</v>
      </c>
      <c r="M195" s="21">
        <f t="shared" si="13"/>
        <v>0</v>
      </c>
      <c r="N195">
        <v>15</v>
      </c>
      <c r="O195">
        <f t="shared" si="14"/>
        <v>3</v>
      </c>
    </row>
    <row r="196" spans="1:18" ht="15" customHeight="1" x14ac:dyDescent="0.2">
      <c r="A196" t="s">
        <v>105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21">
        <f t="shared" si="10"/>
        <v>0</v>
      </c>
      <c r="K196" s="21">
        <f t="shared" si="11"/>
        <v>0</v>
      </c>
      <c r="L196" s="21">
        <f t="shared" si="12"/>
        <v>0</v>
      </c>
      <c r="M196" s="21">
        <f t="shared" si="13"/>
        <v>0</v>
      </c>
      <c r="N196">
        <v>15</v>
      </c>
      <c r="O196">
        <f t="shared" si="14"/>
        <v>2</v>
      </c>
    </row>
    <row r="197" spans="1:18" ht="15" customHeight="1" x14ac:dyDescent="0.2">
      <c r="A197" t="s">
        <v>106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21">
        <f t="shared" si="10"/>
        <v>0</v>
      </c>
      <c r="K197" s="21">
        <f t="shared" si="11"/>
        <v>0</v>
      </c>
      <c r="L197" s="21">
        <f t="shared" si="12"/>
        <v>0</v>
      </c>
      <c r="M197" s="21">
        <f t="shared" si="13"/>
        <v>0</v>
      </c>
      <c r="N197">
        <v>15</v>
      </c>
      <c r="O197">
        <f t="shared" si="14"/>
        <v>2</v>
      </c>
    </row>
    <row r="198" spans="1:18" ht="15" customHeight="1" x14ac:dyDescent="0.2">
      <c r="A198" t="s">
        <v>107</v>
      </c>
      <c r="B198" s="18">
        <v>0</v>
      </c>
      <c r="C198" s="18">
        <v>0</v>
      </c>
      <c r="D198" s="18">
        <v>0</v>
      </c>
      <c r="E198" s="18">
        <v>0</v>
      </c>
      <c r="F198" s="18">
        <v>1</v>
      </c>
      <c r="G198" s="18">
        <v>0</v>
      </c>
      <c r="H198" s="18">
        <v>0</v>
      </c>
      <c r="I198" s="18">
        <v>0</v>
      </c>
      <c r="J198" s="21">
        <f t="shared" si="10"/>
        <v>0</v>
      </c>
      <c r="K198" s="21">
        <f t="shared" si="11"/>
        <v>0</v>
      </c>
      <c r="L198" s="21">
        <f t="shared" si="12"/>
        <v>1</v>
      </c>
      <c r="M198" s="21">
        <f t="shared" si="13"/>
        <v>0</v>
      </c>
      <c r="N198">
        <v>15</v>
      </c>
      <c r="O198">
        <f t="shared" si="14"/>
        <v>0</v>
      </c>
    </row>
    <row r="199" spans="1:18" ht="15" customHeight="1" x14ac:dyDescent="0.2">
      <c r="A199" t="s">
        <v>108</v>
      </c>
      <c r="B199" s="18">
        <v>0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21">
        <f t="shared" si="10"/>
        <v>0</v>
      </c>
      <c r="K199" s="21">
        <f t="shared" si="11"/>
        <v>0</v>
      </c>
      <c r="L199" s="21">
        <f t="shared" si="12"/>
        <v>0</v>
      </c>
      <c r="M199" s="21">
        <f t="shared" si="13"/>
        <v>0</v>
      </c>
      <c r="N199">
        <v>15</v>
      </c>
      <c r="O199">
        <f t="shared" si="14"/>
        <v>1</v>
      </c>
    </row>
    <row r="200" spans="1:18" ht="15" customHeight="1" x14ac:dyDescent="0.2">
      <c r="A200" t="s">
        <v>109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21">
        <f t="shared" si="10"/>
        <v>0</v>
      </c>
      <c r="K200" s="21">
        <f t="shared" si="11"/>
        <v>0</v>
      </c>
      <c r="L200" s="21">
        <f t="shared" si="12"/>
        <v>0</v>
      </c>
      <c r="M200" s="21">
        <f t="shared" si="13"/>
        <v>0</v>
      </c>
      <c r="N200">
        <v>15</v>
      </c>
      <c r="O200">
        <f t="shared" si="14"/>
        <v>1</v>
      </c>
    </row>
    <row r="201" spans="1:18" ht="15" customHeight="1" x14ac:dyDescent="0.2">
      <c r="A201" t="s">
        <v>110</v>
      </c>
      <c r="B201" s="18">
        <v>0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21">
        <f t="shared" si="10"/>
        <v>0</v>
      </c>
      <c r="K201" s="21">
        <f t="shared" si="11"/>
        <v>0</v>
      </c>
      <c r="L201" s="21">
        <f t="shared" si="12"/>
        <v>0</v>
      </c>
      <c r="M201" s="21">
        <f t="shared" si="13"/>
        <v>0</v>
      </c>
      <c r="N201">
        <v>15</v>
      </c>
      <c r="O201">
        <f t="shared" si="14"/>
        <v>1</v>
      </c>
    </row>
    <row r="202" spans="1:18" ht="15" customHeight="1" x14ac:dyDescent="0.2">
      <c r="B202" s="19">
        <f t="shared" ref="B202:I202" si="15">SUM(B10:B201)</f>
        <v>0</v>
      </c>
      <c r="C202" s="19">
        <f t="shared" si="15"/>
        <v>6</v>
      </c>
      <c r="D202" s="19">
        <f t="shared" si="15"/>
        <v>68</v>
      </c>
      <c r="E202" s="19">
        <f t="shared" si="15"/>
        <v>6</v>
      </c>
      <c r="F202" s="19">
        <f t="shared" si="15"/>
        <v>71</v>
      </c>
      <c r="G202" s="19">
        <f t="shared" si="15"/>
        <v>8</v>
      </c>
      <c r="H202" s="19">
        <f t="shared" si="15"/>
        <v>4</v>
      </c>
      <c r="I202" s="19">
        <f t="shared" si="15"/>
        <v>7</v>
      </c>
      <c r="J202" s="20">
        <f>SUM(E202,G202)</f>
        <v>14</v>
      </c>
      <c r="K202" s="20">
        <f>SUM(C202,I202)</f>
        <v>13</v>
      </c>
      <c r="L202" s="20">
        <f>SUM(D202,F202)</f>
        <v>139</v>
      </c>
      <c r="M202" s="20">
        <f>SUM(B202,H202)</f>
        <v>4</v>
      </c>
      <c r="N202" s="80">
        <f t="shared" ref="N202" si="16">SUM(N10:N201)</f>
        <v>2880</v>
      </c>
      <c r="O202" s="29">
        <f>SUM(O12:O201)/188</f>
        <v>3.6117021276595747</v>
      </c>
    </row>
    <row r="203" spans="1:18" ht="15" customHeight="1" x14ac:dyDescent="0.2">
      <c r="P203" t="s">
        <v>197</v>
      </c>
      <c r="Q203" t="s">
        <v>198</v>
      </c>
      <c r="R203" t="s">
        <v>199</v>
      </c>
    </row>
    <row r="204" spans="1:18" ht="15" customHeight="1" x14ac:dyDescent="0.2">
      <c r="K204" s="88" t="s">
        <v>212</v>
      </c>
      <c r="L204" s="6">
        <f>SUM(L36:L90,L132:L186)</f>
        <v>109</v>
      </c>
      <c r="N204" s="28">
        <f>SUM(N36:N90,N132:N186)/60</f>
        <v>27.5</v>
      </c>
      <c r="O204" t="s">
        <v>195</v>
      </c>
      <c r="P204" s="29">
        <f>SUM(P45+P141)/2</f>
        <v>3.25</v>
      </c>
      <c r="Q204" s="29">
        <f>P204*2</f>
        <v>6.5</v>
      </c>
      <c r="R204" s="29">
        <f>P204*0.75</f>
        <v>2.4375</v>
      </c>
    </row>
    <row r="205" spans="1:18" ht="15" customHeight="1" x14ac:dyDescent="0.2">
      <c r="K205" s="88" t="s">
        <v>213</v>
      </c>
      <c r="L205" s="6">
        <f>L202-L204</f>
        <v>30</v>
      </c>
      <c r="N205" s="28">
        <f>48-N204</f>
        <v>20.5</v>
      </c>
      <c r="O205" t="s">
        <v>196</v>
      </c>
      <c r="P205" s="29">
        <f>SUM(P83+P179)/2</f>
        <v>6.75</v>
      </c>
      <c r="Q205" s="29">
        <f>P205*2</f>
        <v>13.5</v>
      </c>
      <c r="R205" s="29">
        <f>P205*0.75</f>
        <v>5.0625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pane xSplit="1" ySplit="9" topLeftCell="B195" activePane="bottomRight" state="frozen"/>
      <selection pane="topRight" activeCell="B1" sqref="B1"/>
      <selection pane="bottomLeft" activeCell="A10" sqref="A10"/>
      <selection pane="bottomRight" activeCell="K204" sqref="K204:L205"/>
    </sheetView>
  </sheetViews>
  <sheetFormatPr defaultColWidth="12.140625" defaultRowHeight="15" customHeight="1" x14ac:dyDescent="0.2"/>
  <cols>
    <col min="1" max="1" width="12.140625" bestFit="1" customWidth="1"/>
    <col min="2" max="5" width="10.85546875" customWidth="1"/>
    <col min="6" max="9" width="10.42578125" customWidth="1"/>
    <col min="10" max="11" width="9.85546875" customWidth="1"/>
    <col min="12" max="12" width="10.140625" customWidth="1"/>
  </cols>
  <sheetData>
    <row r="1" spans="1:13" ht="15" customHeight="1" x14ac:dyDescent="0.3">
      <c r="A1" s="111" t="s">
        <v>0</v>
      </c>
      <c r="B1" s="111"/>
      <c r="C1" s="112" t="s">
        <v>130</v>
      </c>
      <c r="D1" s="112"/>
      <c r="E1" s="112"/>
      <c r="F1" s="112"/>
      <c r="G1" s="112"/>
      <c r="H1" s="112"/>
      <c r="I1" s="112"/>
    </row>
    <row r="2" spans="1:13" ht="15" customHeight="1" x14ac:dyDescent="0.3">
      <c r="A2" s="111" t="s">
        <v>2</v>
      </c>
      <c r="B2" s="111"/>
      <c r="C2" s="112" t="s">
        <v>123</v>
      </c>
      <c r="D2" s="112"/>
      <c r="E2" s="112"/>
      <c r="F2" s="112"/>
      <c r="G2" s="112"/>
      <c r="H2" s="112"/>
      <c r="I2" s="112"/>
    </row>
    <row r="3" spans="1:13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0.75" customHeight="1" x14ac:dyDescent="0.3">
      <c r="A7" s="2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13" s="1" customFormat="1" ht="15" customHeight="1" x14ac:dyDescent="0.3">
      <c r="A8" s="2" t="s">
        <v>13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15</v>
      </c>
      <c r="G8" s="4" t="s">
        <v>15</v>
      </c>
      <c r="H8" s="4" t="s">
        <v>15</v>
      </c>
      <c r="I8" s="4" t="s">
        <v>15</v>
      </c>
    </row>
    <row r="9" spans="1:13" s="1" customFormat="1" ht="30.75" customHeight="1" x14ac:dyDescent="0.2">
      <c r="B9" s="16" t="s">
        <v>111</v>
      </c>
      <c r="C9" s="16" t="s">
        <v>112</v>
      </c>
      <c r="D9" s="16" t="s">
        <v>113</v>
      </c>
      <c r="E9" s="16" t="s">
        <v>114</v>
      </c>
      <c r="F9" s="16" t="s">
        <v>113</v>
      </c>
      <c r="G9" s="16" t="s">
        <v>114</v>
      </c>
      <c r="H9" s="16" t="s">
        <v>111</v>
      </c>
      <c r="I9" s="16" t="s">
        <v>112</v>
      </c>
      <c r="J9" s="17" t="s">
        <v>113</v>
      </c>
      <c r="K9" s="17" t="s">
        <v>111</v>
      </c>
      <c r="L9" s="92" t="s">
        <v>114</v>
      </c>
      <c r="M9" s="16" t="s">
        <v>112</v>
      </c>
    </row>
    <row r="10" spans="1:13" ht="15" customHeight="1" x14ac:dyDescent="0.2">
      <c r="A10" t="s">
        <v>5</v>
      </c>
      <c r="B10" s="18">
        <v>0</v>
      </c>
      <c r="C10" s="18">
        <v>0</v>
      </c>
      <c r="D10" s="18">
        <v>1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9">
        <f>SUM(D10,F10)</f>
        <v>1</v>
      </c>
      <c r="K10" s="19">
        <f>SUM(B10,H10)</f>
        <v>0</v>
      </c>
      <c r="L10" s="19">
        <f>SUM(E10,G10)</f>
        <v>0</v>
      </c>
      <c r="M10" s="19">
        <f>SUM(C10,I10)</f>
        <v>0</v>
      </c>
    </row>
    <row r="11" spans="1:13" ht="15" customHeight="1" x14ac:dyDescent="0.2">
      <c r="A11" t="s">
        <v>16</v>
      </c>
      <c r="B11" s="18">
        <v>0</v>
      </c>
      <c r="C11" s="18">
        <v>0</v>
      </c>
      <c r="D11" s="18">
        <v>1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9">
        <f t="shared" ref="J11:J74" si="0">SUM(D11,F11)</f>
        <v>1</v>
      </c>
      <c r="K11" s="19">
        <f t="shared" ref="K11:K74" si="1">SUM(B11,H11)</f>
        <v>0</v>
      </c>
      <c r="L11" s="19">
        <f t="shared" ref="L11:L74" si="2">SUM(E11,G11)</f>
        <v>0</v>
      </c>
      <c r="M11" s="19">
        <f t="shared" ref="M11:M74" si="3">SUM(C11,I11)</f>
        <v>0</v>
      </c>
    </row>
    <row r="12" spans="1:13" ht="15" customHeight="1" x14ac:dyDescent="0.2">
      <c r="A12" t="s">
        <v>17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">
      <c r="A13" t="s">
        <v>18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">
      <c r="A14" t="s">
        <v>19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">
      <c r="A15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0</v>
      </c>
    </row>
    <row r="16" spans="1:13" ht="15" customHeight="1" x14ac:dyDescent="0.2">
      <c r="A16" t="s">
        <v>21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">
      <c r="A17" t="s">
        <v>22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">
      <c r="A18" t="s">
        <v>23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">
      <c r="A19" t="s">
        <v>24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">
      <c r="A20" t="s">
        <v>25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">
      <c r="A21" t="s">
        <v>26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">
      <c r="A22" t="s">
        <v>27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">
      <c r="A23" t="s">
        <v>28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">
      <c r="A24" t="s">
        <v>29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">
      <c r="A25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1</v>
      </c>
      <c r="G25" s="18">
        <v>0</v>
      </c>
      <c r="H25" s="18">
        <v>0</v>
      </c>
      <c r="I25" s="18">
        <v>0</v>
      </c>
      <c r="J25" s="19">
        <f t="shared" si="0"/>
        <v>1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">
      <c r="A26" t="s">
        <v>31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">
      <c r="A2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">
      <c r="A28" t="s">
        <v>33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">
      <c r="A29" t="s">
        <v>34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">
      <c r="A30" t="s">
        <v>35</v>
      </c>
      <c r="B30" s="18">
        <v>0</v>
      </c>
      <c r="C30" s="18">
        <v>0</v>
      </c>
      <c r="D30" s="18">
        <v>0</v>
      </c>
      <c r="E30" s="18">
        <v>0</v>
      </c>
      <c r="F30" s="18">
        <v>1</v>
      </c>
      <c r="G30" s="18">
        <v>0</v>
      </c>
      <c r="H30" s="18">
        <v>0</v>
      </c>
      <c r="I30" s="18">
        <v>0</v>
      </c>
      <c r="J30" s="19">
        <f t="shared" si="0"/>
        <v>1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">
      <c r="A31" t="s">
        <v>36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">
      <c r="A32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">
      <c r="A33" t="s">
        <v>38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">
      <c r="A34" t="s">
        <v>39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">
      <c r="A35" t="s">
        <v>40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</row>
    <row r="36" spans="1:13" ht="15" customHeight="1" x14ac:dyDescent="0.2">
      <c r="A36" t="s">
        <v>41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9">
        <f t="shared" si="0"/>
        <v>0</v>
      </c>
      <c r="K36" s="19">
        <f t="shared" si="1"/>
        <v>0</v>
      </c>
      <c r="L36" s="19">
        <f t="shared" si="2"/>
        <v>0</v>
      </c>
      <c r="M36" s="19">
        <f t="shared" si="3"/>
        <v>0</v>
      </c>
    </row>
    <row r="37" spans="1:13" ht="15" customHeight="1" x14ac:dyDescent="0.2">
      <c r="A37" t="s">
        <v>42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9">
        <f t="shared" si="0"/>
        <v>0</v>
      </c>
      <c r="K37" s="19">
        <f t="shared" si="1"/>
        <v>0</v>
      </c>
      <c r="L37" s="19">
        <f t="shared" si="2"/>
        <v>0</v>
      </c>
      <c r="M37" s="19">
        <f t="shared" si="3"/>
        <v>0</v>
      </c>
    </row>
    <row r="38" spans="1:13" ht="15" customHeight="1" x14ac:dyDescent="0.2">
      <c r="A38" t="s">
        <v>43</v>
      </c>
      <c r="B38" s="18">
        <v>0</v>
      </c>
      <c r="C38" s="18">
        <v>0</v>
      </c>
      <c r="D38" s="18">
        <v>0</v>
      </c>
      <c r="E38" s="18">
        <v>0</v>
      </c>
      <c r="F38" s="18">
        <v>1</v>
      </c>
      <c r="G38" s="18">
        <v>0</v>
      </c>
      <c r="H38" s="18">
        <v>0</v>
      </c>
      <c r="I38" s="18">
        <v>0</v>
      </c>
      <c r="J38" s="19">
        <f t="shared" si="0"/>
        <v>1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">
      <c r="A39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">
      <c r="A40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f t="shared" si="0"/>
        <v>0</v>
      </c>
      <c r="K40" s="19">
        <f t="shared" si="1"/>
        <v>0</v>
      </c>
      <c r="L40" s="19">
        <f t="shared" si="2"/>
        <v>0</v>
      </c>
      <c r="M40" s="19">
        <f t="shared" si="3"/>
        <v>0</v>
      </c>
    </row>
    <row r="41" spans="1:13" ht="15" customHeight="1" x14ac:dyDescent="0.2">
      <c r="A41" t="s">
        <v>46</v>
      </c>
      <c r="B41" s="18">
        <v>1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9">
        <f t="shared" si="0"/>
        <v>0</v>
      </c>
      <c r="K41" s="19">
        <f t="shared" si="1"/>
        <v>1</v>
      </c>
      <c r="L41" s="19">
        <f t="shared" si="2"/>
        <v>0</v>
      </c>
      <c r="M41" s="19">
        <f t="shared" si="3"/>
        <v>0</v>
      </c>
    </row>
    <row r="42" spans="1:13" ht="15" customHeight="1" x14ac:dyDescent="0.2">
      <c r="A42" t="s">
        <v>47</v>
      </c>
      <c r="B42" s="18">
        <v>0</v>
      </c>
      <c r="C42" s="18">
        <v>0</v>
      </c>
      <c r="D42" s="18">
        <v>0</v>
      </c>
      <c r="E42" s="18">
        <v>0</v>
      </c>
      <c r="F42" s="18">
        <v>1</v>
      </c>
      <c r="G42" s="18">
        <v>0</v>
      </c>
      <c r="H42" s="18">
        <v>0</v>
      </c>
      <c r="I42" s="18">
        <v>0</v>
      </c>
      <c r="J42" s="19">
        <f t="shared" si="0"/>
        <v>1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">
      <c r="A43" t="s">
        <v>48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9">
        <f t="shared" si="0"/>
        <v>0</v>
      </c>
      <c r="K43" s="19">
        <f t="shared" si="1"/>
        <v>0</v>
      </c>
      <c r="L43" s="19">
        <f t="shared" si="2"/>
        <v>0</v>
      </c>
      <c r="M43" s="19">
        <f t="shared" si="3"/>
        <v>0</v>
      </c>
    </row>
    <row r="44" spans="1:13" ht="15" customHeight="1" x14ac:dyDescent="0.2">
      <c r="A44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9">
        <f t="shared" si="0"/>
        <v>0</v>
      </c>
      <c r="K44" s="19">
        <f t="shared" si="1"/>
        <v>0</v>
      </c>
      <c r="L44" s="19">
        <f t="shared" si="2"/>
        <v>0</v>
      </c>
      <c r="M44" s="19">
        <f t="shared" si="3"/>
        <v>0</v>
      </c>
    </row>
    <row r="45" spans="1:13" ht="15" customHeight="1" x14ac:dyDescent="0.2">
      <c r="A45" t="s">
        <v>50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1</v>
      </c>
      <c r="I45" s="18">
        <v>0</v>
      </c>
      <c r="J45" s="19">
        <f t="shared" si="0"/>
        <v>0</v>
      </c>
      <c r="K45" s="19">
        <f t="shared" si="1"/>
        <v>1</v>
      </c>
      <c r="L45" s="19">
        <f t="shared" si="2"/>
        <v>0</v>
      </c>
      <c r="M45" s="19">
        <f t="shared" si="3"/>
        <v>0</v>
      </c>
    </row>
    <row r="46" spans="1:13" ht="15" customHeight="1" x14ac:dyDescent="0.2">
      <c r="A46" t="s">
        <v>51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9">
        <f t="shared" si="0"/>
        <v>0</v>
      </c>
      <c r="K46" s="19">
        <f t="shared" si="1"/>
        <v>0</v>
      </c>
      <c r="L46" s="19">
        <f t="shared" si="2"/>
        <v>0</v>
      </c>
      <c r="M46" s="19">
        <f t="shared" si="3"/>
        <v>0</v>
      </c>
    </row>
    <row r="47" spans="1:13" ht="15" customHeight="1" x14ac:dyDescent="0.2">
      <c r="A47" t="s">
        <v>52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9">
        <f t="shared" si="0"/>
        <v>0</v>
      </c>
      <c r="K47" s="19">
        <f t="shared" si="1"/>
        <v>0</v>
      </c>
      <c r="L47" s="19">
        <f t="shared" si="2"/>
        <v>0</v>
      </c>
      <c r="M47" s="19">
        <f t="shared" si="3"/>
        <v>0</v>
      </c>
    </row>
    <row r="48" spans="1:13" ht="15" customHeight="1" x14ac:dyDescent="0.2">
      <c r="A48" t="s">
        <v>53</v>
      </c>
      <c r="B48" s="18">
        <v>0</v>
      </c>
      <c r="C48" s="18">
        <v>0</v>
      </c>
      <c r="D48" s="18">
        <v>1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9">
        <f t="shared" si="0"/>
        <v>1</v>
      </c>
      <c r="K48" s="19">
        <f t="shared" si="1"/>
        <v>0</v>
      </c>
      <c r="L48" s="19">
        <f t="shared" si="2"/>
        <v>0</v>
      </c>
      <c r="M48" s="19">
        <f t="shared" si="3"/>
        <v>0</v>
      </c>
    </row>
    <row r="49" spans="1:13" ht="15" customHeight="1" x14ac:dyDescent="0.2">
      <c r="A49" t="s">
        <v>54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9">
        <f t="shared" si="0"/>
        <v>0</v>
      </c>
      <c r="K49" s="19">
        <f t="shared" si="1"/>
        <v>0</v>
      </c>
      <c r="L49" s="19">
        <f t="shared" si="2"/>
        <v>0</v>
      </c>
      <c r="M49" s="19">
        <f t="shared" si="3"/>
        <v>0</v>
      </c>
    </row>
    <row r="50" spans="1:13" ht="15" customHeight="1" x14ac:dyDescent="0.2">
      <c r="A50" t="s">
        <v>55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>
        <f t="shared" si="0"/>
        <v>0</v>
      </c>
      <c r="K50" s="19">
        <f t="shared" si="1"/>
        <v>0</v>
      </c>
      <c r="L50" s="19">
        <f t="shared" si="2"/>
        <v>0</v>
      </c>
      <c r="M50" s="19">
        <f t="shared" si="3"/>
        <v>0</v>
      </c>
    </row>
    <row r="51" spans="1:13" ht="15" customHeight="1" x14ac:dyDescent="0.2">
      <c r="A51" t="s">
        <v>56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9">
        <f t="shared" si="0"/>
        <v>0</v>
      </c>
      <c r="K51" s="19">
        <f t="shared" si="1"/>
        <v>0</v>
      </c>
      <c r="L51" s="19">
        <f t="shared" si="2"/>
        <v>0</v>
      </c>
      <c r="M51" s="19">
        <f t="shared" si="3"/>
        <v>0</v>
      </c>
    </row>
    <row r="52" spans="1:13" ht="15" customHeight="1" x14ac:dyDescent="0.2">
      <c r="A52" t="s">
        <v>57</v>
      </c>
      <c r="B52" s="18">
        <v>0</v>
      </c>
      <c r="C52" s="18">
        <v>0</v>
      </c>
      <c r="D52" s="18">
        <v>0</v>
      </c>
      <c r="E52" s="18">
        <v>1</v>
      </c>
      <c r="F52" s="18">
        <v>0</v>
      </c>
      <c r="G52" s="18">
        <v>0</v>
      </c>
      <c r="H52" s="18">
        <v>1</v>
      </c>
      <c r="I52" s="18">
        <v>0</v>
      </c>
      <c r="J52" s="19">
        <f t="shared" si="0"/>
        <v>0</v>
      </c>
      <c r="K52" s="19">
        <f t="shared" si="1"/>
        <v>1</v>
      </c>
      <c r="L52" s="19">
        <f t="shared" si="2"/>
        <v>1</v>
      </c>
      <c r="M52" s="19">
        <f t="shared" si="3"/>
        <v>0</v>
      </c>
    </row>
    <row r="53" spans="1:13" ht="15" customHeight="1" x14ac:dyDescent="0.2">
      <c r="A53" t="s">
        <v>58</v>
      </c>
      <c r="B53" s="18">
        <v>0</v>
      </c>
      <c r="C53" s="18">
        <v>0</v>
      </c>
      <c r="D53" s="18">
        <v>3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9">
        <f t="shared" si="0"/>
        <v>3</v>
      </c>
      <c r="K53" s="19">
        <f t="shared" si="1"/>
        <v>0</v>
      </c>
      <c r="L53" s="19">
        <f t="shared" si="2"/>
        <v>0</v>
      </c>
      <c r="M53" s="19">
        <f t="shared" si="3"/>
        <v>0</v>
      </c>
    </row>
    <row r="54" spans="1:13" ht="15" customHeight="1" x14ac:dyDescent="0.2">
      <c r="A54" t="s">
        <v>59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9">
        <f t="shared" si="0"/>
        <v>0</v>
      </c>
      <c r="K54" s="19">
        <f t="shared" si="1"/>
        <v>0</v>
      </c>
      <c r="L54" s="19">
        <f t="shared" si="2"/>
        <v>0</v>
      </c>
      <c r="M54" s="19">
        <f t="shared" si="3"/>
        <v>0</v>
      </c>
    </row>
    <row r="55" spans="1:13" ht="15" customHeight="1" x14ac:dyDescent="0.2">
      <c r="A55" t="s">
        <v>60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9">
        <f t="shared" si="0"/>
        <v>0</v>
      </c>
      <c r="K55" s="19">
        <f t="shared" si="1"/>
        <v>0</v>
      </c>
      <c r="L55" s="19">
        <f t="shared" si="2"/>
        <v>0</v>
      </c>
      <c r="M55" s="19">
        <f t="shared" si="3"/>
        <v>0</v>
      </c>
    </row>
    <row r="56" spans="1:13" ht="15" customHeight="1" x14ac:dyDescent="0.2">
      <c r="A56" t="s">
        <v>61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9">
        <f t="shared" si="0"/>
        <v>0</v>
      </c>
      <c r="K56" s="19">
        <f t="shared" si="1"/>
        <v>0</v>
      </c>
      <c r="L56" s="19">
        <f t="shared" si="2"/>
        <v>0</v>
      </c>
      <c r="M56" s="19">
        <f t="shared" si="3"/>
        <v>0</v>
      </c>
    </row>
    <row r="57" spans="1:13" ht="15" customHeight="1" x14ac:dyDescent="0.2">
      <c r="A57" t="s">
        <v>62</v>
      </c>
      <c r="B57" s="18">
        <v>2</v>
      </c>
      <c r="C57" s="18">
        <v>0</v>
      </c>
      <c r="D57" s="18">
        <v>1</v>
      </c>
      <c r="E57" s="18">
        <v>1</v>
      </c>
      <c r="F57" s="18">
        <v>0</v>
      </c>
      <c r="G57" s="18">
        <v>0</v>
      </c>
      <c r="H57" s="18">
        <v>0</v>
      </c>
      <c r="I57" s="18">
        <v>0</v>
      </c>
      <c r="J57" s="19">
        <f t="shared" si="0"/>
        <v>1</v>
      </c>
      <c r="K57" s="19">
        <f t="shared" si="1"/>
        <v>2</v>
      </c>
      <c r="L57" s="19">
        <f t="shared" si="2"/>
        <v>1</v>
      </c>
      <c r="M57" s="19">
        <f t="shared" si="3"/>
        <v>0</v>
      </c>
    </row>
    <row r="58" spans="1:13" ht="15" customHeight="1" x14ac:dyDescent="0.2">
      <c r="A58" t="s">
        <v>63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1</v>
      </c>
      <c r="I58" s="18">
        <v>0</v>
      </c>
      <c r="J58" s="19">
        <f t="shared" si="0"/>
        <v>0</v>
      </c>
      <c r="K58" s="19">
        <f t="shared" si="1"/>
        <v>1</v>
      </c>
      <c r="L58" s="19">
        <f t="shared" si="2"/>
        <v>0</v>
      </c>
      <c r="M58" s="19">
        <f t="shared" si="3"/>
        <v>0</v>
      </c>
    </row>
    <row r="59" spans="1:13" ht="15" customHeight="1" x14ac:dyDescent="0.2">
      <c r="A59" t="s">
        <v>64</v>
      </c>
      <c r="B59" s="18">
        <v>0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9">
        <f t="shared" si="0"/>
        <v>0</v>
      </c>
      <c r="K59" s="19">
        <f t="shared" si="1"/>
        <v>0</v>
      </c>
      <c r="L59" s="19">
        <f t="shared" si="2"/>
        <v>0</v>
      </c>
      <c r="M59" s="19">
        <f t="shared" si="3"/>
        <v>0</v>
      </c>
    </row>
    <row r="60" spans="1:13" ht="15" customHeight="1" x14ac:dyDescent="0.2">
      <c r="A60" t="s">
        <v>65</v>
      </c>
      <c r="B60" s="18">
        <v>0</v>
      </c>
      <c r="C60" s="18">
        <v>0</v>
      </c>
      <c r="D60" s="18">
        <v>1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9">
        <f t="shared" si="0"/>
        <v>1</v>
      </c>
      <c r="K60" s="19">
        <f t="shared" si="1"/>
        <v>0</v>
      </c>
      <c r="L60" s="19">
        <f t="shared" si="2"/>
        <v>0</v>
      </c>
      <c r="M60" s="19">
        <f t="shared" si="3"/>
        <v>0</v>
      </c>
    </row>
    <row r="61" spans="1:13" ht="15" customHeight="1" x14ac:dyDescent="0.2">
      <c r="A61" t="s">
        <v>66</v>
      </c>
      <c r="B61" s="18">
        <v>2</v>
      </c>
      <c r="C61" s="18">
        <v>0</v>
      </c>
      <c r="D61" s="18">
        <v>0</v>
      </c>
      <c r="E61" s="18">
        <v>0</v>
      </c>
      <c r="F61" s="18">
        <v>1</v>
      </c>
      <c r="G61" s="18">
        <v>0</v>
      </c>
      <c r="H61" s="18">
        <v>0</v>
      </c>
      <c r="I61" s="18">
        <v>0</v>
      </c>
      <c r="J61" s="19">
        <f t="shared" si="0"/>
        <v>1</v>
      </c>
      <c r="K61" s="19">
        <f t="shared" si="1"/>
        <v>2</v>
      </c>
      <c r="L61" s="19">
        <f t="shared" si="2"/>
        <v>0</v>
      </c>
      <c r="M61" s="19">
        <f t="shared" si="3"/>
        <v>0</v>
      </c>
    </row>
    <row r="62" spans="1:13" ht="15" customHeight="1" x14ac:dyDescent="0.2">
      <c r="A62" t="s">
        <v>67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">
      <c r="A63" t="s">
        <v>68</v>
      </c>
      <c r="B63" s="18">
        <v>0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9">
        <f t="shared" si="0"/>
        <v>0</v>
      </c>
      <c r="K63" s="19">
        <f t="shared" si="1"/>
        <v>0</v>
      </c>
      <c r="L63" s="19">
        <f t="shared" si="2"/>
        <v>0</v>
      </c>
      <c r="M63" s="19">
        <f t="shared" si="3"/>
        <v>0</v>
      </c>
    </row>
    <row r="64" spans="1:13" ht="15" customHeight="1" x14ac:dyDescent="0.2">
      <c r="A64" t="s">
        <v>69</v>
      </c>
      <c r="B64" s="18">
        <v>0</v>
      </c>
      <c r="C64" s="18">
        <v>0</v>
      </c>
      <c r="D64" s="18">
        <v>0</v>
      </c>
      <c r="E64" s="18">
        <v>0</v>
      </c>
      <c r="F64" s="18">
        <v>0</v>
      </c>
      <c r="G64" s="18">
        <v>1</v>
      </c>
      <c r="H64" s="18">
        <v>0</v>
      </c>
      <c r="I64" s="18">
        <v>0</v>
      </c>
      <c r="J64" s="19">
        <f t="shared" si="0"/>
        <v>0</v>
      </c>
      <c r="K64" s="19">
        <f t="shared" si="1"/>
        <v>0</v>
      </c>
      <c r="L64" s="19">
        <f t="shared" si="2"/>
        <v>1</v>
      </c>
      <c r="M64" s="19">
        <f t="shared" si="3"/>
        <v>0</v>
      </c>
    </row>
    <row r="65" spans="1:13" ht="15" customHeight="1" x14ac:dyDescent="0.2">
      <c r="A65" t="s">
        <v>70</v>
      </c>
      <c r="B65" s="18">
        <v>0</v>
      </c>
      <c r="C65" s="18">
        <v>0</v>
      </c>
      <c r="D65" s="18">
        <v>1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9">
        <f t="shared" si="0"/>
        <v>1</v>
      </c>
      <c r="K65" s="19">
        <f t="shared" si="1"/>
        <v>0</v>
      </c>
      <c r="L65" s="19">
        <f t="shared" si="2"/>
        <v>0</v>
      </c>
      <c r="M65" s="19">
        <f t="shared" si="3"/>
        <v>0</v>
      </c>
    </row>
    <row r="66" spans="1:13" ht="15" customHeight="1" x14ac:dyDescent="0.2">
      <c r="A66" t="s">
        <v>71</v>
      </c>
      <c r="B66" s="18">
        <v>0</v>
      </c>
      <c r="C66" s="18">
        <v>0</v>
      </c>
      <c r="D66" s="18">
        <v>0</v>
      </c>
      <c r="E66" s="18">
        <v>1</v>
      </c>
      <c r="F66" s="18">
        <v>1</v>
      </c>
      <c r="G66" s="18">
        <v>1</v>
      </c>
      <c r="H66" s="18">
        <v>0</v>
      </c>
      <c r="I66" s="18">
        <v>0</v>
      </c>
      <c r="J66" s="19">
        <f t="shared" si="0"/>
        <v>1</v>
      </c>
      <c r="K66" s="19">
        <f t="shared" si="1"/>
        <v>0</v>
      </c>
      <c r="L66" s="19">
        <f t="shared" si="2"/>
        <v>2</v>
      </c>
      <c r="M66" s="19">
        <f t="shared" si="3"/>
        <v>0</v>
      </c>
    </row>
    <row r="67" spans="1:13" ht="15" customHeight="1" x14ac:dyDescent="0.2">
      <c r="A67" t="s">
        <v>72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9">
        <f t="shared" si="0"/>
        <v>0</v>
      </c>
      <c r="K67" s="19">
        <f t="shared" si="1"/>
        <v>0</v>
      </c>
      <c r="L67" s="19">
        <f t="shared" si="2"/>
        <v>0</v>
      </c>
      <c r="M67" s="19">
        <f t="shared" si="3"/>
        <v>0</v>
      </c>
    </row>
    <row r="68" spans="1:13" ht="15" customHeight="1" x14ac:dyDescent="0.2">
      <c r="A68" t="s">
        <v>73</v>
      </c>
      <c r="B68" s="18">
        <v>0</v>
      </c>
      <c r="C68" s="18">
        <v>0</v>
      </c>
      <c r="D68" s="18">
        <v>1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>
        <f t="shared" si="0"/>
        <v>1</v>
      </c>
      <c r="K68" s="19">
        <f t="shared" si="1"/>
        <v>0</v>
      </c>
      <c r="L68" s="19">
        <f t="shared" si="2"/>
        <v>0</v>
      </c>
      <c r="M68" s="19">
        <f t="shared" si="3"/>
        <v>0</v>
      </c>
    </row>
    <row r="69" spans="1:13" ht="15" customHeight="1" x14ac:dyDescent="0.2">
      <c r="A69" t="s">
        <v>74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9">
        <f t="shared" si="0"/>
        <v>0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">
      <c r="A70" t="s">
        <v>75</v>
      </c>
      <c r="B70" s="18">
        <v>0</v>
      </c>
      <c r="C70" s="18">
        <v>0</v>
      </c>
      <c r="D70" s="18">
        <v>1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>
        <f t="shared" si="0"/>
        <v>1</v>
      </c>
      <c r="K70" s="19">
        <f t="shared" si="1"/>
        <v>0</v>
      </c>
      <c r="L70" s="19">
        <f t="shared" si="2"/>
        <v>0</v>
      </c>
      <c r="M70" s="19">
        <f t="shared" si="3"/>
        <v>0</v>
      </c>
    </row>
    <row r="71" spans="1:13" ht="15" customHeight="1" x14ac:dyDescent="0.2">
      <c r="A71" t="s">
        <v>76</v>
      </c>
      <c r="B71" s="18">
        <v>0</v>
      </c>
      <c r="C71" s="18">
        <v>0</v>
      </c>
      <c r="D71" s="18">
        <v>1</v>
      </c>
      <c r="E71" s="18">
        <v>0</v>
      </c>
      <c r="F71" s="18">
        <v>1</v>
      </c>
      <c r="G71" s="18">
        <v>0</v>
      </c>
      <c r="H71" s="18">
        <v>0</v>
      </c>
      <c r="I71" s="18">
        <v>0</v>
      </c>
      <c r="J71" s="19">
        <f t="shared" si="0"/>
        <v>2</v>
      </c>
      <c r="K71" s="19">
        <f t="shared" si="1"/>
        <v>0</v>
      </c>
      <c r="L71" s="19">
        <f t="shared" si="2"/>
        <v>0</v>
      </c>
      <c r="M71" s="19">
        <f t="shared" si="3"/>
        <v>0</v>
      </c>
    </row>
    <row r="72" spans="1:13" ht="15" customHeight="1" x14ac:dyDescent="0.2">
      <c r="A72" t="s">
        <v>77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2</v>
      </c>
      <c r="I72" s="18">
        <v>0</v>
      </c>
      <c r="J72" s="19">
        <f t="shared" si="0"/>
        <v>0</v>
      </c>
      <c r="K72" s="19">
        <f t="shared" si="1"/>
        <v>2</v>
      </c>
      <c r="L72" s="19">
        <f t="shared" si="2"/>
        <v>0</v>
      </c>
      <c r="M72" s="19">
        <f t="shared" si="3"/>
        <v>0</v>
      </c>
    </row>
    <row r="73" spans="1:13" ht="15" customHeight="1" x14ac:dyDescent="0.2">
      <c r="A73" t="s">
        <v>78</v>
      </c>
      <c r="B73" s="18">
        <v>0</v>
      </c>
      <c r="C73" s="18">
        <v>0</v>
      </c>
      <c r="D73" s="18">
        <v>0</v>
      </c>
      <c r="E73" s="18">
        <v>0</v>
      </c>
      <c r="F73" s="18">
        <v>1</v>
      </c>
      <c r="G73" s="18">
        <v>0</v>
      </c>
      <c r="H73" s="18">
        <v>0</v>
      </c>
      <c r="I73" s="18">
        <v>0</v>
      </c>
      <c r="J73" s="19">
        <f t="shared" si="0"/>
        <v>1</v>
      </c>
      <c r="K73" s="19">
        <f t="shared" si="1"/>
        <v>0</v>
      </c>
      <c r="L73" s="19">
        <f t="shared" si="2"/>
        <v>0</v>
      </c>
      <c r="M73" s="19">
        <f t="shared" si="3"/>
        <v>0</v>
      </c>
    </row>
    <row r="74" spans="1:13" ht="15" customHeight="1" x14ac:dyDescent="0.2">
      <c r="A74" t="s">
        <v>79</v>
      </c>
      <c r="B74" s="18">
        <v>5</v>
      </c>
      <c r="C74" s="18">
        <v>0</v>
      </c>
      <c r="D74" s="18">
        <v>2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9">
        <f t="shared" si="0"/>
        <v>2</v>
      </c>
      <c r="K74" s="19">
        <f t="shared" si="1"/>
        <v>5</v>
      </c>
      <c r="L74" s="19">
        <f t="shared" si="2"/>
        <v>0</v>
      </c>
      <c r="M74" s="19">
        <f t="shared" si="3"/>
        <v>0</v>
      </c>
    </row>
    <row r="75" spans="1:13" ht="15" customHeight="1" x14ac:dyDescent="0.2">
      <c r="A75" t="s">
        <v>80</v>
      </c>
      <c r="B75" s="18">
        <v>0</v>
      </c>
      <c r="C75" s="18">
        <v>0</v>
      </c>
      <c r="D75" s="18">
        <v>1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9">
        <f t="shared" ref="J75:J138" si="4">SUM(D75,F75)</f>
        <v>1</v>
      </c>
      <c r="K75" s="19">
        <f t="shared" ref="K75:K138" si="5">SUM(B75,H75)</f>
        <v>0</v>
      </c>
      <c r="L75" s="19">
        <f t="shared" ref="L75:L138" si="6">SUM(E75,G75)</f>
        <v>0</v>
      </c>
      <c r="M75" s="19">
        <f t="shared" ref="M75:M138" si="7">SUM(C75,I75)</f>
        <v>0</v>
      </c>
    </row>
    <row r="76" spans="1:13" ht="15" customHeight="1" x14ac:dyDescent="0.2">
      <c r="A76" t="s">
        <v>81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1</v>
      </c>
      <c r="H76" s="18">
        <v>1</v>
      </c>
      <c r="I76" s="18">
        <v>0</v>
      </c>
      <c r="J76" s="19">
        <f t="shared" si="4"/>
        <v>0</v>
      </c>
      <c r="K76" s="19">
        <f t="shared" si="5"/>
        <v>1</v>
      </c>
      <c r="L76" s="19">
        <f t="shared" si="6"/>
        <v>1</v>
      </c>
      <c r="M76" s="19">
        <f t="shared" si="7"/>
        <v>0</v>
      </c>
    </row>
    <row r="77" spans="1:13" ht="15" customHeight="1" x14ac:dyDescent="0.2">
      <c r="A77" t="s">
        <v>82</v>
      </c>
      <c r="B77" s="18">
        <v>0</v>
      </c>
      <c r="C77" s="18">
        <v>0</v>
      </c>
      <c r="D77" s="18">
        <v>1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9">
        <f t="shared" si="4"/>
        <v>1</v>
      </c>
      <c r="K77" s="19">
        <f t="shared" si="5"/>
        <v>0</v>
      </c>
      <c r="L77" s="19">
        <f t="shared" si="6"/>
        <v>0</v>
      </c>
      <c r="M77" s="19">
        <f t="shared" si="7"/>
        <v>0</v>
      </c>
    </row>
    <row r="78" spans="1:13" ht="15" customHeight="1" x14ac:dyDescent="0.2">
      <c r="A78" t="s">
        <v>83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1</v>
      </c>
      <c r="I78" s="18">
        <v>0</v>
      </c>
      <c r="J78" s="19">
        <f t="shared" si="4"/>
        <v>0</v>
      </c>
      <c r="K78" s="19">
        <f t="shared" si="5"/>
        <v>1</v>
      </c>
      <c r="L78" s="19">
        <f t="shared" si="6"/>
        <v>0</v>
      </c>
      <c r="M78" s="19">
        <f t="shared" si="7"/>
        <v>0</v>
      </c>
    </row>
    <row r="79" spans="1:13" ht="15" customHeight="1" x14ac:dyDescent="0.2">
      <c r="A79" t="s">
        <v>84</v>
      </c>
      <c r="B79" s="18">
        <v>1</v>
      </c>
      <c r="C79" s="18">
        <v>0</v>
      </c>
      <c r="D79" s="18">
        <v>1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9">
        <f t="shared" si="4"/>
        <v>1</v>
      </c>
      <c r="K79" s="19">
        <f t="shared" si="5"/>
        <v>1</v>
      </c>
      <c r="L79" s="19">
        <f t="shared" si="6"/>
        <v>0</v>
      </c>
      <c r="M79" s="19">
        <f t="shared" si="7"/>
        <v>0</v>
      </c>
    </row>
    <row r="80" spans="1:13" ht="15" customHeight="1" x14ac:dyDescent="0.2">
      <c r="A80" t="s">
        <v>85</v>
      </c>
      <c r="B80" s="18">
        <v>0</v>
      </c>
      <c r="C80" s="18">
        <v>0</v>
      </c>
      <c r="D80" s="18">
        <v>1</v>
      </c>
      <c r="E80" s="18">
        <v>0</v>
      </c>
      <c r="F80" s="18">
        <v>0</v>
      </c>
      <c r="G80" s="18">
        <v>0</v>
      </c>
      <c r="H80" s="18">
        <v>1</v>
      </c>
      <c r="I80" s="18">
        <v>0</v>
      </c>
      <c r="J80" s="19">
        <f t="shared" si="4"/>
        <v>1</v>
      </c>
      <c r="K80" s="19">
        <f t="shared" si="5"/>
        <v>1</v>
      </c>
      <c r="L80" s="19">
        <f t="shared" si="6"/>
        <v>0</v>
      </c>
      <c r="M80" s="19">
        <f t="shared" si="7"/>
        <v>0</v>
      </c>
    </row>
    <row r="81" spans="1:13" ht="15" customHeight="1" x14ac:dyDescent="0.2">
      <c r="A81" t="s">
        <v>86</v>
      </c>
      <c r="B81" s="18">
        <v>1</v>
      </c>
      <c r="C81" s="18">
        <v>0</v>
      </c>
      <c r="D81" s="18">
        <v>0</v>
      </c>
      <c r="E81" s="18">
        <v>0</v>
      </c>
      <c r="F81" s="18">
        <v>1</v>
      </c>
      <c r="G81" s="18">
        <v>0</v>
      </c>
      <c r="H81" s="18">
        <v>0</v>
      </c>
      <c r="I81" s="18">
        <v>0</v>
      </c>
      <c r="J81" s="19">
        <f t="shared" si="4"/>
        <v>1</v>
      </c>
      <c r="K81" s="19">
        <f t="shared" si="5"/>
        <v>1</v>
      </c>
      <c r="L81" s="19">
        <f t="shared" si="6"/>
        <v>0</v>
      </c>
      <c r="M81" s="19">
        <f t="shared" si="7"/>
        <v>0</v>
      </c>
    </row>
    <row r="82" spans="1:13" ht="15" customHeight="1" x14ac:dyDescent="0.2">
      <c r="A82" t="s">
        <v>87</v>
      </c>
      <c r="B82" s="18">
        <v>0</v>
      </c>
      <c r="C82" s="18">
        <v>0</v>
      </c>
      <c r="D82" s="18">
        <v>1</v>
      </c>
      <c r="E82" s="18">
        <v>0</v>
      </c>
      <c r="F82" s="18">
        <v>1</v>
      </c>
      <c r="G82" s="18">
        <v>0</v>
      </c>
      <c r="H82" s="18">
        <v>0</v>
      </c>
      <c r="I82" s="18">
        <v>0</v>
      </c>
      <c r="J82" s="19">
        <f t="shared" si="4"/>
        <v>2</v>
      </c>
      <c r="K82" s="19">
        <f t="shared" si="5"/>
        <v>0</v>
      </c>
      <c r="L82" s="19">
        <f t="shared" si="6"/>
        <v>0</v>
      </c>
      <c r="M82" s="19">
        <f t="shared" si="7"/>
        <v>0</v>
      </c>
    </row>
    <row r="83" spans="1:13" ht="15" customHeight="1" x14ac:dyDescent="0.2">
      <c r="A83" t="s">
        <v>88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9">
        <f t="shared" si="4"/>
        <v>0</v>
      </c>
      <c r="K83" s="19">
        <f t="shared" si="5"/>
        <v>0</v>
      </c>
      <c r="L83" s="19">
        <f t="shared" si="6"/>
        <v>0</v>
      </c>
      <c r="M83" s="19">
        <f t="shared" si="7"/>
        <v>0</v>
      </c>
    </row>
    <row r="84" spans="1:13" ht="15" customHeight="1" x14ac:dyDescent="0.2">
      <c r="A84" t="s">
        <v>89</v>
      </c>
      <c r="B84" s="18">
        <v>0</v>
      </c>
      <c r="C84" s="18">
        <v>0</v>
      </c>
      <c r="D84" s="18">
        <v>0</v>
      </c>
      <c r="E84" s="18">
        <v>0</v>
      </c>
      <c r="F84" s="18">
        <v>1</v>
      </c>
      <c r="G84" s="18">
        <v>0</v>
      </c>
      <c r="H84" s="18">
        <v>0</v>
      </c>
      <c r="I84" s="18">
        <v>0</v>
      </c>
      <c r="J84" s="19">
        <f t="shared" si="4"/>
        <v>1</v>
      </c>
      <c r="K84" s="19">
        <f t="shared" si="5"/>
        <v>0</v>
      </c>
      <c r="L84" s="19">
        <f t="shared" si="6"/>
        <v>0</v>
      </c>
      <c r="M84" s="19">
        <f t="shared" si="7"/>
        <v>0</v>
      </c>
    </row>
    <row r="85" spans="1:13" ht="15" customHeight="1" x14ac:dyDescent="0.2">
      <c r="A85" t="s">
        <v>90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9">
        <f t="shared" si="4"/>
        <v>0</v>
      </c>
      <c r="K85" s="19">
        <f t="shared" si="5"/>
        <v>0</v>
      </c>
      <c r="L85" s="19">
        <f t="shared" si="6"/>
        <v>0</v>
      </c>
      <c r="M85" s="19">
        <f t="shared" si="7"/>
        <v>0</v>
      </c>
    </row>
    <row r="86" spans="1:13" ht="15" customHeight="1" x14ac:dyDescent="0.2">
      <c r="A86" t="s">
        <v>91</v>
      </c>
      <c r="B86" s="18">
        <v>0</v>
      </c>
      <c r="C86" s="18">
        <v>0</v>
      </c>
      <c r="D86" s="18">
        <v>1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9">
        <f t="shared" si="4"/>
        <v>1</v>
      </c>
      <c r="K86" s="19">
        <f t="shared" si="5"/>
        <v>0</v>
      </c>
      <c r="L86" s="19">
        <f t="shared" si="6"/>
        <v>0</v>
      </c>
      <c r="M86" s="19">
        <f t="shared" si="7"/>
        <v>0</v>
      </c>
    </row>
    <row r="87" spans="1:13" ht="15" customHeight="1" x14ac:dyDescent="0.2">
      <c r="A87" t="s">
        <v>92</v>
      </c>
      <c r="B87" s="18">
        <v>0</v>
      </c>
      <c r="C87" s="18">
        <v>0</v>
      </c>
      <c r="D87" s="18">
        <v>1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9">
        <f t="shared" si="4"/>
        <v>1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ht="15" customHeight="1" x14ac:dyDescent="0.2">
      <c r="A88" t="s">
        <v>93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9">
        <f t="shared" si="4"/>
        <v>0</v>
      </c>
      <c r="K88" s="19">
        <f t="shared" si="5"/>
        <v>0</v>
      </c>
      <c r="L88" s="19">
        <f t="shared" si="6"/>
        <v>0</v>
      </c>
      <c r="M88" s="19">
        <f t="shared" si="7"/>
        <v>0</v>
      </c>
    </row>
    <row r="89" spans="1:13" ht="15" customHeight="1" x14ac:dyDescent="0.2">
      <c r="A89" t="s">
        <v>94</v>
      </c>
      <c r="B89" s="18">
        <v>0</v>
      </c>
      <c r="C89" s="18">
        <v>0</v>
      </c>
      <c r="D89" s="18">
        <v>0</v>
      </c>
      <c r="E89" s="18">
        <v>1</v>
      </c>
      <c r="F89" s="18">
        <v>1</v>
      </c>
      <c r="G89" s="18">
        <v>0</v>
      </c>
      <c r="H89" s="18">
        <v>0</v>
      </c>
      <c r="I89" s="18">
        <v>0</v>
      </c>
      <c r="J89" s="19">
        <f t="shared" si="4"/>
        <v>1</v>
      </c>
      <c r="K89" s="19">
        <f t="shared" si="5"/>
        <v>0</v>
      </c>
      <c r="L89" s="19">
        <f t="shared" si="6"/>
        <v>1</v>
      </c>
      <c r="M89" s="19">
        <f t="shared" si="7"/>
        <v>0</v>
      </c>
    </row>
    <row r="90" spans="1:13" ht="15" customHeight="1" x14ac:dyDescent="0.2">
      <c r="A90" t="s">
        <v>95</v>
      </c>
      <c r="B90" s="18">
        <v>1</v>
      </c>
      <c r="C90" s="18">
        <v>0</v>
      </c>
      <c r="D90" s="18">
        <v>2</v>
      </c>
      <c r="E90" s="18">
        <v>0</v>
      </c>
      <c r="F90" s="18">
        <v>0</v>
      </c>
      <c r="G90" s="18">
        <v>3</v>
      </c>
      <c r="H90" s="18">
        <v>0</v>
      </c>
      <c r="I90" s="18">
        <v>0</v>
      </c>
      <c r="J90" s="19">
        <f t="shared" si="4"/>
        <v>2</v>
      </c>
      <c r="K90" s="19">
        <f t="shared" si="5"/>
        <v>1</v>
      </c>
      <c r="L90" s="19">
        <f t="shared" si="6"/>
        <v>3</v>
      </c>
      <c r="M90" s="19">
        <f t="shared" si="7"/>
        <v>0</v>
      </c>
    </row>
    <row r="91" spans="1:13" ht="15" customHeight="1" x14ac:dyDescent="0.2">
      <c r="A91" t="s">
        <v>96</v>
      </c>
      <c r="B91" s="18">
        <v>0</v>
      </c>
      <c r="C91" s="18">
        <v>0</v>
      </c>
      <c r="D91" s="18">
        <v>1</v>
      </c>
      <c r="E91" s="18">
        <v>0</v>
      </c>
      <c r="F91" s="18">
        <v>0</v>
      </c>
      <c r="G91" s="18">
        <v>0</v>
      </c>
      <c r="H91" s="18">
        <v>2</v>
      </c>
      <c r="I91" s="18">
        <v>0</v>
      </c>
      <c r="J91" s="19">
        <f t="shared" si="4"/>
        <v>1</v>
      </c>
      <c r="K91" s="19">
        <f t="shared" si="5"/>
        <v>2</v>
      </c>
      <c r="L91" s="19">
        <f t="shared" si="6"/>
        <v>0</v>
      </c>
      <c r="M91" s="19">
        <f t="shared" si="7"/>
        <v>0</v>
      </c>
    </row>
    <row r="92" spans="1:13" ht="15" customHeight="1" x14ac:dyDescent="0.2">
      <c r="A92" t="s">
        <v>97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9">
        <f t="shared" si="4"/>
        <v>0</v>
      </c>
      <c r="K92" s="19">
        <f t="shared" si="5"/>
        <v>0</v>
      </c>
      <c r="L92" s="19">
        <f t="shared" si="6"/>
        <v>0</v>
      </c>
      <c r="M92" s="19">
        <f t="shared" si="7"/>
        <v>0</v>
      </c>
    </row>
    <row r="93" spans="1:13" ht="15" customHeight="1" x14ac:dyDescent="0.2">
      <c r="A93" t="s">
        <v>98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9">
        <f t="shared" si="4"/>
        <v>0</v>
      </c>
      <c r="K93" s="19">
        <f t="shared" si="5"/>
        <v>0</v>
      </c>
      <c r="L93" s="19">
        <f t="shared" si="6"/>
        <v>0</v>
      </c>
      <c r="M93" s="19">
        <f t="shared" si="7"/>
        <v>0</v>
      </c>
    </row>
    <row r="94" spans="1:13" ht="15" customHeight="1" x14ac:dyDescent="0.2">
      <c r="A94" t="s">
        <v>99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9">
        <f t="shared" si="4"/>
        <v>0</v>
      </c>
      <c r="K94" s="19">
        <f t="shared" si="5"/>
        <v>0</v>
      </c>
      <c r="L94" s="19">
        <f t="shared" si="6"/>
        <v>0</v>
      </c>
      <c r="M94" s="19">
        <f t="shared" si="7"/>
        <v>0</v>
      </c>
    </row>
    <row r="95" spans="1:13" ht="15" customHeight="1" x14ac:dyDescent="0.2">
      <c r="A95" t="s">
        <v>100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</row>
    <row r="96" spans="1:13" ht="15" customHeight="1" x14ac:dyDescent="0.2">
      <c r="A96" t="s">
        <v>101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1</v>
      </c>
      <c r="H96" s="18">
        <v>1</v>
      </c>
      <c r="I96" s="18">
        <v>0</v>
      </c>
      <c r="J96" s="19">
        <f t="shared" si="4"/>
        <v>0</v>
      </c>
      <c r="K96" s="19">
        <f t="shared" si="5"/>
        <v>1</v>
      </c>
      <c r="L96" s="19">
        <f t="shared" si="6"/>
        <v>1</v>
      </c>
      <c r="M96" s="19">
        <f t="shared" si="7"/>
        <v>0</v>
      </c>
    </row>
    <row r="97" spans="1:13" ht="15" customHeight="1" x14ac:dyDescent="0.2">
      <c r="A97" t="s">
        <v>102</v>
      </c>
      <c r="B97" s="18">
        <v>0</v>
      </c>
      <c r="C97" s="18">
        <v>0</v>
      </c>
      <c r="D97" s="18">
        <v>0</v>
      </c>
      <c r="E97" s="18">
        <v>2</v>
      </c>
      <c r="F97" s="18">
        <v>0</v>
      </c>
      <c r="G97" s="18">
        <v>0</v>
      </c>
      <c r="H97" s="18">
        <v>1</v>
      </c>
      <c r="I97" s="18">
        <v>0</v>
      </c>
      <c r="J97" s="19">
        <f t="shared" si="4"/>
        <v>0</v>
      </c>
      <c r="K97" s="19">
        <f t="shared" si="5"/>
        <v>1</v>
      </c>
      <c r="L97" s="19">
        <f t="shared" si="6"/>
        <v>2</v>
      </c>
      <c r="M97" s="19">
        <f t="shared" si="7"/>
        <v>0</v>
      </c>
    </row>
    <row r="98" spans="1:13" ht="15" customHeight="1" x14ac:dyDescent="0.2">
      <c r="A98" t="s">
        <v>103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9">
        <f t="shared" si="4"/>
        <v>0</v>
      </c>
      <c r="K98" s="19">
        <f t="shared" si="5"/>
        <v>0</v>
      </c>
      <c r="L98" s="19">
        <f t="shared" si="6"/>
        <v>0</v>
      </c>
      <c r="M98" s="19">
        <f t="shared" si="7"/>
        <v>0</v>
      </c>
    </row>
    <row r="99" spans="1:13" ht="15" customHeight="1" x14ac:dyDescent="0.2">
      <c r="A99" t="s">
        <v>104</v>
      </c>
      <c r="B99" s="18">
        <v>0</v>
      </c>
      <c r="C99" s="18">
        <v>0</v>
      </c>
      <c r="D99" s="18">
        <v>1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9">
        <f t="shared" si="4"/>
        <v>1</v>
      </c>
      <c r="K99" s="19">
        <f t="shared" si="5"/>
        <v>0</v>
      </c>
      <c r="L99" s="19">
        <f t="shared" si="6"/>
        <v>0</v>
      </c>
      <c r="M99" s="19">
        <f t="shared" si="7"/>
        <v>0</v>
      </c>
    </row>
    <row r="100" spans="1:13" ht="15" customHeight="1" x14ac:dyDescent="0.2">
      <c r="A100" t="s">
        <v>105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">
      <c r="A101" t="s">
        <v>106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9">
        <f t="shared" si="4"/>
        <v>0</v>
      </c>
      <c r="K101" s="19">
        <f t="shared" si="5"/>
        <v>0</v>
      </c>
      <c r="L101" s="19">
        <f t="shared" si="6"/>
        <v>0</v>
      </c>
      <c r="M101" s="19">
        <f t="shared" si="7"/>
        <v>0</v>
      </c>
    </row>
    <row r="102" spans="1:13" ht="15" customHeight="1" x14ac:dyDescent="0.2">
      <c r="A102" t="s">
        <v>107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9">
        <f t="shared" si="4"/>
        <v>0</v>
      </c>
      <c r="K102" s="19">
        <f t="shared" si="5"/>
        <v>0</v>
      </c>
      <c r="L102" s="19">
        <f t="shared" si="6"/>
        <v>0</v>
      </c>
      <c r="M102" s="19">
        <f t="shared" si="7"/>
        <v>0</v>
      </c>
    </row>
    <row r="103" spans="1:13" ht="15" customHeight="1" x14ac:dyDescent="0.2">
      <c r="A103" t="s">
        <v>108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G103" s="18">
        <v>1</v>
      </c>
      <c r="H103" s="18">
        <v>0</v>
      </c>
      <c r="I103" s="18">
        <v>0</v>
      </c>
      <c r="J103" s="19">
        <f t="shared" si="4"/>
        <v>0</v>
      </c>
      <c r="K103" s="19">
        <f t="shared" si="5"/>
        <v>0</v>
      </c>
      <c r="L103" s="19">
        <f t="shared" si="6"/>
        <v>1</v>
      </c>
      <c r="M103" s="19">
        <f t="shared" si="7"/>
        <v>0</v>
      </c>
    </row>
    <row r="104" spans="1:13" ht="15" customHeight="1" x14ac:dyDescent="0.2">
      <c r="A104" t="s">
        <v>109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</row>
    <row r="105" spans="1:13" ht="15" customHeight="1" x14ac:dyDescent="0.2">
      <c r="A105" t="s">
        <v>110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9">
        <f t="shared" si="4"/>
        <v>0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">
      <c r="A106" t="s">
        <v>5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">
      <c r="A107" t="s">
        <v>16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">
      <c r="A108" t="s">
        <v>17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">
      <c r="A109" t="s">
        <v>18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9">
        <f t="shared" si="4"/>
        <v>0</v>
      </c>
      <c r="K109" s="19">
        <f t="shared" si="5"/>
        <v>0</v>
      </c>
      <c r="L109" s="19">
        <f t="shared" si="6"/>
        <v>0</v>
      </c>
      <c r="M109" s="19">
        <f t="shared" si="7"/>
        <v>0</v>
      </c>
    </row>
    <row r="110" spans="1:13" ht="15" customHeight="1" x14ac:dyDescent="0.2">
      <c r="A110" t="s">
        <v>19</v>
      </c>
      <c r="B110" s="18">
        <v>0</v>
      </c>
      <c r="C110" s="18">
        <v>0</v>
      </c>
      <c r="D110" s="18">
        <v>0</v>
      </c>
      <c r="E110" s="18">
        <v>1</v>
      </c>
      <c r="F110" s="18">
        <v>0</v>
      </c>
      <c r="G110" s="18">
        <v>0</v>
      </c>
      <c r="H110" s="18">
        <v>0</v>
      </c>
      <c r="I110" s="18">
        <v>0</v>
      </c>
      <c r="J110" s="19">
        <f t="shared" si="4"/>
        <v>0</v>
      </c>
      <c r="K110" s="19">
        <f t="shared" si="5"/>
        <v>0</v>
      </c>
      <c r="L110" s="19">
        <f t="shared" si="6"/>
        <v>1</v>
      </c>
      <c r="M110" s="19">
        <f t="shared" si="7"/>
        <v>0</v>
      </c>
    </row>
    <row r="111" spans="1:13" ht="15" customHeight="1" x14ac:dyDescent="0.2">
      <c r="A111" t="s">
        <v>20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</row>
    <row r="112" spans="1:13" ht="15" customHeight="1" x14ac:dyDescent="0.2">
      <c r="A112" t="s">
        <v>21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9">
        <f t="shared" si="4"/>
        <v>0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">
      <c r="A113" t="s">
        <v>22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">
      <c r="A114" t="s">
        <v>23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">
      <c r="A115" t="s">
        <v>24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">
      <c r="A116" t="s">
        <v>25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">
      <c r="A117" t="s">
        <v>26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">
      <c r="A118" t="s">
        <v>27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">
      <c r="A119" t="s">
        <v>28</v>
      </c>
      <c r="B119" s="18">
        <v>0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</row>
    <row r="120" spans="1:13" ht="15" customHeight="1" x14ac:dyDescent="0.2">
      <c r="A120" t="s">
        <v>29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">
      <c r="A121" t="s">
        <v>30</v>
      </c>
      <c r="B121" s="18">
        <v>0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">
      <c r="A122" t="s">
        <v>31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1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1</v>
      </c>
    </row>
    <row r="123" spans="1:13" ht="15" customHeight="1" x14ac:dyDescent="0.2">
      <c r="A123" t="s">
        <v>32</v>
      </c>
      <c r="B123" s="18">
        <v>0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">
      <c r="A124" t="s">
        <v>33</v>
      </c>
      <c r="B124" s="18">
        <v>1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9">
        <f t="shared" si="4"/>
        <v>0</v>
      </c>
      <c r="K124" s="19">
        <f t="shared" si="5"/>
        <v>1</v>
      </c>
      <c r="L124" s="19">
        <f t="shared" si="6"/>
        <v>0</v>
      </c>
      <c r="M124" s="19">
        <f t="shared" si="7"/>
        <v>0</v>
      </c>
    </row>
    <row r="125" spans="1:13" ht="15" customHeight="1" x14ac:dyDescent="0.2">
      <c r="A125" t="s">
        <v>34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">
      <c r="A126" t="s">
        <v>35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</row>
    <row r="127" spans="1:13" ht="15" customHeight="1" x14ac:dyDescent="0.2">
      <c r="A127" t="s">
        <v>36</v>
      </c>
      <c r="B127" s="18">
        <v>0</v>
      </c>
      <c r="C127" s="18">
        <v>0</v>
      </c>
      <c r="D127" s="18">
        <v>0</v>
      </c>
      <c r="E127" s="18">
        <v>0</v>
      </c>
      <c r="F127" s="18">
        <v>1</v>
      </c>
      <c r="G127" s="18">
        <v>0</v>
      </c>
      <c r="H127" s="18">
        <v>0</v>
      </c>
      <c r="I127" s="18">
        <v>0</v>
      </c>
      <c r="J127" s="19">
        <f t="shared" si="4"/>
        <v>1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">
      <c r="A128" t="s">
        <v>37</v>
      </c>
      <c r="B128" s="18">
        <v>0</v>
      </c>
      <c r="C128" s="18">
        <v>0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ht="15" customHeight="1" x14ac:dyDescent="0.2">
      <c r="A129" t="s">
        <v>38</v>
      </c>
      <c r="B129" s="18">
        <v>0</v>
      </c>
      <c r="C129" s="18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">
      <c r="A130" t="s">
        <v>39</v>
      </c>
      <c r="B130" s="18">
        <v>0</v>
      </c>
      <c r="C130" s="18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9">
        <f t="shared" si="4"/>
        <v>0</v>
      </c>
      <c r="K130" s="19">
        <f t="shared" si="5"/>
        <v>0</v>
      </c>
      <c r="L130" s="19">
        <f t="shared" si="6"/>
        <v>0</v>
      </c>
      <c r="M130" s="19">
        <f t="shared" si="7"/>
        <v>0</v>
      </c>
    </row>
    <row r="131" spans="1:13" ht="15" customHeight="1" x14ac:dyDescent="0.2">
      <c r="A131" t="s">
        <v>40</v>
      </c>
      <c r="B131" s="18">
        <v>0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9">
        <f t="shared" si="4"/>
        <v>0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">
      <c r="A132" t="s">
        <v>41</v>
      </c>
      <c r="B132" s="18">
        <v>0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9">
        <f t="shared" si="4"/>
        <v>0</v>
      </c>
      <c r="K132" s="19">
        <f t="shared" si="5"/>
        <v>0</v>
      </c>
      <c r="L132" s="19">
        <f t="shared" si="6"/>
        <v>0</v>
      </c>
      <c r="M132" s="19">
        <f t="shared" si="7"/>
        <v>0</v>
      </c>
    </row>
    <row r="133" spans="1:13" ht="15" customHeight="1" x14ac:dyDescent="0.2">
      <c r="A133" t="s">
        <v>42</v>
      </c>
      <c r="B133" s="18">
        <v>0</v>
      </c>
      <c r="C133" s="18">
        <v>0</v>
      </c>
      <c r="D133" s="18">
        <v>0</v>
      </c>
      <c r="E133" s="18">
        <v>0</v>
      </c>
      <c r="F133" s="18">
        <v>1</v>
      </c>
      <c r="G133" s="18">
        <v>0</v>
      </c>
      <c r="H133" s="18">
        <v>0</v>
      </c>
      <c r="I133" s="18">
        <v>0</v>
      </c>
      <c r="J133" s="19">
        <f t="shared" si="4"/>
        <v>1</v>
      </c>
      <c r="K133" s="19">
        <f t="shared" si="5"/>
        <v>0</v>
      </c>
      <c r="L133" s="19">
        <f t="shared" si="6"/>
        <v>0</v>
      </c>
      <c r="M133" s="19">
        <f t="shared" si="7"/>
        <v>0</v>
      </c>
    </row>
    <row r="134" spans="1:13" ht="15" customHeight="1" x14ac:dyDescent="0.2">
      <c r="A134" t="s">
        <v>43</v>
      </c>
      <c r="B134" s="18">
        <v>0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1</v>
      </c>
      <c r="I134" s="18">
        <v>0</v>
      </c>
      <c r="J134" s="19">
        <f t="shared" si="4"/>
        <v>0</v>
      </c>
      <c r="K134" s="19">
        <f t="shared" si="5"/>
        <v>1</v>
      </c>
      <c r="L134" s="19">
        <f t="shared" si="6"/>
        <v>0</v>
      </c>
      <c r="M134" s="19">
        <f t="shared" si="7"/>
        <v>0</v>
      </c>
    </row>
    <row r="135" spans="1:13" ht="15" customHeight="1" x14ac:dyDescent="0.2">
      <c r="A135" t="s">
        <v>44</v>
      </c>
      <c r="B135" s="18">
        <v>0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</row>
    <row r="136" spans="1:13" ht="15" customHeight="1" x14ac:dyDescent="0.2">
      <c r="A136" t="s">
        <v>45</v>
      </c>
      <c r="B136" s="18">
        <v>0</v>
      </c>
      <c r="C136" s="18">
        <v>0</v>
      </c>
      <c r="D136" s="18">
        <v>1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9">
        <f t="shared" si="4"/>
        <v>1</v>
      </c>
      <c r="K136" s="19">
        <f t="shared" si="5"/>
        <v>0</v>
      </c>
      <c r="L136" s="19">
        <f t="shared" si="6"/>
        <v>0</v>
      </c>
      <c r="M136" s="19">
        <f t="shared" si="7"/>
        <v>0</v>
      </c>
    </row>
    <row r="137" spans="1:13" ht="15" customHeight="1" x14ac:dyDescent="0.2">
      <c r="A137" t="s">
        <v>46</v>
      </c>
      <c r="B137" s="18">
        <v>0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9">
        <f t="shared" si="4"/>
        <v>0</v>
      </c>
      <c r="K137" s="19">
        <f t="shared" si="5"/>
        <v>0</v>
      </c>
      <c r="L137" s="19">
        <f t="shared" si="6"/>
        <v>0</v>
      </c>
      <c r="M137" s="19">
        <f t="shared" si="7"/>
        <v>0</v>
      </c>
    </row>
    <row r="138" spans="1:13" ht="15" customHeight="1" x14ac:dyDescent="0.2">
      <c r="A138" t="s">
        <v>47</v>
      </c>
      <c r="B138" s="18">
        <v>0</v>
      </c>
      <c r="C138" s="18">
        <v>0</v>
      </c>
      <c r="D138" s="18">
        <v>1</v>
      </c>
      <c r="E138" s="18">
        <v>0</v>
      </c>
      <c r="F138" s="18">
        <v>1</v>
      </c>
      <c r="G138" s="18">
        <v>0</v>
      </c>
      <c r="H138" s="18">
        <v>0</v>
      </c>
      <c r="I138" s="18">
        <v>0</v>
      </c>
      <c r="J138" s="19">
        <f t="shared" si="4"/>
        <v>2</v>
      </c>
      <c r="K138" s="19">
        <f t="shared" si="5"/>
        <v>0</v>
      </c>
      <c r="L138" s="19">
        <f t="shared" si="6"/>
        <v>0</v>
      </c>
      <c r="M138" s="19">
        <f t="shared" si="7"/>
        <v>0</v>
      </c>
    </row>
    <row r="139" spans="1:13" ht="15" customHeight="1" x14ac:dyDescent="0.2">
      <c r="A139" t="s">
        <v>48</v>
      </c>
      <c r="B139" s="18">
        <v>0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9">
        <f t="shared" ref="J139:J202" si="8">SUM(D139,F139)</f>
        <v>0</v>
      </c>
      <c r="K139" s="19">
        <f t="shared" ref="K139:K202" si="9">SUM(B139,H139)</f>
        <v>0</v>
      </c>
      <c r="L139" s="19">
        <f t="shared" ref="L139:L202" si="10">SUM(E139,G139)</f>
        <v>0</v>
      </c>
      <c r="M139" s="19">
        <f t="shared" ref="M139:M202" si="11">SUM(C139,I139)</f>
        <v>0</v>
      </c>
    </row>
    <row r="140" spans="1:13" ht="15" customHeight="1" x14ac:dyDescent="0.2">
      <c r="A140" t="s">
        <v>49</v>
      </c>
      <c r="B140" s="18">
        <v>0</v>
      </c>
      <c r="C140" s="18">
        <v>0</v>
      </c>
      <c r="D140" s="18">
        <v>0</v>
      </c>
      <c r="E140" s="18">
        <v>0</v>
      </c>
      <c r="F140" s="18">
        <v>1</v>
      </c>
      <c r="G140" s="18">
        <v>0</v>
      </c>
      <c r="H140" s="18">
        <v>0</v>
      </c>
      <c r="I140" s="18">
        <v>0</v>
      </c>
      <c r="J140" s="19">
        <f t="shared" si="8"/>
        <v>1</v>
      </c>
      <c r="K140" s="19">
        <f t="shared" si="9"/>
        <v>0</v>
      </c>
      <c r="L140" s="19">
        <f t="shared" si="10"/>
        <v>0</v>
      </c>
      <c r="M140" s="19">
        <f t="shared" si="11"/>
        <v>0</v>
      </c>
    </row>
    <row r="141" spans="1:13" ht="15" customHeight="1" x14ac:dyDescent="0.2">
      <c r="A141" t="s">
        <v>50</v>
      </c>
      <c r="B141" s="18">
        <v>0</v>
      </c>
      <c r="C141" s="18">
        <v>0</v>
      </c>
      <c r="D141" s="18">
        <v>1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9">
        <f t="shared" si="8"/>
        <v>1</v>
      </c>
      <c r="K141" s="19">
        <f t="shared" si="9"/>
        <v>0</v>
      </c>
      <c r="L141" s="19">
        <f t="shared" si="10"/>
        <v>0</v>
      </c>
      <c r="M141" s="19">
        <f t="shared" si="11"/>
        <v>0</v>
      </c>
    </row>
    <row r="142" spans="1:13" ht="15" customHeight="1" x14ac:dyDescent="0.2">
      <c r="A142" t="s">
        <v>51</v>
      </c>
      <c r="B142" s="18">
        <v>0</v>
      </c>
      <c r="C142" s="18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9">
        <f t="shared" si="8"/>
        <v>0</v>
      </c>
      <c r="K142" s="19">
        <f t="shared" si="9"/>
        <v>0</v>
      </c>
      <c r="L142" s="19">
        <f t="shared" si="10"/>
        <v>0</v>
      </c>
      <c r="M142" s="19">
        <f t="shared" si="11"/>
        <v>0</v>
      </c>
    </row>
    <row r="143" spans="1:13" ht="15" customHeight="1" x14ac:dyDescent="0.2">
      <c r="A143" t="s">
        <v>52</v>
      </c>
      <c r="B143" s="18">
        <v>0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9">
        <f t="shared" si="8"/>
        <v>0</v>
      </c>
      <c r="K143" s="19">
        <f t="shared" si="9"/>
        <v>0</v>
      </c>
      <c r="L143" s="19">
        <f t="shared" si="10"/>
        <v>0</v>
      </c>
      <c r="M143" s="19">
        <f t="shared" si="11"/>
        <v>0</v>
      </c>
    </row>
    <row r="144" spans="1:13" ht="15" customHeight="1" x14ac:dyDescent="0.2">
      <c r="A144" t="s">
        <v>53</v>
      </c>
      <c r="B144" s="18">
        <v>0</v>
      </c>
      <c r="C144" s="18">
        <v>0</v>
      </c>
      <c r="D144" s="18">
        <v>1</v>
      </c>
      <c r="E144" s="18">
        <v>0</v>
      </c>
      <c r="F144" s="18">
        <v>1</v>
      </c>
      <c r="G144" s="18">
        <v>0</v>
      </c>
      <c r="H144" s="18">
        <v>0</v>
      </c>
      <c r="I144" s="18">
        <v>0</v>
      </c>
      <c r="J144" s="19">
        <f t="shared" si="8"/>
        <v>2</v>
      </c>
      <c r="K144" s="19">
        <f t="shared" si="9"/>
        <v>0</v>
      </c>
      <c r="L144" s="19">
        <f t="shared" si="10"/>
        <v>0</v>
      </c>
      <c r="M144" s="19">
        <f t="shared" si="11"/>
        <v>0</v>
      </c>
    </row>
    <row r="145" spans="1:13" ht="15" customHeight="1" x14ac:dyDescent="0.2">
      <c r="A145" t="s">
        <v>54</v>
      </c>
      <c r="B145" s="18">
        <v>0</v>
      </c>
      <c r="C145" s="18">
        <v>0</v>
      </c>
      <c r="D145" s="18">
        <v>1</v>
      </c>
      <c r="E145" s="18">
        <v>0</v>
      </c>
      <c r="F145" s="18">
        <v>1</v>
      </c>
      <c r="G145" s="18">
        <v>0</v>
      </c>
      <c r="H145" s="18">
        <v>0</v>
      </c>
      <c r="I145" s="18">
        <v>0</v>
      </c>
      <c r="J145" s="19">
        <f t="shared" si="8"/>
        <v>2</v>
      </c>
      <c r="K145" s="19">
        <f t="shared" si="9"/>
        <v>0</v>
      </c>
      <c r="L145" s="19">
        <f t="shared" si="10"/>
        <v>0</v>
      </c>
      <c r="M145" s="19">
        <f t="shared" si="11"/>
        <v>0</v>
      </c>
    </row>
    <row r="146" spans="1:13" ht="15" customHeight="1" x14ac:dyDescent="0.2">
      <c r="A146" t="s">
        <v>55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9">
        <f t="shared" si="8"/>
        <v>0</v>
      </c>
      <c r="K146" s="19">
        <f t="shared" si="9"/>
        <v>0</v>
      </c>
      <c r="L146" s="19">
        <f t="shared" si="10"/>
        <v>0</v>
      </c>
      <c r="M146" s="19">
        <f t="shared" si="11"/>
        <v>0</v>
      </c>
    </row>
    <row r="147" spans="1:13" ht="15" customHeight="1" x14ac:dyDescent="0.2">
      <c r="A147" t="s">
        <v>56</v>
      </c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1</v>
      </c>
      <c r="H147" s="18">
        <v>0</v>
      </c>
      <c r="I147" s="18">
        <v>0</v>
      </c>
      <c r="J147" s="19">
        <f t="shared" si="8"/>
        <v>0</v>
      </c>
      <c r="K147" s="19">
        <f t="shared" si="9"/>
        <v>0</v>
      </c>
      <c r="L147" s="19">
        <f t="shared" si="10"/>
        <v>1</v>
      </c>
      <c r="M147" s="19">
        <f t="shared" si="11"/>
        <v>0</v>
      </c>
    </row>
    <row r="148" spans="1:13" ht="15" customHeight="1" x14ac:dyDescent="0.2">
      <c r="A148" t="s">
        <v>57</v>
      </c>
      <c r="B148" s="18">
        <v>0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9">
        <f t="shared" si="8"/>
        <v>0</v>
      </c>
      <c r="K148" s="19">
        <f t="shared" si="9"/>
        <v>0</v>
      </c>
      <c r="L148" s="19">
        <f t="shared" si="10"/>
        <v>0</v>
      </c>
      <c r="M148" s="19">
        <f t="shared" si="11"/>
        <v>0</v>
      </c>
    </row>
    <row r="149" spans="1:13" ht="15" customHeight="1" x14ac:dyDescent="0.2">
      <c r="A149" t="s">
        <v>58</v>
      </c>
      <c r="B149" s="18">
        <v>0</v>
      </c>
      <c r="C149" s="18">
        <v>0</v>
      </c>
      <c r="D149" s="18">
        <v>3</v>
      </c>
      <c r="E149" s="18">
        <v>0</v>
      </c>
      <c r="F149" s="18">
        <v>0</v>
      </c>
      <c r="G149" s="18">
        <v>1</v>
      </c>
      <c r="H149" s="18">
        <v>2</v>
      </c>
      <c r="I149" s="18">
        <v>0</v>
      </c>
      <c r="J149" s="19">
        <f t="shared" si="8"/>
        <v>3</v>
      </c>
      <c r="K149" s="19">
        <f t="shared" si="9"/>
        <v>2</v>
      </c>
      <c r="L149" s="19">
        <f t="shared" si="10"/>
        <v>1</v>
      </c>
      <c r="M149" s="19">
        <f t="shared" si="11"/>
        <v>0</v>
      </c>
    </row>
    <row r="150" spans="1:13" ht="15" customHeight="1" x14ac:dyDescent="0.2">
      <c r="A150" t="s">
        <v>59</v>
      </c>
      <c r="B150" s="18">
        <v>0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9">
        <f t="shared" si="8"/>
        <v>0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">
      <c r="A151" t="s">
        <v>60</v>
      </c>
      <c r="B151" s="18">
        <v>1</v>
      </c>
      <c r="C151" s="18">
        <v>0</v>
      </c>
      <c r="D151" s="18">
        <v>0</v>
      </c>
      <c r="E151" s="18">
        <v>0</v>
      </c>
      <c r="F151" s="18">
        <v>1</v>
      </c>
      <c r="G151" s="18">
        <v>0</v>
      </c>
      <c r="H151" s="18">
        <v>0</v>
      </c>
      <c r="I151" s="18">
        <v>0</v>
      </c>
      <c r="J151" s="19">
        <f t="shared" si="8"/>
        <v>1</v>
      </c>
      <c r="K151" s="19">
        <f t="shared" si="9"/>
        <v>1</v>
      </c>
      <c r="L151" s="19">
        <f t="shared" si="10"/>
        <v>0</v>
      </c>
      <c r="M151" s="19">
        <f t="shared" si="11"/>
        <v>0</v>
      </c>
    </row>
    <row r="152" spans="1:13" ht="15" customHeight="1" x14ac:dyDescent="0.2">
      <c r="A152" t="s">
        <v>61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9">
        <f t="shared" si="8"/>
        <v>0</v>
      </c>
      <c r="K152" s="19">
        <f t="shared" si="9"/>
        <v>0</v>
      </c>
      <c r="L152" s="19">
        <f t="shared" si="10"/>
        <v>0</v>
      </c>
      <c r="M152" s="19">
        <f t="shared" si="11"/>
        <v>0</v>
      </c>
    </row>
    <row r="153" spans="1:13" ht="15" customHeight="1" x14ac:dyDescent="0.2">
      <c r="A153" t="s">
        <v>62</v>
      </c>
      <c r="B153" s="18">
        <v>0</v>
      </c>
      <c r="C153" s="18">
        <v>0</v>
      </c>
      <c r="D153" s="18">
        <v>2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9">
        <f t="shared" si="8"/>
        <v>2</v>
      </c>
      <c r="K153" s="19">
        <f t="shared" si="9"/>
        <v>0</v>
      </c>
      <c r="L153" s="19">
        <f t="shared" si="10"/>
        <v>0</v>
      </c>
      <c r="M153" s="19">
        <f t="shared" si="11"/>
        <v>0</v>
      </c>
    </row>
    <row r="154" spans="1:13" ht="15" customHeight="1" x14ac:dyDescent="0.2">
      <c r="A154" t="s">
        <v>63</v>
      </c>
      <c r="B154" s="18">
        <v>0</v>
      </c>
      <c r="C154" s="18">
        <v>0</v>
      </c>
      <c r="D154" s="18">
        <v>2</v>
      </c>
      <c r="E154" s="18">
        <v>0</v>
      </c>
      <c r="F154" s="18">
        <v>1</v>
      </c>
      <c r="G154" s="18">
        <v>0</v>
      </c>
      <c r="H154" s="18">
        <v>2</v>
      </c>
      <c r="I154" s="18">
        <v>0</v>
      </c>
      <c r="J154" s="19">
        <f t="shared" si="8"/>
        <v>3</v>
      </c>
      <c r="K154" s="19">
        <f t="shared" si="9"/>
        <v>2</v>
      </c>
      <c r="L154" s="19">
        <f t="shared" si="10"/>
        <v>0</v>
      </c>
      <c r="M154" s="19">
        <f t="shared" si="11"/>
        <v>0</v>
      </c>
    </row>
    <row r="155" spans="1:13" ht="15" customHeight="1" x14ac:dyDescent="0.2">
      <c r="A155" t="s">
        <v>64</v>
      </c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9">
        <f t="shared" si="8"/>
        <v>0</v>
      </c>
      <c r="K155" s="19">
        <f t="shared" si="9"/>
        <v>0</v>
      </c>
      <c r="L155" s="19">
        <f t="shared" si="10"/>
        <v>0</v>
      </c>
      <c r="M155" s="19">
        <f t="shared" si="11"/>
        <v>0</v>
      </c>
    </row>
    <row r="156" spans="1:13" ht="15" customHeight="1" x14ac:dyDescent="0.2">
      <c r="A156" t="s">
        <v>65</v>
      </c>
      <c r="B156" s="18">
        <v>0</v>
      </c>
      <c r="C156" s="18">
        <v>0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9">
        <f t="shared" si="8"/>
        <v>0</v>
      </c>
      <c r="K156" s="19">
        <f t="shared" si="9"/>
        <v>0</v>
      </c>
      <c r="L156" s="19">
        <f t="shared" si="10"/>
        <v>0</v>
      </c>
      <c r="M156" s="19">
        <f t="shared" si="11"/>
        <v>0</v>
      </c>
    </row>
    <row r="157" spans="1:13" ht="15" customHeight="1" x14ac:dyDescent="0.2">
      <c r="A157" t="s">
        <v>66</v>
      </c>
      <c r="B157" s="18">
        <v>0</v>
      </c>
      <c r="C157" s="18">
        <v>0</v>
      </c>
      <c r="D157" s="18">
        <v>1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9">
        <f t="shared" si="8"/>
        <v>1</v>
      </c>
      <c r="K157" s="19">
        <f t="shared" si="9"/>
        <v>0</v>
      </c>
      <c r="L157" s="19">
        <f t="shared" si="10"/>
        <v>0</v>
      </c>
      <c r="M157" s="19">
        <f t="shared" si="11"/>
        <v>0</v>
      </c>
    </row>
    <row r="158" spans="1:13" ht="15" customHeight="1" x14ac:dyDescent="0.2">
      <c r="A158" t="s">
        <v>67</v>
      </c>
      <c r="B158" s="18">
        <v>0</v>
      </c>
      <c r="C158" s="18">
        <v>0</v>
      </c>
      <c r="D158" s="18">
        <v>0</v>
      </c>
      <c r="E158" s="18">
        <v>0</v>
      </c>
      <c r="F158" s="18">
        <v>1</v>
      </c>
      <c r="G158" s="18">
        <v>0</v>
      </c>
      <c r="H158" s="18">
        <v>0</v>
      </c>
      <c r="I158" s="18">
        <v>0</v>
      </c>
      <c r="J158" s="19">
        <f t="shared" si="8"/>
        <v>1</v>
      </c>
      <c r="K158" s="19">
        <f t="shared" si="9"/>
        <v>0</v>
      </c>
      <c r="L158" s="19">
        <f t="shared" si="10"/>
        <v>0</v>
      </c>
      <c r="M158" s="19">
        <f t="shared" si="11"/>
        <v>0</v>
      </c>
    </row>
    <row r="159" spans="1:13" ht="15" customHeight="1" x14ac:dyDescent="0.2">
      <c r="A159" t="s">
        <v>68</v>
      </c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</row>
    <row r="160" spans="1:13" ht="15" customHeight="1" x14ac:dyDescent="0.2">
      <c r="A160" t="s">
        <v>69</v>
      </c>
      <c r="B160" s="18">
        <v>0</v>
      </c>
      <c r="C160" s="18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">
      <c r="A161" t="s">
        <v>70</v>
      </c>
      <c r="B161" s="18">
        <v>0</v>
      </c>
      <c r="C161" s="18">
        <v>0</v>
      </c>
      <c r="D161" s="18">
        <v>0</v>
      </c>
      <c r="E161" s="18">
        <v>0</v>
      </c>
      <c r="F161" s="18">
        <v>1</v>
      </c>
      <c r="G161" s="18">
        <v>0</v>
      </c>
      <c r="H161" s="18">
        <v>0</v>
      </c>
      <c r="I161" s="18">
        <v>0</v>
      </c>
      <c r="J161" s="19">
        <f t="shared" si="8"/>
        <v>1</v>
      </c>
      <c r="K161" s="19">
        <f t="shared" si="9"/>
        <v>0</v>
      </c>
      <c r="L161" s="19">
        <f t="shared" si="10"/>
        <v>0</v>
      </c>
      <c r="M161" s="19">
        <f t="shared" si="11"/>
        <v>0</v>
      </c>
    </row>
    <row r="162" spans="1:13" ht="15" customHeight="1" x14ac:dyDescent="0.2">
      <c r="A162" t="s">
        <v>71</v>
      </c>
      <c r="B162" s="18">
        <v>0</v>
      </c>
      <c r="C162" s="18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">
      <c r="A163" t="s">
        <v>72</v>
      </c>
      <c r="B163" s="18">
        <v>0</v>
      </c>
      <c r="C163" s="18">
        <v>0</v>
      </c>
      <c r="D163" s="18">
        <v>1</v>
      </c>
      <c r="E163" s="18">
        <v>0</v>
      </c>
      <c r="F163" s="18">
        <v>1</v>
      </c>
      <c r="G163" s="18">
        <v>0</v>
      </c>
      <c r="H163" s="18">
        <v>0</v>
      </c>
      <c r="I163" s="18">
        <v>0</v>
      </c>
      <c r="J163" s="19">
        <f t="shared" si="8"/>
        <v>2</v>
      </c>
      <c r="K163" s="19">
        <f t="shared" si="9"/>
        <v>0</v>
      </c>
      <c r="L163" s="19">
        <f t="shared" si="10"/>
        <v>0</v>
      </c>
      <c r="M163" s="19">
        <f t="shared" si="11"/>
        <v>0</v>
      </c>
    </row>
    <row r="164" spans="1:13" ht="15" customHeight="1" x14ac:dyDescent="0.2">
      <c r="A164" t="s">
        <v>73</v>
      </c>
      <c r="B164" s="18">
        <v>0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9">
        <f t="shared" si="8"/>
        <v>0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">
      <c r="A165" t="s">
        <v>74</v>
      </c>
      <c r="B165" s="18">
        <v>1</v>
      </c>
      <c r="C165" s="18">
        <v>0</v>
      </c>
      <c r="D165" s="18">
        <v>0</v>
      </c>
      <c r="E165" s="18">
        <v>1</v>
      </c>
      <c r="F165" s="18">
        <v>1</v>
      </c>
      <c r="G165" s="18">
        <v>0</v>
      </c>
      <c r="H165" s="18">
        <v>0</v>
      </c>
      <c r="I165" s="18">
        <v>0</v>
      </c>
      <c r="J165" s="19">
        <f t="shared" si="8"/>
        <v>1</v>
      </c>
      <c r="K165" s="19">
        <f t="shared" si="9"/>
        <v>1</v>
      </c>
      <c r="L165" s="19">
        <f t="shared" si="10"/>
        <v>1</v>
      </c>
      <c r="M165" s="19">
        <f t="shared" si="11"/>
        <v>0</v>
      </c>
    </row>
    <row r="166" spans="1:13" ht="15" customHeight="1" x14ac:dyDescent="0.2">
      <c r="A166" t="s">
        <v>75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9">
        <f t="shared" si="8"/>
        <v>0</v>
      </c>
      <c r="K166" s="19">
        <f t="shared" si="9"/>
        <v>0</v>
      </c>
      <c r="L166" s="19">
        <f t="shared" si="10"/>
        <v>0</v>
      </c>
      <c r="M166" s="19">
        <f t="shared" si="11"/>
        <v>0</v>
      </c>
    </row>
    <row r="167" spans="1:13" ht="15" customHeight="1" x14ac:dyDescent="0.2">
      <c r="A167" t="s">
        <v>76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1</v>
      </c>
      <c r="I167" s="18">
        <v>0</v>
      </c>
      <c r="J167" s="19">
        <f t="shared" si="8"/>
        <v>0</v>
      </c>
      <c r="K167" s="19">
        <f t="shared" si="9"/>
        <v>1</v>
      </c>
      <c r="L167" s="19">
        <f t="shared" si="10"/>
        <v>0</v>
      </c>
      <c r="M167" s="19">
        <f t="shared" si="11"/>
        <v>0</v>
      </c>
    </row>
    <row r="168" spans="1:13" ht="15" customHeight="1" x14ac:dyDescent="0.2">
      <c r="A168" t="s">
        <v>77</v>
      </c>
      <c r="B168" s="18">
        <v>1</v>
      </c>
      <c r="C168" s="18">
        <v>0</v>
      </c>
      <c r="D168" s="18">
        <v>0</v>
      </c>
      <c r="E168" s="18">
        <v>0</v>
      </c>
      <c r="F168" s="18">
        <v>1</v>
      </c>
      <c r="G168" s="18">
        <v>0</v>
      </c>
      <c r="H168" s="18">
        <v>1</v>
      </c>
      <c r="I168" s="18">
        <v>1</v>
      </c>
      <c r="J168" s="19">
        <f t="shared" si="8"/>
        <v>1</v>
      </c>
      <c r="K168" s="19">
        <f t="shared" si="9"/>
        <v>2</v>
      </c>
      <c r="L168" s="19">
        <f t="shared" si="10"/>
        <v>0</v>
      </c>
      <c r="M168" s="19">
        <f t="shared" si="11"/>
        <v>1</v>
      </c>
    </row>
    <row r="169" spans="1:13" ht="15" customHeight="1" x14ac:dyDescent="0.2">
      <c r="A169" t="s">
        <v>78</v>
      </c>
      <c r="B169" s="18">
        <v>0</v>
      </c>
      <c r="C169" s="18">
        <v>0</v>
      </c>
      <c r="D169" s="18">
        <v>0</v>
      </c>
      <c r="E169" s="18">
        <v>0</v>
      </c>
      <c r="F169" s="18">
        <v>1</v>
      </c>
      <c r="G169" s="18">
        <v>0</v>
      </c>
      <c r="H169" s="18">
        <v>0</v>
      </c>
      <c r="I169" s="18">
        <v>0</v>
      </c>
      <c r="J169" s="19">
        <f t="shared" si="8"/>
        <v>1</v>
      </c>
      <c r="K169" s="19">
        <f t="shared" si="9"/>
        <v>0</v>
      </c>
      <c r="L169" s="19">
        <f t="shared" si="10"/>
        <v>0</v>
      </c>
      <c r="M169" s="19">
        <f t="shared" si="11"/>
        <v>0</v>
      </c>
    </row>
    <row r="170" spans="1:13" ht="15" customHeight="1" x14ac:dyDescent="0.2">
      <c r="A170" t="s">
        <v>79</v>
      </c>
      <c r="B170" s="18">
        <v>0</v>
      </c>
      <c r="C170" s="18">
        <v>0</v>
      </c>
      <c r="D170" s="18">
        <v>0</v>
      </c>
      <c r="E170" s="18">
        <v>1</v>
      </c>
      <c r="F170" s="18">
        <v>0</v>
      </c>
      <c r="G170" s="18">
        <v>0</v>
      </c>
      <c r="H170" s="18">
        <v>0</v>
      </c>
      <c r="I170" s="18">
        <v>0</v>
      </c>
      <c r="J170" s="19">
        <f t="shared" si="8"/>
        <v>0</v>
      </c>
      <c r="K170" s="19">
        <f t="shared" si="9"/>
        <v>0</v>
      </c>
      <c r="L170" s="19">
        <f t="shared" si="10"/>
        <v>1</v>
      </c>
      <c r="M170" s="19">
        <f t="shared" si="11"/>
        <v>0</v>
      </c>
    </row>
    <row r="171" spans="1:13" ht="15" customHeight="1" x14ac:dyDescent="0.2">
      <c r="A171" t="s">
        <v>80</v>
      </c>
      <c r="B171" s="18">
        <v>1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9">
        <f t="shared" si="8"/>
        <v>0</v>
      </c>
      <c r="K171" s="19">
        <f t="shared" si="9"/>
        <v>1</v>
      </c>
      <c r="L171" s="19">
        <f t="shared" si="10"/>
        <v>0</v>
      </c>
      <c r="M171" s="19">
        <f t="shared" si="11"/>
        <v>0</v>
      </c>
    </row>
    <row r="172" spans="1:13" ht="15" customHeight="1" x14ac:dyDescent="0.2">
      <c r="A172" t="s">
        <v>81</v>
      </c>
      <c r="B172" s="18">
        <v>0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9">
        <f t="shared" si="8"/>
        <v>0</v>
      </c>
      <c r="K172" s="19">
        <f t="shared" si="9"/>
        <v>0</v>
      </c>
      <c r="L172" s="19">
        <f t="shared" si="10"/>
        <v>0</v>
      </c>
      <c r="M172" s="19">
        <f t="shared" si="11"/>
        <v>0</v>
      </c>
    </row>
    <row r="173" spans="1:13" ht="15" customHeight="1" x14ac:dyDescent="0.2">
      <c r="A173" t="s">
        <v>82</v>
      </c>
      <c r="B173" s="18">
        <v>0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2</v>
      </c>
      <c r="I173" s="18">
        <v>0</v>
      </c>
      <c r="J173" s="19">
        <f t="shared" si="8"/>
        <v>0</v>
      </c>
      <c r="K173" s="19">
        <f t="shared" si="9"/>
        <v>2</v>
      </c>
      <c r="L173" s="19">
        <f t="shared" si="10"/>
        <v>0</v>
      </c>
      <c r="M173" s="19">
        <f t="shared" si="11"/>
        <v>0</v>
      </c>
    </row>
    <row r="174" spans="1:13" ht="15" customHeight="1" x14ac:dyDescent="0.2">
      <c r="A174" t="s">
        <v>83</v>
      </c>
      <c r="B174" s="18">
        <v>0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1</v>
      </c>
      <c r="I174" s="18">
        <v>0</v>
      </c>
      <c r="J174" s="19">
        <f t="shared" si="8"/>
        <v>0</v>
      </c>
      <c r="K174" s="19">
        <f t="shared" si="9"/>
        <v>1</v>
      </c>
      <c r="L174" s="19">
        <f t="shared" si="10"/>
        <v>0</v>
      </c>
      <c r="M174" s="19">
        <f t="shared" si="11"/>
        <v>0</v>
      </c>
    </row>
    <row r="175" spans="1:13" ht="15" customHeight="1" x14ac:dyDescent="0.2">
      <c r="A175" t="s">
        <v>84</v>
      </c>
      <c r="B175" s="18">
        <v>0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9">
        <f t="shared" si="8"/>
        <v>0</v>
      </c>
      <c r="K175" s="19">
        <f t="shared" si="9"/>
        <v>0</v>
      </c>
      <c r="L175" s="19">
        <f t="shared" si="10"/>
        <v>0</v>
      </c>
      <c r="M175" s="19">
        <f t="shared" si="11"/>
        <v>0</v>
      </c>
    </row>
    <row r="176" spans="1:13" ht="15" customHeight="1" x14ac:dyDescent="0.2">
      <c r="A176" t="s">
        <v>85</v>
      </c>
      <c r="B176" s="18">
        <v>0</v>
      </c>
      <c r="C176" s="18">
        <v>0</v>
      </c>
      <c r="D176" s="18">
        <v>0</v>
      </c>
      <c r="E176" s="18">
        <v>0</v>
      </c>
      <c r="F176" s="18">
        <v>1</v>
      </c>
      <c r="G176" s="18">
        <v>0</v>
      </c>
      <c r="H176" s="18">
        <v>0</v>
      </c>
      <c r="I176" s="18">
        <v>0</v>
      </c>
      <c r="J176" s="19">
        <f t="shared" si="8"/>
        <v>1</v>
      </c>
      <c r="K176" s="19">
        <f t="shared" si="9"/>
        <v>0</v>
      </c>
      <c r="L176" s="19">
        <f t="shared" si="10"/>
        <v>0</v>
      </c>
      <c r="M176" s="19">
        <f t="shared" si="11"/>
        <v>0</v>
      </c>
    </row>
    <row r="177" spans="1:13" ht="15" customHeight="1" x14ac:dyDescent="0.2">
      <c r="A177" t="s">
        <v>86</v>
      </c>
      <c r="B177" s="18">
        <v>0</v>
      </c>
      <c r="C177" s="18">
        <v>0</v>
      </c>
      <c r="D177" s="18">
        <v>1</v>
      </c>
      <c r="E177" s="18">
        <v>0</v>
      </c>
      <c r="F177" s="18">
        <v>0</v>
      </c>
      <c r="G177" s="18">
        <v>0</v>
      </c>
      <c r="H177" s="18">
        <v>1</v>
      </c>
      <c r="I177" s="18">
        <v>0</v>
      </c>
      <c r="J177" s="19">
        <f t="shared" si="8"/>
        <v>1</v>
      </c>
      <c r="K177" s="19">
        <f t="shared" si="9"/>
        <v>1</v>
      </c>
      <c r="L177" s="19">
        <f t="shared" si="10"/>
        <v>0</v>
      </c>
      <c r="M177" s="19">
        <f t="shared" si="11"/>
        <v>0</v>
      </c>
    </row>
    <row r="178" spans="1:13" ht="15" customHeight="1" x14ac:dyDescent="0.2">
      <c r="A178" t="s">
        <v>87</v>
      </c>
      <c r="B178" s="18">
        <v>0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1</v>
      </c>
      <c r="I178" s="18">
        <v>0</v>
      </c>
      <c r="J178" s="19">
        <f t="shared" si="8"/>
        <v>0</v>
      </c>
      <c r="K178" s="19">
        <f t="shared" si="9"/>
        <v>1</v>
      </c>
      <c r="L178" s="19">
        <f t="shared" si="10"/>
        <v>0</v>
      </c>
      <c r="M178" s="19">
        <f t="shared" si="11"/>
        <v>0</v>
      </c>
    </row>
    <row r="179" spans="1:13" ht="15" customHeight="1" x14ac:dyDescent="0.2">
      <c r="A179" t="s">
        <v>88</v>
      </c>
      <c r="B179" s="18">
        <v>0</v>
      </c>
      <c r="C179" s="18">
        <v>0</v>
      </c>
      <c r="D179" s="18">
        <v>0</v>
      </c>
      <c r="E179" s="18">
        <v>0</v>
      </c>
      <c r="F179" s="18">
        <v>1</v>
      </c>
      <c r="G179" s="18">
        <v>0</v>
      </c>
      <c r="H179" s="18">
        <v>0</v>
      </c>
      <c r="I179" s="18">
        <v>1</v>
      </c>
      <c r="J179" s="19">
        <f t="shared" si="8"/>
        <v>1</v>
      </c>
      <c r="K179" s="19">
        <f t="shared" si="9"/>
        <v>0</v>
      </c>
      <c r="L179" s="19">
        <f t="shared" si="10"/>
        <v>0</v>
      </c>
      <c r="M179" s="19">
        <f t="shared" si="11"/>
        <v>1</v>
      </c>
    </row>
    <row r="180" spans="1:13" ht="15" customHeight="1" x14ac:dyDescent="0.2">
      <c r="A180" t="s">
        <v>89</v>
      </c>
      <c r="B180" s="18">
        <v>0</v>
      </c>
      <c r="C180" s="18">
        <v>0</v>
      </c>
      <c r="D180" s="18">
        <v>0</v>
      </c>
      <c r="E180" s="18">
        <v>0</v>
      </c>
      <c r="F180" s="18">
        <v>1</v>
      </c>
      <c r="G180" s="18">
        <v>0</v>
      </c>
      <c r="H180" s="18">
        <v>0</v>
      </c>
      <c r="I180" s="18">
        <v>0</v>
      </c>
      <c r="J180" s="19">
        <f t="shared" si="8"/>
        <v>1</v>
      </c>
      <c r="K180" s="19">
        <f t="shared" si="9"/>
        <v>0</v>
      </c>
      <c r="L180" s="19">
        <f t="shared" si="10"/>
        <v>0</v>
      </c>
      <c r="M180" s="19">
        <f t="shared" si="11"/>
        <v>0</v>
      </c>
    </row>
    <row r="181" spans="1:13" ht="15" customHeight="1" x14ac:dyDescent="0.2">
      <c r="A181" t="s">
        <v>90</v>
      </c>
      <c r="B181" s="18">
        <v>1</v>
      </c>
      <c r="C181" s="18">
        <v>0</v>
      </c>
      <c r="D181" s="18">
        <v>3</v>
      </c>
      <c r="E181" s="18">
        <v>1</v>
      </c>
      <c r="F181" s="18">
        <v>0</v>
      </c>
      <c r="G181" s="18">
        <v>0</v>
      </c>
      <c r="H181" s="18">
        <v>1</v>
      </c>
      <c r="I181" s="18">
        <v>0</v>
      </c>
      <c r="J181" s="19">
        <f t="shared" si="8"/>
        <v>3</v>
      </c>
      <c r="K181" s="19">
        <f t="shared" si="9"/>
        <v>2</v>
      </c>
      <c r="L181" s="19">
        <f t="shared" si="10"/>
        <v>1</v>
      </c>
      <c r="M181" s="19">
        <f t="shared" si="11"/>
        <v>0</v>
      </c>
    </row>
    <row r="182" spans="1:13" ht="15" customHeight="1" x14ac:dyDescent="0.2">
      <c r="A182" t="s">
        <v>91</v>
      </c>
      <c r="B182" s="18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</row>
    <row r="183" spans="1:13" ht="15" customHeight="1" x14ac:dyDescent="0.2">
      <c r="A183" t="s">
        <v>92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">
      <c r="A184" t="s">
        <v>93</v>
      </c>
      <c r="B184" s="18">
        <v>0</v>
      </c>
      <c r="C184" s="18">
        <v>0</v>
      </c>
      <c r="D184" s="18">
        <v>0</v>
      </c>
      <c r="E184" s="18">
        <v>2</v>
      </c>
      <c r="F184" s="18">
        <v>0</v>
      </c>
      <c r="G184" s="18">
        <v>0</v>
      </c>
      <c r="H184" s="18">
        <v>0</v>
      </c>
      <c r="I184" s="18">
        <v>0</v>
      </c>
      <c r="J184" s="19">
        <f t="shared" si="8"/>
        <v>0</v>
      </c>
      <c r="K184" s="19">
        <f t="shared" si="9"/>
        <v>0</v>
      </c>
      <c r="L184" s="19">
        <f t="shared" si="10"/>
        <v>2</v>
      </c>
      <c r="M184" s="19">
        <f t="shared" si="11"/>
        <v>0</v>
      </c>
    </row>
    <row r="185" spans="1:13" ht="15" customHeight="1" x14ac:dyDescent="0.2">
      <c r="A185" t="s">
        <v>94</v>
      </c>
      <c r="B185" s="18">
        <v>0</v>
      </c>
      <c r="C185" s="18">
        <v>0</v>
      </c>
      <c r="D185" s="18">
        <v>1</v>
      </c>
      <c r="E185" s="18">
        <v>2</v>
      </c>
      <c r="F185" s="18">
        <v>0</v>
      </c>
      <c r="G185" s="18">
        <v>0</v>
      </c>
      <c r="H185" s="18">
        <v>0</v>
      </c>
      <c r="I185" s="18">
        <v>0</v>
      </c>
      <c r="J185" s="19">
        <f t="shared" si="8"/>
        <v>1</v>
      </c>
      <c r="K185" s="19">
        <f t="shared" si="9"/>
        <v>0</v>
      </c>
      <c r="L185" s="19">
        <f t="shared" si="10"/>
        <v>2</v>
      </c>
      <c r="M185" s="19">
        <f t="shared" si="11"/>
        <v>0</v>
      </c>
    </row>
    <row r="186" spans="1:13" ht="15" customHeight="1" x14ac:dyDescent="0.2">
      <c r="A186" t="s">
        <v>95</v>
      </c>
      <c r="B186" s="18">
        <v>2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9">
        <f t="shared" si="8"/>
        <v>0</v>
      </c>
      <c r="K186" s="19">
        <f t="shared" si="9"/>
        <v>2</v>
      </c>
      <c r="L186" s="19">
        <f t="shared" si="10"/>
        <v>0</v>
      </c>
      <c r="M186" s="19">
        <f t="shared" si="11"/>
        <v>0</v>
      </c>
    </row>
    <row r="187" spans="1:13" ht="15" customHeight="1" x14ac:dyDescent="0.2">
      <c r="A187" t="s">
        <v>96</v>
      </c>
      <c r="B187" s="18">
        <v>0</v>
      </c>
      <c r="C187" s="18">
        <v>0</v>
      </c>
      <c r="D187" s="18">
        <v>0</v>
      </c>
      <c r="E187" s="18">
        <v>0</v>
      </c>
      <c r="F187" s="18">
        <v>1</v>
      </c>
      <c r="G187" s="18">
        <v>0</v>
      </c>
      <c r="H187" s="18">
        <v>0</v>
      </c>
      <c r="I187" s="18">
        <v>0</v>
      </c>
      <c r="J187" s="19">
        <f t="shared" si="8"/>
        <v>1</v>
      </c>
      <c r="K187" s="19">
        <f t="shared" si="9"/>
        <v>0</v>
      </c>
      <c r="L187" s="19">
        <f t="shared" si="10"/>
        <v>0</v>
      </c>
      <c r="M187" s="19">
        <f t="shared" si="11"/>
        <v>0</v>
      </c>
    </row>
    <row r="188" spans="1:13" ht="15" customHeight="1" x14ac:dyDescent="0.2">
      <c r="A188" t="s">
        <v>97</v>
      </c>
      <c r="B188" s="18">
        <v>0</v>
      </c>
      <c r="C188" s="18">
        <v>0</v>
      </c>
      <c r="D188" s="18">
        <v>0</v>
      </c>
      <c r="E188" s="18">
        <v>0</v>
      </c>
      <c r="F188" s="18">
        <v>4</v>
      </c>
      <c r="G188" s="18">
        <v>0</v>
      </c>
      <c r="H188" s="18">
        <v>0</v>
      </c>
      <c r="I188" s="18">
        <v>0</v>
      </c>
      <c r="J188" s="19">
        <f t="shared" si="8"/>
        <v>4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">
      <c r="A189" t="s">
        <v>98</v>
      </c>
      <c r="B189" s="18">
        <v>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9">
        <f t="shared" si="8"/>
        <v>0</v>
      </c>
      <c r="K189" s="19">
        <f t="shared" si="9"/>
        <v>0</v>
      </c>
      <c r="L189" s="19">
        <f t="shared" si="10"/>
        <v>0</v>
      </c>
      <c r="M189" s="19">
        <f t="shared" si="11"/>
        <v>0</v>
      </c>
    </row>
    <row r="190" spans="1:13" ht="15" customHeight="1" x14ac:dyDescent="0.2">
      <c r="A190" t="s">
        <v>99</v>
      </c>
      <c r="B190" s="18">
        <v>0</v>
      </c>
      <c r="C190" s="18">
        <v>0</v>
      </c>
      <c r="D190" s="18">
        <v>0</v>
      </c>
      <c r="E190" s="18">
        <v>0</v>
      </c>
      <c r="F190" s="18">
        <v>2</v>
      </c>
      <c r="G190" s="18">
        <v>0</v>
      </c>
      <c r="H190" s="18">
        <v>0</v>
      </c>
      <c r="I190" s="18">
        <v>0</v>
      </c>
      <c r="J190" s="19">
        <f t="shared" si="8"/>
        <v>2</v>
      </c>
      <c r="K190" s="19">
        <f t="shared" si="9"/>
        <v>0</v>
      </c>
      <c r="L190" s="19">
        <f t="shared" si="10"/>
        <v>0</v>
      </c>
      <c r="M190" s="19">
        <f t="shared" si="11"/>
        <v>0</v>
      </c>
    </row>
    <row r="191" spans="1:13" ht="15" customHeight="1" x14ac:dyDescent="0.2">
      <c r="A191" t="s">
        <v>100</v>
      </c>
      <c r="B191" s="18">
        <v>1</v>
      </c>
      <c r="C191" s="18">
        <v>0</v>
      </c>
      <c r="D191" s="18">
        <v>1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9">
        <f t="shared" si="8"/>
        <v>1</v>
      </c>
      <c r="K191" s="19">
        <f t="shared" si="9"/>
        <v>1</v>
      </c>
      <c r="L191" s="19">
        <f t="shared" si="10"/>
        <v>0</v>
      </c>
      <c r="M191" s="19">
        <f t="shared" si="11"/>
        <v>0</v>
      </c>
    </row>
    <row r="192" spans="1:13" ht="15" customHeight="1" x14ac:dyDescent="0.2">
      <c r="A192" t="s">
        <v>101</v>
      </c>
      <c r="B192" s="18">
        <v>2</v>
      </c>
      <c r="C192" s="18">
        <v>0</v>
      </c>
      <c r="D192" s="18">
        <v>0</v>
      </c>
      <c r="E192" s="18">
        <v>0</v>
      </c>
      <c r="F192" s="18">
        <v>3</v>
      </c>
      <c r="G192" s="18">
        <v>0</v>
      </c>
      <c r="H192" s="18">
        <v>0</v>
      </c>
      <c r="I192" s="18">
        <v>0</v>
      </c>
      <c r="J192" s="19">
        <f t="shared" si="8"/>
        <v>3</v>
      </c>
      <c r="K192" s="19">
        <f t="shared" si="9"/>
        <v>2</v>
      </c>
      <c r="L192" s="19">
        <f t="shared" si="10"/>
        <v>0</v>
      </c>
      <c r="M192" s="19">
        <f t="shared" si="11"/>
        <v>0</v>
      </c>
    </row>
    <row r="193" spans="1:13" ht="15" customHeight="1" x14ac:dyDescent="0.2">
      <c r="A193" t="s">
        <v>102</v>
      </c>
      <c r="B193" s="18">
        <v>0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9">
        <f t="shared" si="8"/>
        <v>0</v>
      </c>
      <c r="K193" s="19">
        <f t="shared" si="9"/>
        <v>0</v>
      </c>
      <c r="L193" s="19">
        <f t="shared" si="10"/>
        <v>0</v>
      </c>
      <c r="M193" s="19">
        <f t="shared" si="11"/>
        <v>0</v>
      </c>
    </row>
    <row r="194" spans="1:13" ht="15" customHeight="1" x14ac:dyDescent="0.2">
      <c r="A194" t="s">
        <v>103</v>
      </c>
      <c r="B194" s="18">
        <v>0</v>
      </c>
      <c r="C194" s="18">
        <v>0</v>
      </c>
      <c r="D194" s="18">
        <v>0</v>
      </c>
      <c r="E194" s="18">
        <v>1</v>
      </c>
      <c r="F194" s="18">
        <v>1</v>
      </c>
      <c r="G194" s="18">
        <v>0</v>
      </c>
      <c r="H194" s="18">
        <v>0</v>
      </c>
      <c r="I194" s="18">
        <v>0</v>
      </c>
      <c r="J194" s="19">
        <f t="shared" si="8"/>
        <v>1</v>
      </c>
      <c r="K194" s="19">
        <f t="shared" si="9"/>
        <v>0</v>
      </c>
      <c r="L194" s="19">
        <f t="shared" si="10"/>
        <v>1</v>
      </c>
      <c r="M194" s="19">
        <f t="shared" si="11"/>
        <v>0</v>
      </c>
    </row>
    <row r="195" spans="1:13" ht="15" customHeight="1" x14ac:dyDescent="0.2">
      <c r="A195" t="s">
        <v>104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3" ht="15" customHeight="1" x14ac:dyDescent="0.2">
      <c r="A196" t="s">
        <v>105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3" ht="15" customHeight="1" x14ac:dyDescent="0.2">
      <c r="A197" t="s">
        <v>106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</row>
    <row r="198" spans="1:13" ht="15" customHeight="1" x14ac:dyDescent="0.2">
      <c r="A198" t="s">
        <v>107</v>
      </c>
      <c r="B198" s="18">
        <v>0</v>
      </c>
      <c r="C198" s="18">
        <v>0</v>
      </c>
      <c r="D198" s="18">
        <v>1</v>
      </c>
      <c r="E198" s="18">
        <v>0</v>
      </c>
      <c r="F198" s="18">
        <v>0</v>
      </c>
      <c r="G198" s="18">
        <v>0</v>
      </c>
      <c r="H198" s="18">
        <v>1</v>
      </c>
      <c r="I198" s="18">
        <v>0</v>
      </c>
      <c r="J198" s="19">
        <f t="shared" si="8"/>
        <v>1</v>
      </c>
      <c r="K198" s="19">
        <f t="shared" si="9"/>
        <v>1</v>
      </c>
      <c r="L198" s="19">
        <f t="shared" si="10"/>
        <v>0</v>
      </c>
      <c r="M198" s="19">
        <f t="shared" si="11"/>
        <v>0</v>
      </c>
    </row>
    <row r="199" spans="1:13" ht="15" customHeight="1" x14ac:dyDescent="0.2">
      <c r="A199" t="s">
        <v>108</v>
      </c>
      <c r="B199" s="18">
        <v>1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9">
        <f t="shared" si="8"/>
        <v>0</v>
      </c>
      <c r="K199" s="19">
        <f t="shared" si="9"/>
        <v>1</v>
      </c>
      <c r="L199" s="19">
        <f t="shared" si="10"/>
        <v>0</v>
      </c>
      <c r="M199" s="19">
        <f t="shared" si="11"/>
        <v>0</v>
      </c>
    </row>
    <row r="200" spans="1:13" ht="15" customHeight="1" x14ac:dyDescent="0.2">
      <c r="A200" t="s">
        <v>109</v>
      </c>
      <c r="B200" s="18">
        <v>0</v>
      </c>
      <c r="C200" s="18">
        <v>0</v>
      </c>
      <c r="D200" s="18">
        <v>3</v>
      </c>
      <c r="E200" s="18">
        <v>0</v>
      </c>
      <c r="F200" s="18">
        <v>0</v>
      </c>
      <c r="G200" s="18">
        <v>0</v>
      </c>
      <c r="H200" s="18">
        <v>1</v>
      </c>
      <c r="I200" s="18">
        <v>0</v>
      </c>
      <c r="J200" s="19">
        <f t="shared" si="8"/>
        <v>3</v>
      </c>
      <c r="K200" s="19">
        <f t="shared" si="9"/>
        <v>1</v>
      </c>
      <c r="L200" s="19">
        <f t="shared" si="10"/>
        <v>0</v>
      </c>
      <c r="M200" s="19">
        <f t="shared" si="11"/>
        <v>0</v>
      </c>
    </row>
    <row r="201" spans="1:13" ht="15" customHeight="1" x14ac:dyDescent="0.2">
      <c r="A201" t="s">
        <v>110</v>
      </c>
      <c r="B201" s="18">
        <v>0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</row>
    <row r="202" spans="1:13" ht="15" customHeight="1" x14ac:dyDescent="0.2">
      <c r="B202" s="19">
        <f t="shared" ref="B202:I202" si="12">SUM(B10:B201)</f>
        <v>25</v>
      </c>
      <c r="C202" s="19">
        <f t="shared" si="12"/>
        <v>0</v>
      </c>
      <c r="D202" s="19">
        <f t="shared" si="12"/>
        <v>49</v>
      </c>
      <c r="E202" s="19">
        <f t="shared" si="12"/>
        <v>15</v>
      </c>
      <c r="F202" s="19">
        <f t="shared" si="12"/>
        <v>40</v>
      </c>
      <c r="G202" s="19">
        <f t="shared" si="12"/>
        <v>10</v>
      </c>
      <c r="H202" s="19">
        <f t="shared" si="12"/>
        <v>27</v>
      </c>
      <c r="I202" s="19">
        <f t="shared" si="12"/>
        <v>3</v>
      </c>
      <c r="J202" s="20">
        <f t="shared" si="8"/>
        <v>89</v>
      </c>
      <c r="K202" s="20">
        <f t="shared" si="9"/>
        <v>52</v>
      </c>
      <c r="L202" s="20">
        <f t="shared" si="10"/>
        <v>25</v>
      </c>
      <c r="M202" s="20">
        <f t="shared" si="11"/>
        <v>3</v>
      </c>
    </row>
    <row r="204" spans="1:13" ht="15" customHeight="1" x14ac:dyDescent="0.2">
      <c r="K204" s="88" t="s">
        <v>212</v>
      </c>
      <c r="L204" s="6">
        <f>SUM(L36:L90,L132:L186)</f>
        <v>19</v>
      </c>
    </row>
    <row r="205" spans="1:13" ht="15" customHeight="1" x14ac:dyDescent="0.2">
      <c r="K205" s="88" t="s">
        <v>213</v>
      </c>
      <c r="L205" s="6">
        <f>L202-L204</f>
        <v>6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xSplit="1" ySplit="9" topLeftCell="E196" activePane="bottomRight" state="frozen"/>
      <selection pane="topRight" activeCell="B1" sqref="B1"/>
      <selection pane="bottomLeft" activeCell="A10" sqref="A10"/>
      <selection pane="bottomRight" activeCell="N1" sqref="N1:N1048576"/>
    </sheetView>
  </sheetViews>
  <sheetFormatPr defaultColWidth="12.140625" defaultRowHeight="15" customHeight="1" x14ac:dyDescent="0.2"/>
  <cols>
    <col min="1" max="1" width="12.140625" bestFit="1" customWidth="1"/>
    <col min="2" max="4" width="10.42578125" hidden="1" customWidth="1"/>
    <col min="5" max="5" width="10.42578125" style="45" customWidth="1"/>
    <col min="6" max="7" width="9.85546875" hidden="1" customWidth="1"/>
    <col min="8" max="8" width="9.85546875" style="45" customWidth="1"/>
    <col min="9" max="9" width="10.85546875" customWidth="1"/>
    <col min="10" max="10" width="10.28515625" customWidth="1"/>
    <col min="11" max="11" width="10" customWidth="1"/>
    <col min="12" max="12" width="11.28515625" customWidth="1"/>
    <col min="13" max="13" width="10.85546875" customWidth="1"/>
  </cols>
  <sheetData>
    <row r="1" spans="1:14" ht="15" customHeight="1" x14ac:dyDescent="0.3">
      <c r="A1" s="111" t="s">
        <v>0</v>
      </c>
      <c r="B1" s="111"/>
      <c r="C1" s="112" t="s">
        <v>131</v>
      </c>
      <c r="D1" s="112"/>
      <c r="E1" s="112"/>
      <c r="F1" s="112"/>
      <c r="G1" s="112"/>
      <c r="H1" s="112"/>
      <c r="I1" s="112"/>
    </row>
    <row r="2" spans="1:14" ht="15" customHeight="1" x14ac:dyDescent="0.3">
      <c r="A2" s="111" t="s">
        <v>2</v>
      </c>
      <c r="B2" s="111"/>
      <c r="C2" s="112" t="s">
        <v>132</v>
      </c>
      <c r="D2" s="112"/>
      <c r="E2" s="112"/>
      <c r="F2" s="112"/>
      <c r="G2" s="112"/>
      <c r="H2" s="112"/>
      <c r="I2" s="112"/>
    </row>
    <row r="3" spans="1:14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4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4" s="1" customFormat="1" ht="29.25" customHeight="1" x14ac:dyDescent="0.3">
      <c r="A7" s="2" t="s">
        <v>8</v>
      </c>
      <c r="B7" s="3" t="s">
        <v>133</v>
      </c>
      <c r="C7" s="3" t="s">
        <v>134</v>
      </c>
      <c r="D7" s="3" t="s">
        <v>135</v>
      </c>
      <c r="E7" s="43" t="s">
        <v>136</v>
      </c>
      <c r="F7" s="3" t="s">
        <v>133</v>
      </c>
      <c r="G7" s="3" t="s">
        <v>134</v>
      </c>
      <c r="H7" s="43" t="s">
        <v>135</v>
      </c>
      <c r="I7" s="3" t="s">
        <v>136</v>
      </c>
    </row>
    <row r="8" spans="1:14" s="1" customFormat="1" ht="15" customHeight="1" x14ac:dyDescent="0.3">
      <c r="A8" s="2" t="s">
        <v>13</v>
      </c>
      <c r="B8" s="4" t="s">
        <v>128</v>
      </c>
      <c r="C8" s="4" t="s">
        <v>128</v>
      </c>
      <c r="D8" s="4" t="s">
        <v>128</v>
      </c>
      <c r="E8" s="44" t="s">
        <v>128</v>
      </c>
      <c r="F8" s="4" t="s">
        <v>129</v>
      </c>
      <c r="G8" s="4" t="s">
        <v>129</v>
      </c>
      <c r="H8" s="44" t="s">
        <v>129</v>
      </c>
      <c r="I8" s="4" t="s">
        <v>129</v>
      </c>
    </row>
    <row r="9" spans="1:14" s="1" customFormat="1" ht="30.75" customHeight="1" x14ac:dyDescent="0.2">
      <c r="B9" s="16" t="s">
        <v>111</v>
      </c>
      <c r="C9" s="16" t="s">
        <v>113</v>
      </c>
      <c r="D9" s="16" t="s">
        <v>112</v>
      </c>
      <c r="E9" s="55" t="s">
        <v>114</v>
      </c>
      <c r="F9" s="16" t="s">
        <v>113</v>
      </c>
      <c r="G9" s="16" t="s">
        <v>111</v>
      </c>
      <c r="H9" s="55" t="s">
        <v>114</v>
      </c>
      <c r="I9" s="16" t="s">
        <v>112</v>
      </c>
      <c r="J9" s="17" t="s">
        <v>113</v>
      </c>
      <c r="K9" s="17" t="s">
        <v>111</v>
      </c>
      <c r="L9" s="92" t="s">
        <v>114</v>
      </c>
      <c r="M9" s="16" t="s">
        <v>112</v>
      </c>
    </row>
    <row r="10" spans="1:14" ht="15" customHeight="1" x14ac:dyDescent="0.2">
      <c r="A10" t="s">
        <v>5</v>
      </c>
      <c r="B10" s="18">
        <v>0</v>
      </c>
      <c r="C10" s="18">
        <v>0</v>
      </c>
      <c r="D10" s="18">
        <v>0</v>
      </c>
      <c r="E10" s="59">
        <v>0</v>
      </c>
      <c r="F10" s="18">
        <v>0</v>
      </c>
      <c r="G10" s="18">
        <v>0</v>
      </c>
      <c r="H10" s="59">
        <v>0</v>
      </c>
      <c r="I10" s="18">
        <v>0</v>
      </c>
      <c r="J10" s="19">
        <f>SUM(C10,F10)</f>
        <v>0</v>
      </c>
      <c r="K10" s="19">
        <f>SUM(B10,G10)</f>
        <v>0</v>
      </c>
      <c r="L10" s="19">
        <f>SUM(E10,H10)</f>
        <v>0</v>
      </c>
      <c r="M10" s="19">
        <f>SUM(D10,I10)</f>
        <v>0</v>
      </c>
      <c r="N10">
        <v>15</v>
      </c>
    </row>
    <row r="11" spans="1:14" ht="15" customHeight="1" x14ac:dyDescent="0.2">
      <c r="A11" t="s">
        <v>16</v>
      </c>
      <c r="B11" s="18">
        <v>0</v>
      </c>
      <c r="C11" s="18">
        <v>0</v>
      </c>
      <c r="D11" s="18">
        <v>0</v>
      </c>
      <c r="E11" s="59">
        <v>1</v>
      </c>
      <c r="F11" s="18">
        <v>0</v>
      </c>
      <c r="G11" s="18">
        <v>0</v>
      </c>
      <c r="H11" s="59">
        <v>0</v>
      </c>
      <c r="I11" s="18">
        <v>0</v>
      </c>
      <c r="J11" s="19">
        <f t="shared" ref="J11:J74" si="0">SUM(C11,F11)</f>
        <v>0</v>
      </c>
      <c r="K11" s="19">
        <f t="shared" ref="K11:K74" si="1">SUM(B11,G11)</f>
        <v>0</v>
      </c>
      <c r="L11" s="19">
        <f t="shared" ref="L11:L74" si="2">SUM(E11,H11)</f>
        <v>1</v>
      </c>
      <c r="M11" s="19">
        <f t="shared" ref="M11:M74" si="3">SUM(D11,I11)</f>
        <v>0</v>
      </c>
      <c r="N11">
        <v>15</v>
      </c>
    </row>
    <row r="12" spans="1:14" ht="15" customHeight="1" x14ac:dyDescent="0.2">
      <c r="A12" t="s">
        <v>17</v>
      </c>
      <c r="B12" s="18">
        <v>0</v>
      </c>
      <c r="C12" s="18">
        <v>0</v>
      </c>
      <c r="D12" s="18">
        <v>0</v>
      </c>
      <c r="E12" s="59">
        <v>0</v>
      </c>
      <c r="F12" s="18">
        <v>0</v>
      </c>
      <c r="G12" s="18">
        <v>0</v>
      </c>
      <c r="H12" s="59">
        <v>0</v>
      </c>
      <c r="I12" s="18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  <c r="N12">
        <v>15</v>
      </c>
    </row>
    <row r="13" spans="1:14" ht="15" customHeight="1" x14ac:dyDescent="0.2">
      <c r="A13" t="s">
        <v>18</v>
      </c>
      <c r="B13" s="18">
        <v>0</v>
      </c>
      <c r="C13" s="18">
        <v>0</v>
      </c>
      <c r="D13" s="18">
        <v>0</v>
      </c>
      <c r="E13" s="59">
        <v>0</v>
      </c>
      <c r="F13" s="18">
        <v>0</v>
      </c>
      <c r="G13" s="18">
        <v>0</v>
      </c>
      <c r="H13" s="59">
        <v>0</v>
      </c>
      <c r="I13" s="18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  <c r="N13">
        <v>15</v>
      </c>
    </row>
    <row r="14" spans="1:14" ht="15" customHeight="1" x14ac:dyDescent="0.2">
      <c r="A14" t="s">
        <v>19</v>
      </c>
      <c r="B14" s="18">
        <v>0</v>
      </c>
      <c r="C14" s="18">
        <v>0</v>
      </c>
      <c r="D14" s="18">
        <v>0</v>
      </c>
      <c r="E14" s="59">
        <v>0</v>
      </c>
      <c r="F14" s="18">
        <v>0</v>
      </c>
      <c r="G14" s="18">
        <v>0</v>
      </c>
      <c r="H14" s="59">
        <v>0</v>
      </c>
      <c r="I14" s="18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  <c r="N14">
        <v>15</v>
      </c>
    </row>
    <row r="15" spans="1:14" ht="15" customHeight="1" x14ac:dyDescent="0.2">
      <c r="A15" t="s">
        <v>20</v>
      </c>
      <c r="B15" s="18">
        <v>0</v>
      </c>
      <c r="C15" s="18">
        <v>0</v>
      </c>
      <c r="D15" s="18">
        <v>0</v>
      </c>
      <c r="E15" s="59">
        <v>0</v>
      </c>
      <c r="F15" s="18">
        <v>0</v>
      </c>
      <c r="G15" s="18">
        <v>0</v>
      </c>
      <c r="H15" s="59">
        <v>0</v>
      </c>
      <c r="I15" s="18">
        <v>1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1</v>
      </c>
      <c r="N15">
        <v>15</v>
      </c>
    </row>
    <row r="16" spans="1:14" ht="15" customHeight="1" x14ac:dyDescent="0.2">
      <c r="A16" t="s">
        <v>21</v>
      </c>
      <c r="B16" s="18">
        <v>0</v>
      </c>
      <c r="C16" s="18">
        <v>0</v>
      </c>
      <c r="D16" s="18">
        <v>0</v>
      </c>
      <c r="E16" s="59">
        <v>0</v>
      </c>
      <c r="F16" s="18">
        <v>0</v>
      </c>
      <c r="G16" s="18">
        <v>0</v>
      </c>
      <c r="H16" s="59">
        <v>0</v>
      </c>
      <c r="I16" s="18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  <c r="N16">
        <v>15</v>
      </c>
    </row>
    <row r="17" spans="1:14" ht="15" customHeight="1" x14ac:dyDescent="0.2">
      <c r="A17" t="s">
        <v>22</v>
      </c>
      <c r="B17" s="18">
        <v>0</v>
      </c>
      <c r="C17" s="18">
        <v>0</v>
      </c>
      <c r="D17" s="18">
        <v>0</v>
      </c>
      <c r="E17" s="59">
        <v>0</v>
      </c>
      <c r="F17" s="18">
        <v>0</v>
      </c>
      <c r="G17" s="18">
        <v>0</v>
      </c>
      <c r="H17" s="59">
        <v>0</v>
      </c>
      <c r="I17" s="18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  <c r="N17">
        <v>15</v>
      </c>
    </row>
    <row r="18" spans="1:14" ht="15" customHeight="1" x14ac:dyDescent="0.2">
      <c r="A18" t="s">
        <v>23</v>
      </c>
      <c r="B18" s="18">
        <v>0</v>
      </c>
      <c r="C18" s="18">
        <v>0</v>
      </c>
      <c r="D18" s="18">
        <v>0</v>
      </c>
      <c r="E18" s="59">
        <v>0</v>
      </c>
      <c r="F18" s="18">
        <v>0</v>
      </c>
      <c r="G18" s="18">
        <v>0</v>
      </c>
      <c r="H18" s="59">
        <v>0</v>
      </c>
      <c r="I18" s="18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  <c r="N18">
        <v>15</v>
      </c>
    </row>
    <row r="19" spans="1:14" ht="15" customHeight="1" x14ac:dyDescent="0.2">
      <c r="A19" t="s">
        <v>24</v>
      </c>
      <c r="B19" s="18">
        <v>0</v>
      </c>
      <c r="C19" s="18">
        <v>0</v>
      </c>
      <c r="D19" s="18">
        <v>0</v>
      </c>
      <c r="E19" s="59">
        <v>0</v>
      </c>
      <c r="F19" s="18">
        <v>0</v>
      </c>
      <c r="G19" s="18">
        <v>0</v>
      </c>
      <c r="H19" s="59">
        <v>0</v>
      </c>
      <c r="I19" s="18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  <c r="N19">
        <v>15</v>
      </c>
    </row>
    <row r="20" spans="1:14" ht="15" customHeight="1" x14ac:dyDescent="0.2">
      <c r="A20" t="s">
        <v>25</v>
      </c>
      <c r="B20" s="18">
        <v>0</v>
      </c>
      <c r="C20" s="18">
        <v>0</v>
      </c>
      <c r="D20" s="18">
        <v>0</v>
      </c>
      <c r="E20" s="59">
        <v>0</v>
      </c>
      <c r="F20" s="18">
        <v>0</v>
      </c>
      <c r="G20" s="18">
        <v>0</v>
      </c>
      <c r="H20" s="59">
        <v>0</v>
      </c>
      <c r="I20" s="18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  <c r="N20">
        <v>15</v>
      </c>
    </row>
    <row r="21" spans="1:14" ht="15" customHeight="1" x14ac:dyDescent="0.2">
      <c r="A21" t="s">
        <v>26</v>
      </c>
      <c r="B21" s="18">
        <v>0</v>
      </c>
      <c r="C21" s="18">
        <v>0</v>
      </c>
      <c r="D21" s="18">
        <v>0</v>
      </c>
      <c r="E21" s="59">
        <v>0</v>
      </c>
      <c r="F21" s="18">
        <v>1</v>
      </c>
      <c r="G21" s="18">
        <v>0</v>
      </c>
      <c r="H21" s="59">
        <v>0</v>
      </c>
      <c r="I21" s="18">
        <v>0</v>
      </c>
      <c r="J21" s="19">
        <f t="shared" si="0"/>
        <v>1</v>
      </c>
      <c r="K21" s="19">
        <f t="shared" si="1"/>
        <v>0</v>
      </c>
      <c r="L21" s="19">
        <f t="shared" si="2"/>
        <v>0</v>
      </c>
      <c r="M21" s="19">
        <f t="shared" si="3"/>
        <v>0</v>
      </c>
      <c r="N21">
        <v>15</v>
      </c>
    </row>
    <row r="22" spans="1:14" ht="15" customHeight="1" x14ac:dyDescent="0.2">
      <c r="A22" t="s">
        <v>27</v>
      </c>
      <c r="B22" s="18">
        <v>0</v>
      </c>
      <c r="C22" s="18">
        <v>0</v>
      </c>
      <c r="D22" s="18">
        <v>0</v>
      </c>
      <c r="E22" s="59">
        <v>0</v>
      </c>
      <c r="F22" s="18">
        <v>0</v>
      </c>
      <c r="G22" s="18">
        <v>0</v>
      </c>
      <c r="H22" s="59">
        <v>0</v>
      </c>
      <c r="I22" s="18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  <c r="N22">
        <v>15</v>
      </c>
    </row>
    <row r="23" spans="1:14" ht="15" customHeight="1" x14ac:dyDescent="0.2">
      <c r="A23" t="s">
        <v>28</v>
      </c>
      <c r="B23" s="18">
        <v>0</v>
      </c>
      <c r="C23" s="18">
        <v>0</v>
      </c>
      <c r="D23" s="18">
        <v>0</v>
      </c>
      <c r="E23" s="59">
        <v>0</v>
      </c>
      <c r="F23" s="18">
        <v>0</v>
      </c>
      <c r="G23" s="18">
        <v>0</v>
      </c>
      <c r="H23" s="59">
        <v>0</v>
      </c>
      <c r="I23" s="18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  <c r="N23">
        <v>15</v>
      </c>
    </row>
    <row r="24" spans="1:14" ht="15" customHeight="1" x14ac:dyDescent="0.2">
      <c r="A24" t="s">
        <v>29</v>
      </c>
      <c r="B24" s="18">
        <v>0</v>
      </c>
      <c r="C24" s="18">
        <v>0</v>
      </c>
      <c r="D24" s="18">
        <v>0</v>
      </c>
      <c r="E24" s="59">
        <v>0</v>
      </c>
      <c r="F24" s="18">
        <v>0</v>
      </c>
      <c r="G24" s="18">
        <v>0</v>
      </c>
      <c r="H24" s="59">
        <v>0</v>
      </c>
      <c r="I24" s="18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  <c r="N24">
        <v>15</v>
      </c>
    </row>
    <row r="25" spans="1:14" ht="15" customHeight="1" x14ac:dyDescent="0.2">
      <c r="A25" t="s">
        <v>30</v>
      </c>
      <c r="B25" s="18">
        <v>0</v>
      </c>
      <c r="C25" s="18">
        <v>0</v>
      </c>
      <c r="D25" s="18">
        <v>0</v>
      </c>
      <c r="E25" s="59">
        <v>0</v>
      </c>
      <c r="F25" s="18">
        <v>0</v>
      </c>
      <c r="G25" s="18">
        <v>0</v>
      </c>
      <c r="H25" s="59">
        <v>0</v>
      </c>
      <c r="I25" s="18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  <c r="N25">
        <v>15</v>
      </c>
    </row>
    <row r="26" spans="1:14" ht="15" customHeight="1" x14ac:dyDescent="0.2">
      <c r="A26" t="s">
        <v>31</v>
      </c>
      <c r="B26" s="18">
        <v>0</v>
      </c>
      <c r="C26" s="18">
        <v>0</v>
      </c>
      <c r="D26" s="18">
        <v>0</v>
      </c>
      <c r="E26" s="59">
        <v>0</v>
      </c>
      <c r="F26" s="18">
        <v>0</v>
      </c>
      <c r="G26" s="18">
        <v>0</v>
      </c>
      <c r="H26" s="59">
        <v>0</v>
      </c>
      <c r="I26" s="18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  <c r="N26">
        <v>15</v>
      </c>
    </row>
    <row r="27" spans="1:14" ht="15" customHeight="1" x14ac:dyDescent="0.2">
      <c r="A27" t="s">
        <v>32</v>
      </c>
      <c r="B27" s="18">
        <v>0</v>
      </c>
      <c r="C27" s="18">
        <v>0</v>
      </c>
      <c r="D27" s="18">
        <v>0</v>
      </c>
      <c r="E27" s="59">
        <v>0</v>
      </c>
      <c r="F27" s="18">
        <v>0</v>
      </c>
      <c r="G27" s="18">
        <v>0</v>
      </c>
      <c r="H27" s="59">
        <v>0</v>
      </c>
      <c r="I27" s="18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  <c r="N27">
        <v>15</v>
      </c>
    </row>
    <row r="28" spans="1:14" ht="15" customHeight="1" x14ac:dyDescent="0.2">
      <c r="A28" t="s">
        <v>33</v>
      </c>
      <c r="B28" s="18">
        <v>1</v>
      </c>
      <c r="C28" s="18">
        <v>0</v>
      </c>
      <c r="D28" s="18">
        <v>0</v>
      </c>
      <c r="E28" s="59">
        <v>0</v>
      </c>
      <c r="F28" s="18">
        <v>0</v>
      </c>
      <c r="G28" s="18">
        <v>0</v>
      </c>
      <c r="H28" s="59">
        <v>0</v>
      </c>
      <c r="I28" s="18">
        <v>0</v>
      </c>
      <c r="J28" s="19">
        <f t="shared" si="0"/>
        <v>0</v>
      </c>
      <c r="K28" s="19">
        <f t="shared" si="1"/>
        <v>1</v>
      </c>
      <c r="L28" s="19">
        <f t="shared" si="2"/>
        <v>0</v>
      </c>
      <c r="M28" s="19">
        <f t="shared" si="3"/>
        <v>0</v>
      </c>
      <c r="N28">
        <v>15</v>
      </c>
    </row>
    <row r="29" spans="1:14" ht="15" customHeight="1" x14ac:dyDescent="0.2">
      <c r="A29" t="s">
        <v>34</v>
      </c>
      <c r="B29" s="18">
        <v>0</v>
      </c>
      <c r="C29" s="18">
        <v>0</v>
      </c>
      <c r="D29" s="18">
        <v>0</v>
      </c>
      <c r="E29" s="59">
        <v>0</v>
      </c>
      <c r="F29" s="18">
        <v>0</v>
      </c>
      <c r="G29" s="18">
        <v>0</v>
      </c>
      <c r="H29" s="59">
        <v>0</v>
      </c>
      <c r="I29" s="18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  <c r="N29">
        <v>15</v>
      </c>
    </row>
    <row r="30" spans="1:14" ht="15" customHeight="1" x14ac:dyDescent="0.2">
      <c r="A30" t="s">
        <v>35</v>
      </c>
      <c r="B30" s="18">
        <v>0</v>
      </c>
      <c r="C30" s="18">
        <v>0</v>
      </c>
      <c r="D30" s="18">
        <v>0</v>
      </c>
      <c r="E30" s="59">
        <v>0</v>
      </c>
      <c r="F30" s="18">
        <v>0</v>
      </c>
      <c r="G30" s="18">
        <v>0</v>
      </c>
      <c r="H30" s="59">
        <v>0</v>
      </c>
      <c r="I30" s="18">
        <v>0</v>
      </c>
      <c r="J30" s="19">
        <f t="shared" si="0"/>
        <v>0</v>
      </c>
      <c r="K30" s="19">
        <f t="shared" si="1"/>
        <v>0</v>
      </c>
      <c r="L30" s="19">
        <f t="shared" si="2"/>
        <v>0</v>
      </c>
      <c r="M30" s="19">
        <f t="shared" si="3"/>
        <v>0</v>
      </c>
      <c r="N30">
        <v>15</v>
      </c>
    </row>
    <row r="31" spans="1:14" ht="15" customHeight="1" x14ac:dyDescent="0.2">
      <c r="A31" t="s">
        <v>36</v>
      </c>
      <c r="B31" s="18">
        <v>0</v>
      </c>
      <c r="C31" s="18">
        <v>0</v>
      </c>
      <c r="D31" s="18">
        <v>0</v>
      </c>
      <c r="E31" s="59">
        <v>0</v>
      </c>
      <c r="F31" s="18">
        <v>0</v>
      </c>
      <c r="G31" s="18">
        <v>0</v>
      </c>
      <c r="H31" s="59">
        <v>0</v>
      </c>
      <c r="I31" s="18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  <c r="N31">
        <v>15</v>
      </c>
    </row>
    <row r="32" spans="1:14" ht="15" customHeight="1" x14ac:dyDescent="0.2">
      <c r="A32" t="s">
        <v>37</v>
      </c>
      <c r="B32" s="18">
        <v>0</v>
      </c>
      <c r="C32" s="18">
        <v>0</v>
      </c>
      <c r="D32" s="18">
        <v>0</v>
      </c>
      <c r="E32" s="59">
        <v>0</v>
      </c>
      <c r="F32" s="18">
        <v>0</v>
      </c>
      <c r="G32" s="18">
        <v>0</v>
      </c>
      <c r="H32" s="59">
        <v>0</v>
      </c>
      <c r="I32" s="18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  <c r="N32">
        <v>15</v>
      </c>
    </row>
    <row r="33" spans="1:14" ht="15" customHeight="1" x14ac:dyDescent="0.2">
      <c r="A33" t="s">
        <v>38</v>
      </c>
      <c r="B33" s="18">
        <v>0</v>
      </c>
      <c r="C33" s="18">
        <v>0</v>
      </c>
      <c r="D33" s="18">
        <v>0</v>
      </c>
      <c r="E33" s="59">
        <v>0</v>
      </c>
      <c r="F33" s="18">
        <v>0</v>
      </c>
      <c r="G33" s="18">
        <v>0</v>
      </c>
      <c r="H33" s="59">
        <v>0</v>
      </c>
      <c r="I33" s="18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  <c r="N33">
        <v>15</v>
      </c>
    </row>
    <row r="34" spans="1:14" ht="15" customHeight="1" x14ac:dyDescent="0.2">
      <c r="A34" t="s">
        <v>39</v>
      </c>
      <c r="B34" s="18">
        <v>0</v>
      </c>
      <c r="C34" s="18">
        <v>0</v>
      </c>
      <c r="D34" s="18">
        <v>1</v>
      </c>
      <c r="E34" s="59">
        <v>0</v>
      </c>
      <c r="F34" s="18">
        <v>0</v>
      </c>
      <c r="G34" s="18">
        <v>0</v>
      </c>
      <c r="H34" s="59">
        <v>0</v>
      </c>
      <c r="I34" s="18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1</v>
      </c>
      <c r="N34">
        <v>15</v>
      </c>
    </row>
    <row r="35" spans="1:14" ht="15" customHeight="1" x14ac:dyDescent="0.2">
      <c r="A35" t="s">
        <v>40</v>
      </c>
      <c r="B35" s="18">
        <v>0</v>
      </c>
      <c r="C35" s="18">
        <v>0</v>
      </c>
      <c r="D35" s="18">
        <v>0</v>
      </c>
      <c r="E35" s="59">
        <v>0</v>
      </c>
      <c r="F35" s="18">
        <v>0</v>
      </c>
      <c r="G35" s="18">
        <v>0</v>
      </c>
      <c r="H35" s="59">
        <v>0</v>
      </c>
      <c r="I35" s="18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  <c r="N35">
        <v>15</v>
      </c>
    </row>
    <row r="36" spans="1:14" s="33" customFormat="1" ht="15" customHeight="1" x14ac:dyDescent="0.2">
      <c r="A36" s="33" t="s">
        <v>41</v>
      </c>
      <c r="B36" s="61">
        <v>0</v>
      </c>
      <c r="C36" s="61">
        <v>0</v>
      </c>
      <c r="D36" s="61">
        <v>0</v>
      </c>
      <c r="E36" s="61">
        <v>0</v>
      </c>
      <c r="F36" s="61">
        <v>0</v>
      </c>
      <c r="G36" s="61">
        <v>0</v>
      </c>
      <c r="H36" s="61">
        <v>0</v>
      </c>
      <c r="I36" s="61">
        <v>0</v>
      </c>
      <c r="J36" s="62">
        <f t="shared" si="0"/>
        <v>0</v>
      </c>
      <c r="K36" s="62">
        <f t="shared" si="1"/>
        <v>0</v>
      </c>
      <c r="L36" s="62">
        <f t="shared" si="2"/>
        <v>0</v>
      </c>
      <c r="M36" s="62">
        <f t="shared" si="3"/>
        <v>0</v>
      </c>
      <c r="N36">
        <v>15</v>
      </c>
    </row>
    <row r="37" spans="1:14" s="33" customFormat="1" ht="15" customHeight="1" x14ac:dyDescent="0.2">
      <c r="A37" s="33" t="s">
        <v>42</v>
      </c>
      <c r="B37" s="61">
        <v>0</v>
      </c>
      <c r="C37" s="61">
        <v>0</v>
      </c>
      <c r="D37" s="61">
        <v>0</v>
      </c>
      <c r="E37" s="61">
        <v>0</v>
      </c>
      <c r="F37" s="61">
        <v>0</v>
      </c>
      <c r="G37" s="61">
        <v>0</v>
      </c>
      <c r="H37" s="61">
        <v>0</v>
      </c>
      <c r="I37" s="61">
        <v>0</v>
      </c>
      <c r="J37" s="62">
        <f t="shared" si="0"/>
        <v>0</v>
      </c>
      <c r="K37" s="62">
        <f t="shared" si="1"/>
        <v>0</v>
      </c>
      <c r="L37" s="62">
        <f t="shared" si="2"/>
        <v>0</v>
      </c>
      <c r="M37" s="62">
        <f t="shared" si="3"/>
        <v>0</v>
      </c>
      <c r="N37">
        <v>15</v>
      </c>
    </row>
    <row r="38" spans="1:14" s="33" customFormat="1" ht="15" customHeight="1" x14ac:dyDescent="0.2">
      <c r="A38" s="33" t="s">
        <v>43</v>
      </c>
      <c r="B38" s="61">
        <v>0</v>
      </c>
      <c r="C38" s="61">
        <v>0</v>
      </c>
      <c r="D38" s="61">
        <v>0</v>
      </c>
      <c r="E38" s="61">
        <v>0</v>
      </c>
      <c r="F38" s="61">
        <v>0</v>
      </c>
      <c r="G38" s="61">
        <v>0</v>
      </c>
      <c r="H38" s="61">
        <v>0</v>
      </c>
      <c r="I38" s="61">
        <v>0</v>
      </c>
      <c r="J38" s="62">
        <f t="shared" si="0"/>
        <v>0</v>
      </c>
      <c r="K38" s="62">
        <f t="shared" si="1"/>
        <v>0</v>
      </c>
      <c r="L38" s="62">
        <f t="shared" si="2"/>
        <v>0</v>
      </c>
      <c r="M38" s="62">
        <f t="shared" si="3"/>
        <v>0</v>
      </c>
      <c r="N38">
        <v>15</v>
      </c>
    </row>
    <row r="39" spans="1:14" s="33" customFormat="1" ht="15" customHeight="1" x14ac:dyDescent="0.2">
      <c r="A39" s="33" t="s">
        <v>44</v>
      </c>
      <c r="B39" s="61">
        <v>0</v>
      </c>
      <c r="C39" s="61">
        <v>0</v>
      </c>
      <c r="D39" s="61">
        <v>0</v>
      </c>
      <c r="E39" s="61">
        <v>0</v>
      </c>
      <c r="F39" s="61">
        <v>0</v>
      </c>
      <c r="G39" s="61">
        <v>0</v>
      </c>
      <c r="H39" s="61">
        <v>0</v>
      </c>
      <c r="I39" s="61">
        <v>0</v>
      </c>
      <c r="J39" s="62">
        <f t="shared" si="0"/>
        <v>0</v>
      </c>
      <c r="K39" s="62">
        <f t="shared" si="1"/>
        <v>0</v>
      </c>
      <c r="L39" s="62">
        <f t="shared" si="2"/>
        <v>0</v>
      </c>
      <c r="M39" s="62">
        <f t="shared" si="3"/>
        <v>0</v>
      </c>
      <c r="N39">
        <v>15</v>
      </c>
    </row>
    <row r="40" spans="1:14" s="33" customFormat="1" ht="15" customHeight="1" x14ac:dyDescent="0.2">
      <c r="A40" s="33" t="s">
        <v>45</v>
      </c>
      <c r="B40" s="61">
        <v>0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2">
        <f t="shared" si="0"/>
        <v>0</v>
      </c>
      <c r="K40" s="62">
        <f t="shared" si="1"/>
        <v>0</v>
      </c>
      <c r="L40" s="62">
        <f t="shared" si="2"/>
        <v>0</v>
      </c>
      <c r="M40" s="62">
        <f t="shared" si="3"/>
        <v>0</v>
      </c>
      <c r="N40">
        <v>15</v>
      </c>
    </row>
    <row r="41" spans="1:14" s="33" customFormat="1" ht="15" customHeight="1" x14ac:dyDescent="0.2">
      <c r="A41" s="33" t="s">
        <v>46</v>
      </c>
      <c r="B41" s="61">
        <v>0</v>
      </c>
      <c r="C41" s="61">
        <v>0</v>
      </c>
      <c r="D41" s="61">
        <v>0</v>
      </c>
      <c r="E41" s="61">
        <v>0</v>
      </c>
      <c r="F41" s="61">
        <v>0</v>
      </c>
      <c r="G41" s="61">
        <v>0</v>
      </c>
      <c r="H41" s="61">
        <v>0</v>
      </c>
      <c r="I41" s="61">
        <v>0</v>
      </c>
      <c r="J41" s="62">
        <f t="shared" si="0"/>
        <v>0</v>
      </c>
      <c r="K41" s="62">
        <f t="shared" si="1"/>
        <v>0</v>
      </c>
      <c r="L41" s="62">
        <f t="shared" si="2"/>
        <v>0</v>
      </c>
      <c r="M41" s="62">
        <f t="shared" si="3"/>
        <v>0</v>
      </c>
      <c r="N41">
        <v>15</v>
      </c>
    </row>
    <row r="42" spans="1:14" s="33" customFormat="1" ht="15" customHeight="1" x14ac:dyDescent="0.2">
      <c r="A42" s="33" t="s">
        <v>47</v>
      </c>
      <c r="B42" s="61">
        <v>0</v>
      </c>
      <c r="C42" s="61">
        <v>0</v>
      </c>
      <c r="D42" s="61">
        <v>0</v>
      </c>
      <c r="E42" s="61">
        <v>0</v>
      </c>
      <c r="F42" s="61">
        <v>0</v>
      </c>
      <c r="G42" s="61">
        <v>0</v>
      </c>
      <c r="H42" s="61">
        <v>0</v>
      </c>
      <c r="I42" s="61">
        <v>0</v>
      </c>
      <c r="J42" s="62">
        <f t="shared" si="0"/>
        <v>0</v>
      </c>
      <c r="K42" s="62">
        <f t="shared" si="1"/>
        <v>0</v>
      </c>
      <c r="L42" s="62">
        <f t="shared" si="2"/>
        <v>0</v>
      </c>
      <c r="M42" s="62">
        <f t="shared" si="3"/>
        <v>0</v>
      </c>
      <c r="N42">
        <v>15</v>
      </c>
    </row>
    <row r="43" spans="1:14" s="33" customFormat="1" ht="15" customHeight="1" x14ac:dyDescent="0.2">
      <c r="A43" s="33" t="s">
        <v>48</v>
      </c>
      <c r="B43" s="61">
        <v>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2">
        <f t="shared" si="0"/>
        <v>0</v>
      </c>
      <c r="K43" s="62">
        <f t="shared" si="1"/>
        <v>0</v>
      </c>
      <c r="L43" s="62">
        <f t="shared" si="2"/>
        <v>0</v>
      </c>
      <c r="M43" s="62">
        <f t="shared" si="3"/>
        <v>0</v>
      </c>
      <c r="N43">
        <v>15</v>
      </c>
    </row>
    <row r="44" spans="1:14" s="33" customFormat="1" ht="15" customHeight="1" x14ac:dyDescent="0.2">
      <c r="A44" s="33" t="s">
        <v>49</v>
      </c>
      <c r="B44" s="61">
        <v>0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2">
        <f t="shared" si="0"/>
        <v>0</v>
      </c>
      <c r="K44" s="62">
        <f t="shared" si="1"/>
        <v>0</v>
      </c>
      <c r="L44" s="62">
        <f t="shared" si="2"/>
        <v>0</v>
      </c>
      <c r="M44" s="62">
        <f t="shared" si="3"/>
        <v>0</v>
      </c>
      <c r="N44">
        <v>15</v>
      </c>
    </row>
    <row r="45" spans="1:14" s="33" customFormat="1" ht="15" customHeight="1" x14ac:dyDescent="0.2">
      <c r="A45" s="33" t="s">
        <v>50</v>
      </c>
      <c r="B45" s="61">
        <v>0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2">
        <f t="shared" si="0"/>
        <v>0</v>
      </c>
      <c r="K45" s="62">
        <f t="shared" si="1"/>
        <v>0</v>
      </c>
      <c r="L45" s="62">
        <f t="shared" si="2"/>
        <v>0</v>
      </c>
      <c r="M45" s="62">
        <f t="shared" si="3"/>
        <v>0</v>
      </c>
      <c r="N45">
        <v>15</v>
      </c>
    </row>
    <row r="46" spans="1:14" s="33" customFormat="1" ht="15" customHeight="1" x14ac:dyDescent="0.2">
      <c r="A46" s="33" t="s">
        <v>51</v>
      </c>
      <c r="B46" s="61">
        <v>0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2">
        <f t="shared" si="0"/>
        <v>0</v>
      </c>
      <c r="K46" s="62">
        <f t="shared" si="1"/>
        <v>0</v>
      </c>
      <c r="L46" s="62">
        <f t="shared" si="2"/>
        <v>0</v>
      </c>
      <c r="M46" s="62">
        <f t="shared" si="3"/>
        <v>0</v>
      </c>
      <c r="N46">
        <v>15</v>
      </c>
    </row>
    <row r="47" spans="1:14" s="33" customFormat="1" ht="15" customHeight="1" x14ac:dyDescent="0.2">
      <c r="A47" s="33" t="s">
        <v>52</v>
      </c>
      <c r="B47" s="61">
        <v>0</v>
      </c>
      <c r="C47" s="61">
        <v>0</v>
      </c>
      <c r="D47" s="61">
        <v>1</v>
      </c>
      <c r="E47" s="61">
        <v>1</v>
      </c>
      <c r="F47" s="61">
        <v>0</v>
      </c>
      <c r="G47" s="61">
        <v>0</v>
      </c>
      <c r="H47" s="61">
        <v>0</v>
      </c>
      <c r="I47" s="61">
        <v>0</v>
      </c>
      <c r="J47" s="62">
        <f t="shared" si="0"/>
        <v>0</v>
      </c>
      <c r="K47" s="62">
        <f t="shared" si="1"/>
        <v>0</v>
      </c>
      <c r="L47" s="62">
        <f t="shared" si="2"/>
        <v>1</v>
      </c>
      <c r="M47" s="62">
        <f t="shared" si="3"/>
        <v>1</v>
      </c>
      <c r="N47">
        <v>15</v>
      </c>
    </row>
    <row r="48" spans="1:14" s="33" customFormat="1" ht="15" customHeight="1" x14ac:dyDescent="0.2">
      <c r="A48" s="33" t="s">
        <v>53</v>
      </c>
      <c r="B48" s="61">
        <v>0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2">
        <f t="shared" si="0"/>
        <v>0</v>
      </c>
      <c r="K48" s="62">
        <f t="shared" si="1"/>
        <v>0</v>
      </c>
      <c r="L48" s="62">
        <f t="shared" si="2"/>
        <v>0</v>
      </c>
      <c r="M48" s="62">
        <f t="shared" si="3"/>
        <v>0</v>
      </c>
      <c r="N48">
        <v>15</v>
      </c>
    </row>
    <row r="49" spans="1:14" s="33" customFormat="1" ht="15" customHeight="1" x14ac:dyDescent="0.2">
      <c r="A49" s="33" t="s">
        <v>54</v>
      </c>
      <c r="B49" s="61">
        <v>0</v>
      </c>
      <c r="C49" s="61">
        <v>0</v>
      </c>
      <c r="D49" s="61">
        <v>0</v>
      </c>
      <c r="E49" s="61">
        <v>0</v>
      </c>
      <c r="F49" s="61">
        <v>0</v>
      </c>
      <c r="G49" s="61">
        <v>0</v>
      </c>
      <c r="H49" s="61">
        <v>0</v>
      </c>
      <c r="I49" s="61">
        <v>0</v>
      </c>
      <c r="J49" s="62">
        <f t="shared" si="0"/>
        <v>0</v>
      </c>
      <c r="K49" s="62">
        <f t="shared" si="1"/>
        <v>0</v>
      </c>
      <c r="L49" s="62">
        <f t="shared" si="2"/>
        <v>0</v>
      </c>
      <c r="M49" s="62">
        <f t="shared" si="3"/>
        <v>0</v>
      </c>
      <c r="N49">
        <v>15</v>
      </c>
    </row>
    <row r="50" spans="1:14" s="33" customFormat="1" ht="15" customHeight="1" x14ac:dyDescent="0.2">
      <c r="A50" s="33" t="s">
        <v>55</v>
      </c>
      <c r="B50" s="61">
        <v>0</v>
      </c>
      <c r="C50" s="61">
        <v>0</v>
      </c>
      <c r="D50" s="61">
        <v>0</v>
      </c>
      <c r="E50" s="61">
        <v>0</v>
      </c>
      <c r="F50" s="61">
        <v>0</v>
      </c>
      <c r="G50" s="61">
        <v>0</v>
      </c>
      <c r="H50" s="61">
        <v>0</v>
      </c>
      <c r="I50" s="61">
        <v>0</v>
      </c>
      <c r="J50" s="62">
        <f t="shared" si="0"/>
        <v>0</v>
      </c>
      <c r="K50" s="62">
        <f t="shared" si="1"/>
        <v>0</v>
      </c>
      <c r="L50" s="62">
        <f t="shared" si="2"/>
        <v>0</v>
      </c>
      <c r="M50" s="62">
        <f t="shared" si="3"/>
        <v>0</v>
      </c>
      <c r="N50">
        <v>15</v>
      </c>
    </row>
    <row r="51" spans="1:14" s="33" customFormat="1" ht="15" customHeight="1" x14ac:dyDescent="0.2">
      <c r="A51" s="33" t="s">
        <v>56</v>
      </c>
      <c r="B51" s="61">
        <v>0</v>
      </c>
      <c r="C51" s="61">
        <v>0</v>
      </c>
      <c r="D51" s="61">
        <v>0</v>
      </c>
      <c r="E51" s="61">
        <v>0</v>
      </c>
      <c r="F51" s="61">
        <v>0</v>
      </c>
      <c r="G51" s="61">
        <v>0</v>
      </c>
      <c r="H51" s="61">
        <v>0</v>
      </c>
      <c r="I51" s="61">
        <v>0</v>
      </c>
      <c r="J51" s="62">
        <f t="shared" si="0"/>
        <v>0</v>
      </c>
      <c r="K51" s="62">
        <f t="shared" si="1"/>
        <v>0</v>
      </c>
      <c r="L51" s="62">
        <f t="shared" si="2"/>
        <v>0</v>
      </c>
      <c r="M51" s="62">
        <f t="shared" si="3"/>
        <v>0</v>
      </c>
      <c r="N51">
        <v>15</v>
      </c>
    </row>
    <row r="52" spans="1:14" s="33" customFormat="1" ht="15" customHeight="1" x14ac:dyDescent="0.2">
      <c r="A52" s="33" t="s">
        <v>57</v>
      </c>
      <c r="B52" s="61">
        <v>0</v>
      </c>
      <c r="C52" s="61">
        <v>0</v>
      </c>
      <c r="D52" s="61">
        <v>0</v>
      </c>
      <c r="E52" s="61">
        <v>0</v>
      </c>
      <c r="F52" s="61">
        <v>0</v>
      </c>
      <c r="G52" s="61">
        <v>0</v>
      </c>
      <c r="H52" s="61">
        <v>0</v>
      </c>
      <c r="I52" s="61">
        <v>0</v>
      </c>
      <c r="J52" s="62">
        <f t="shared" si="0"/>
        <v>0</v>
      </c>
      <c r="K52" s="62">
        <f t="shared" si="1"/>
        <v>0</v>
      </c>
      <c r="L52" s="62">
        <f t="shared" si="2"/>
        <v>0</v>
      </c>
      <c r="M52" s="62">
        <f t="shared" si="3"/>
        <v>0</v>
      </c>
      <c r="N52">
        <v>15</v>
      </c>
    </row>
    <row r="53" spans="1:14" s="33" customFormat="1" ht="15" customHeight="1" x14ac:dyDescent="0.2">
      <c r="A53" s="33" t="s">
        <v>58</v>
      </c>
      <c r="B53" s="61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2">
        <f t="shared" si="0"/>
        <v>0</v>
      </c>
      <c r="K53" s="62">
        <f t="shared" si="1"/>
        <v>0</v>
      </c>
      <c r="L53" s="62">
        <f t="shared" si="2"/>
        <v>0</v>
      </c>
      <c r="M53" s="62">
        <f t="shared" si="3"/>
        <v>0</v>
      </c>
      <c r="N53">
        <v>15</v>
      </c>
    </row>
    <row r="54" spans="1:14" s="33" customFormat="1" ht="15" customHeight="1" x14ac:dyDescent="0.2">
      <c r="A54" s="33" t="s">
        <v>59</v>
      </c>
      <c r="B54" s="61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2">
        <f t="shared" si="0"/>
        <v>0</v>
      </c>
      <c r="K54" s="62">
        <f t="shared" si="1"/>
        <v>0</v>
      </c>
      <c r="L54" s="62">
        <f t="shared" si="2"/>
        <v>0</v>
      </c>
      <c r="M54" s="62">
        <f t="shared" si="3"/>
        <v>0</v>
      </c>
      <c r="N54">
        <v>15</v>
      </c>
    </row>
    <row r="55" spans="1:14" s="33" customFormat="1" ht="15" customHeight="1" x14ac:dyDescent="0.2">
      <c r="A55" s="33" t="s">
        <v>60</v>
      </c>
      <c r="B55" s="61">
        <v>0</v>
      </c>
      <c r="C55" s="61">
        <v>0</v>
      </c>
      <c r="D55" s="61">
        <v>0</v>
      </c>
      <c r="E55" s="61">
        <v>0</v>
      </c>
      <c r="F55" s="61">
        <v>0</v>
      </c>
      <c r="G55" s="61">
        <v>0</v>
      </c>
      <c r="H55" s="61">
        <v>0</v>
      </c>
      <c r="I55" s="61">
        <v>0</v>
      </c>
      <c r="J55" s="62">
        <f t="shared" si="0"/>
        <v>0</v>
      </c>
      <c r="K55" s="62">
        <f t="shared" si="1"/>
        <v>0</v>
      </c>
      <c r="L55" s="62">
        <f t="shared" si="2"/>
        <v>0</v>
      </c>
      <c r="M55" s="62">
        <f t="shared" si="3"/>
        <v>0</v>
      </c>
      <c r="N55">
        <v>15</v>
      </c>
    </row>
    <row r="56" spans="1:14" s="33" customFormat="1" ht="15" customHeight="1" x14ac:dyDescent="0.2">
      <c r="A56" s="33" t="s">
        <v>61</v>
      </c>
      <c r="B56" s="61">
        <v>0</v>
      </c>
      <c r="C56" s="61">
        <v>0</v>
      </c>
      <c r="D56" s="61">
        <v>0</v>
      </c>
      <c r="E56" s="61">
        <v>0</v>
      </c>
      <c r="F56" s="61">
        <v>0</v>
      </c>
      <c r="G56" s="61">
        <v>0</v>
      </c>
      <c r="H56" s="61">
        <v>0</v>
      </c>
      <c r="I56" s="61">
        <v>0</v>
      </c>
      <c r="J56" s="62">
        <f t="shared" si="0"/>
        <v>0</v>
      </c>
      <c r="K56" s="62">
        <f t="shared" si="1"/>
        <v>0</v>
      </c>
      <c r="L56" s="62">
        <f t="shared" si="2"/>
        <v>0</v>
      </c>
      <c r="M56" s="62">
        <f t="shared" si="3"/>
        <v>0</v>
      </c>
      <c r="N56">
        <v>15</v>
      </c>
    </row>
    <row r="57" spans="1:14" s="33" customFormat="1" ht="15" customHeight="1" x14ac:dyDescent="0.2">
      <c r="A57" s="33" t="s">
        <v>62</v>
      </c>
      <c r="B57" s="61">
        <v>0</v>
      </c>
      <c r="C57" s="61">
        <v>0</v>
      </c>
      <c r="D57" s="61">
        <v>0</v>
      </c>
      <c r="E57" s="61">
        <v>0</v>
      </c>
      <c r="F57" s="61">
        <v>0</v>
      </c>
      <c r="G57" s="61">
        <v>0</v>
      </c>
      <c r="H57" s="61">
        <v>0</v>
      </c>
      <c r="I57" s="61">
        <v>0</v>
      </c>
      <c r="J57" s="62">
        <f t="shared" si="0"/>
        <v>0</v>
      </c>
      <c r="K57" s="62">
        <f t="shared" si="1"/>
        <v>0</v>
      </c>
      <c r="L57" s="62">
        <f t="shared" si="2"/>
        <v>0</v>
      </c>
      <c r="M57" s="62">
        <f t="shared" si="3"/>
        <v>0</v>
      </c>
      <c r="N57">
        <v>15</v>
      </c>
    </row>
    <row r="58" spans="1:14" s="33" customFormat="1" ht="15" customHeight="1" x14ac:dyDescent="0.2">
      <c r="A58" s="33" t="s">
        <v>63</v>
      </c>
      <c r="B58" s="61">
        <v>0</v>
      </c>
      <c r="C58" s="61">
        <v>1</v>
      </c>
      <c r="D58" s="61">
        <v>0</v>
      </c>
      <c r="E58" s="61">
        <v>0</v>
      </c>
      <c r="F58" s="61">
        <v>0</v>
      </c>
      <c r="G58" s="61">
        <v>0</v>
      </c>
      <c r="H58" s="61">
        <v>0</v>
      </c>
      <c r="I58" s="61">
        <v>0</v>
      </c>
      <c r="J58" s="62">
        <f t="shared" si="0"/>
        <v>1</v>
      </c>
      <c r="K58" s="62">
        <f t="shared" si="1"/>
        <v>0</v>
      </c>
      <c r="L58" s="62">
        <f t="shared" si="2"/>
        <v>0</v>
      </c>
      <c r="M58" s="62">
        <f t="shared" si="3"/>
        <v>0</v>
      </c>
      <c r="N58">
        <v>15</v>
      </c>
    </row>
    <row r="59" spans="1:14" s="33" customFormat="1" ht="15" customHeight="1" x14ac:dyDescent="0.2">
      <c r="A59" s="33" t="s">
        <v>64</v>
      </c>
      <c r="B59" s="61">
        <v>0</v>
      </c>
      <c r="C59" s="61">
        <v>0</v>
      </c>
      <c r="D59" s="61">
        <v>0</v>
      </c>
      <c r="E59" s="61">
        <v>0</v>
      </c>
      <c r="F59" s="61">
        <v>0</v>
      </c>
      <c r="G59" s="61">
        <v>0</v>
      </c>
      <c r="H59" s="61">
        <v>0</v>
      </c>
      <c r="I59" s="61">
        <v>0</v>
      </c>
      <c r="J59" s="62">
        <f t="shared" si="0"/>
        <v>0</v>
      </c>
      <c r="K59" s="62">
        <f t="shared" si="1"/>
        <v>0</v>
      </c>
      <c r="L59" s="62">
        <f t="shared" si="2"/>
        <v>0</v>
      </c>
      <c r="M59" s="62">
        <f t="shared" si="3"/>
        <v>0</v>
      </c>
      <c r="N59">
        <v>15</v>
      </c>
    </row>
    <row r="60" spans="1:14" s="33" customFormat="1" ht="15" customHeight="1" x14ac:dyDescent="0.2">
      <c r="A60" s="33" t="s">
        <v>65</v>
      </c>
      <c r="B60" s="61">
        <v>0</v>
      </c>
      <c r="C60" s="61">
        <v>0</v>
      </c>
      <c r="D60" s="61">
        <v>0</v>
      </c>
      <c r="E60" s="61">
        <v>0</v>
      </c>
      <c r="F60" s="61">
        <v>0</v>
      </c>
      <c r="G60" s="61">
        <v>0</v>
      </c>
      <c r="H60" s="61">
        <v>0</v>
      </c>
      <c r="I60" s="61">
        <v>0</v>
      </c>
      <c r="J60" s="62">
        <f t="shared" si="0"/>
        <v>0</v>
      </c>
      <c r="K60" s="62">
        <f t="shared" si="1"/>
        <v>0</v>
      </c>
      <c r="L60" s="62">
        <f t="shared" si="2"/>
        <v>0</v>
      </c>
      <c r="M60" s="62">
        <f t="shared" si="3"/>
        <v>0</v>
      </c>
      <c r="N60">
        <v>15</v>
      </c>
    </row>
    <row r="61" spans="1:14" s="33" customFormat="1" ht="15" customHeight="1" x14ac:dyDescent="0.2">
      <c r="A61" s="33" t="s">
        <v>66</v>
      </c>
      <c r="B61" s="61">
        <v>0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2">
        <f t="shared" si="0"/>
        <v>0</v>
      </c>
      <c r="K61" s="62">
        <f t="shared" si="1"/>
        <v>0</v>
      </c>
      <c r="L61" s="62">
        <f t="shared" si="2"/>
        <v>0</v>
      </c>
      <c r="M61" s="62">
        <f t="shared" si="3"/>
        <v>0</v>
      </c>
      <c r="N61">
        <v>15</v>
      </c>
    </row>
    <row r="62" spans="1:14" s="33" customFormat="1" ht="15" customHeight="1" x14ac:dyDescent="0.2">
      <c r="A62" s="33" t="s">
        <v>67</v>
      </c>
      <c r="B62" s="61">
        <v>0</v>
      </c>
      <c r="C62" s="61">
        <v>0</v>
      </c>
      <c r="D62" s="61">
        <v>0</v>
      </c>
      <c r="E62" s="61">
        <v>0</v>
      </c>
      <c r="F62" s="61">
        <v>0</v>
      </c>
      <c r="G62" s="61">
        <v>0</v>
      </c>
      <c r="H62" s="61">
        <v>0</v>
      </c>
      <c r="I62" s="61">
        <v>0</v>
      </c>
      <c r="J62" s="62">
        <f t="shared" si="0"/>
        <v>0</v>
      </c>
      <c r="K62" s="62">
        <f t="shared" si="1"/>
        <v>0</v>
      </c>
      <c r="L62" s="62">
        <f t="shared" si="2"/>
        <v>0</v>
      </c>
      <c r="M62" s="62">
        <f t="shared" si="3"/>
        <v>0</v>
      </c>
      <c r="N62">
        <v>15</v>
      </c>
    </row>
    <row r="63" spans="1:14" s="33" customFormat="1" ht="15" customHeight="1" x14ac:dyDescent="0.2">
      <c r="A63" s="33" t="s">
        <v>68</v>
      </c>
      <c r="B63" s="61">
        <v>0</v>
      </c>
      <c r="C63" s="61">
        <v>0</v>
      </c>
      <c r="D63" s="61">
        <v>0</v>
      </c>
      <c r="E63" s="61">
        <v>0</v>
      </c>
      <c r="F63" s="61">
        <v>0</v>
      </c>
      <c r="G63" s="61">
        <v>0</v>
      </c>
      <c r="H63" s="61">
        <v>0</v>
      </c>
      <c r="I63" s="61">
        <v>0</v>
      </c>
      <c r="J63" s="62">
        <f t="shared" si="0"/>
        <v>0</v>
      </c>
      <c r="K63" s="62">
        <f t="shared" si="1"/>
        <v>0</v>
      </c>
      <c r="L63" s="62">
        <f t="shared" si="2"/>
        <v>0</v>
      </c>
      <c r="M63" s="62">
        <f t="shared" si="3"/>
        <v>0</v>
      </c>
      <c r="N63">
        <v>15</v>
      </c>
    </row>
    <row r="64" spans="1:14" s="33" customFormat="1" ht="15" customHeight="1" x14ac:dyDescent="0.2">
      <c r="A64" s="33" t="s">
        <v>69</v>
      </c>
      <c r="B64" s="61">
        <v>0</v>
      </c>
      <c r="C64" s="61">
        <v>0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2">
        <f t="shared" si="0"/>
        <v>0</v>
      </c>
      <c r="K64" s="62">
        <f t="shared" si="1"/>
        <v>0</v>
      </c>
      <c r="L64" s="62">
        <f t="shared" si="2"/>
        <v>0</v>
      </c>
      <c r="M64" s="62">
        <f t="shared" si="3"/>
        <v>0</v>
      </c>
      <c r="N64">
        <v>15</v>
      </c>
    </row>
    <row r="65" spans="1:14" s="33" customFormat="1" ht="15" customHeight="1" x14ac:dyDescent="0.2">
      <c r="A65" s="33" t="s">
        <v>70</v>
      </c>
      <c r="B65" s="61">
        <v>0</v>
      </c>
      <c r="C65" s="61">
        <v>0</v>
      </c>
      <c r="D65" s="61">
        <v>0</v>
      </c>
      <c r="E65" s="61">
        <v>0</v>
      </c>
      <c r="F65" s="61">
        <v>0</v>
      </c>
      <c r="G65" s="61">
        <v>0</v>
      </c>
      <c r="H65" s="61">
        <v>0</v>
      </c>
      <c r="I65" s="61">
        <v>0</v>
      </c>
      <c r="J65" s="62">
        <f t="shared" si="0"/>
        <v>0</v>
      </c>
      <c r="K65" s="62">
        <f t="shared" si="1"/>
        <v>0</v>
      </c>
      <c r="L65" s="62">
        <f t="shared" si="2"/>
        <v>0</v>
      </c>
      <c r="M65" s="62">
        <f t="shared" si="3"/>
        <v>0</v>
      </c>
      <c r="N65">
        <v>15</v>
      </c>
    </row>
    <row r="66" spans="1:14" s="33" customFormat="1" ht="15" customHeight="1" x14ac:dyDescent="0.2">
      <c r="A66" s="33" t="s">
        <v>71</v>
      </c>
      <c r="B66" s="61">
        <v>0</v>
      </c>
      <c r="C66" s="61">
        <v>1</v>
      </c>
      <c r="D66" s="61">
        <v>0</v>
      </c>
      <c r="E66" s="61">
        <v>0</v>
      </c>
      <c r="F66" s="61">
        <v>0</v>
      </c>
      <c r="G66" s="61">
        <v>1</v>
      </c>
      <c r="H66" s="61">
        <v>0</v>
      </c>
      <c r="I66" s="61">
        <v>0</v>
      </c>
      <c r="J66" s="62">
        <f t="shared" si="0"/>
        <v>1</v>
      </c>
      <c r="K66" s="62">
        <f t="shared" si="1"/>
        <v>1</v>
      </c>
      <c r="L66" s="62">
        <f t="shared" si="2"/>
        <v>0</v>
      </c>
      <c r="M66" s="62">
        <f t="shared" si="3"/>
        <v>0</v>
      </c>
      <c r="N66">
        <v>15</v>
      </c>
    </row>
    <row r="67" spans="1:14" s="33" customFormat="1" ht="15" customHeight="1" x14ac:dyDescent="0.2">
      <c r="A67" s="33" t="s">
        <v>72</v>
      </c>
      <c r="B67" s="61">
        <v>0</v>
      </c>
      <c r="C67" s="61">
        <v>0</v>
      </c>
      <c r="D67" s="61">
        <v>0</v>
      </c>
      <c r="E67" s="61">
        <v>0</v>
      </c>
      <c r="F67" s="61">
        <v>0</v>
      </c>
      <c r="G67" s="61">
        <v>0</v>
      </c>
      <c r="H67" s="61">
        <v>0</v>
      </c>
      <c r="I67" s="61">
        <v>0</v>
      </c>
      <c r="J67" s="62">
        <f t="shared" si="0"/>
        <v>0</v>
      </c>
      <c r="K67" s="62">
        <f t="shared" si="1"/>
        <v>0</v>
      </c>
      <c r="L67" s="62">
        <f t="shared" si="2"/>
        <v>0</v>
      </c>
      <c r="M67" s="62">
        <f t="shared" si="3"/>
        <v>0</v>
      </c>
      <c r="N67">
        <v>15</v>
      </c>
    </row>
    <row r="68" spans="1:14" s="33" customFormat="1" ht="15" customHeight="1" x14ac:dyDescent="0.2">
      <c r="A68" s="33" t="s">
        <v>73</v>
      </c>
      <c r="B68" s="61">
        <v>0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2">
        <f t="shared" si="0"/>
        <v>0</v>
      </c>
      <c r="K68" s="62">
        <f t="shared" si="1"/>
        <v>0</v>
      </c>
      <c r="L68" s="62">
        <f t="shared" si="2"/>
        <v>0</v>
      </c>
      <c r="M68" s="62">
        <f t="shared" si="3"/>
        <v>0</v>
      </c>
      <c r="N68">
        <v>15</v>
      </c>
    </row>
    <row r="69" spans="1:14" s="33" customFormat="1" ht="15" customHeight="1" x14ac:dyDescent="0.2">
      <c r="A69" s="33" t="s">
        <v>74</v>
      </c>
      <c r="B69" s="61">
        <v>0</v>
      </c>
      <c r="C69" s="61">
        <v>0</v>
      </c>
      <c r="D69" s="61">
        <v>0</v>
      </c>
      <c r="E69" s="61">
        <v>0</v>
      </c>
      <c r="F69" s="61">
        <v>0</v>
      </c>
      <c r="G69" s="61">
        <v>0</v>
      </c>
      <c r="H69" s="61">
        <v>0</v>
      </c>
      <c r="I69" s="61">
        <v>0</v>
      </c>
      <c r="J69" s="62">
        <f t="shared" si="0"/>
        <v>0</v>
      </c>
      <c r="K69" s="62">
        <f t="shared" si="1"/>
        <v>0</v>
      </c>
      <c r="L69" s="62">
        <f t="shared" si="2"/>
        <v>0</v>
      </c>
      <c r="M69" s="62">
        <f t="shared" si="3"/>
        <v>0</v>
      </c>
      <c r="N69">
        <v>15</v>
      </c>
    </row>
    <row r="70" spans="1:14" s="33" customFormat="1" ht="15" customHeight="1" x14ac:dyDescent="0.2">
      <c r="A70" s="33" t="s">
        <v>75</v>
      </c>
      <c r="B70" s="61">
        <v>0</v>
      </c>
      <c r="C70" s="61">
        <v>0</v>
      </c>
      <c r="D70" s="61">
        <v>0</v>
      </c>
      <c r="E70" s="61">
        <v>0</v>
      </c>
      <c r="F70" s="61">
        <v>0</v>
      </c>
      <c r="G70" s="61">
        <v>0</v>
      </c>
      <c r="H70" s="61">
        <v>0</v>
      </c>
      <c r="I70" s="61">
        <v>0</v>
      </c>
      <c r="J70" s="62">
        <f t="shared" si="0"/>
        <v>0</v>
      </c>
      <c r="K70" s="62">
        <f t="shared" si="1"/>
        <v>0</v>
      </c>
      <c r="L70" s="62">
        <f t="shared" si="2"/>
        <v>0</v>
      </c>
      <c r="M70" s="62">
        <f t="shared" si="3"/>
        <v>0</v>
      </c>
      <c r="N70">
        <v>15</v>
      </c>
    </row>
    <row r="71" spans="1:14" s="33" customFormat="1" ht="15" customHeight="1" x14ac:dyDescent="0.2">
      <c r="A71" s="33" t="s">
        <v>76</v>
      </c>
      <c r="B71" s="61">
        <v>0</v>
      </c>
      <c r="C71" s="61">
        <v>0</v>
      </c>
      <c r="D71" s="61">
        <v>0</v>
      </c>
      <c r="E71" s="61">
        <v>0</v>
      </c>
      <c r="F71" s="61">
        <v>0</v>
      </c>
      <c r="G71" s="61">
        <v>0</v>
      </c>
      <c r="H71" s="61">
        <v>0</v>
      </c>
      <c r="I71" s="61">
        <v>0</v>
      </c>
      <c r="J71" s="62">
        <f t="shared" si="0"/>
        <v>0</v>
      </c>
      <c r="K71" s="62">
        <f t="shared" si="1"/>
        <v>0</v>
      </c>
      <c r="L71" s="62">
        <f t="shared" si="2"/>
        <v>0</v>
      </c>
      <c r="M71" s="62">
        <f t="shared" si="3"/>
        <v>0</v>
      </c>
      <c r="N71">
        <v>15</v>
      </c>
    </row>
    <row r="72" spans="1:14" s="33" customFormat="1" ht="15" customHeight="1" x14ac:dyDescent="0.2">
      <c r="A72" s="33" t="s">
        <v>77</v>
      </c>
      <c r="B72" s="61">
        <v>0</v>
      </c>
      <c r="C72" s="61">
        <v>0</v>
      </c>
      <c r="D72" s="61">
        <v>0</v>
      </c>
      <c r="E72" s="61">
        <v>0</v>
      </c>
      <c r="F72" s="61">
        <v>0</v>
      </c>
      <c r="G72" s="61">
        <v>0</v>
      </c>
      <c r="H72" s="61">
        <v>0</v>
      </c>
      <c r="I72" s="61">
        <v>0</v>
      </c>
      <c r="J72" s="62">
        <f t="shared" si="0"/>
        <v>0</v>
      </c>
      <c r="K72" s="62">
        <f t="shared" si="1"/>
        <v>0</v>
      </c>
      <c r="L72" s="62">
        <f t="shared" si="2"/>
        <v>0</v>
      </c>
      <c r="M72" s="62">
        <f t="shared" si="3"/>
        <v>0</v>
      </c>
      <c r="N72">
        <v>15</v>
      </c>
    </row>
    <row r="73" spans="1:14" s="33" customFormat="1" ht="15" customHeight="1" x14ac:dyDescent="0.2">
      <c r="A73" s="33" t="s">
        <v>78</v>
      </c>
      <c r="B73" s="61">
        <v>0</v>
      </c>
      <c r="C73" s="61">
        <v>0</v>
      </c>
      <c r="D73" s="61">
        <v>0</v>
      </c>
      <c r="E73" s="61">
        <v>0</v>
      </c>
      <c r="F73" s="61">
        <v>0</v>
      </c>
      <c r="G73" s="61">
        <v>0</v>
      </c>
      <c r="H73" s="61">
        <v>0</v>
      </c>
      <c r="I73" s="61">
        <v>0</v>
      </c>
      <c r="J73" s="62">
        <f t="shared" si="0"/>
        <v>0</v>
      </c>
      <c r="K73" s="62">
        <f t="shared" si="1"/>
        <v>0</v>
      </c>
      <c r="L73" s="62">
        <f t="shared" si="2"/>
        <v>0</v>
      </c>
      <c r="M73" s="62">
        <f t="shared" si="3"/>
        <v>0</v>
      </c>
      <c r="N73">
        <v>15</v>
      </c>
    </row>
    <row r="74" spans="1:14" s="33" customFormat="1" ht="15" customHeight="1" x14ac:dyDescent="0.2">
      <c r="A74" s="33" t="s">
        <v>79</v>
      </c>
      <c r="B74" s="61">
        <v>0</v>
      </c>
      <c r="C74" s="61">
        <v>0</v>
      </c>
      <c r="D74" s="61">
        <v>0</v>
      </c>
      <c r="E74" s="61">
        <v>0</v>
      </c>
      <c r="F74" s="61">
        <v>0</v>
      </c>
      <c r="G74" s="61">
        <v>0</v>
      </c>
      <c r="H74" s="61">
        <v>0</v>
      </c>
      <c r="I74" s="61">
        <v>0</v>
      </c>
      <c r="J74" s="62">
        <f t="shared" si="0"/>
        <v>0</v>
      </c>
      <c r="K74" s="62">
        <f t="shared" si="1"/>
        <v>0</v>
      </c>
      <c r="L74" s="62">
        <f t="shared" si="2"/>
        <v>0</v>
      </c>
      <c r="M74" s="62">
        <f t="shared" si="3"/>
        <v>0</v>
      </c>
      <c r="N74">
        <v>15</v>
      </c>
    </row>
    <row r="75" spans="1:14" s="33" customFormat="1" ht="15" customHeight="1" x14ac:dyDescent="0.2">
      <c r="A75" s="33" t="s">
        <v>80</v>
      </c>
      <c r="B75" s="61">
        <v>0</v>
      </c>
      <c r="C75" s="61">
        <v>0</v>
      </c>
      <c r="D75" s="61">
        <v>0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2">
        <f t="shared" ref="J75:J138" si="4">SUM(C75,F75)</f>
        <v>0</v>
      </c>
      <c r="K75" s="62">
        <f t="shared" ref="K75:K138" si="5">SUM(B75,G75)</f>
        <v>0</v>
      </c>
      <c r="L75" s="62">
        <f t="shared" ref="L75:L138" si="6">SUM(E75,H75)</f>
        <v>0</v>
      </c>
      <c r="M75" s="62">
        <f t="shared" ref="M75:M138" si="7">SUM(D75,I75)</f>
        <v>0</v>
      </c>
      <c r="N75">
        <v>15</v>
      </c>
    </row>
    <row r="76" spans="1:14" s="33" customFormat="1" ht="15" customHeight="1" x14ac:dyDescent="0.2">
      <c r="A76" s="33" t="s">
        <v>81</v>
      </c>
      <c r="B76" s="61">
        <v>0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2">
        <f t="shared" si="4"/>
        <v>0</v>
      </c>
      <c r="K76" s="62">
        <f t="shared" si="5"/>
        <v>0</v>
      </c>
      <c r="L76" s="62">
        <f t="shared" si="6"/>
        <v>0</v>
      </c>
      <c r="M76" s="62">
        <f t="shared" si="7"/>
        <v>0</v>
      </c>
      <c r="N76">
        <v>15</v>
      </c>
    </row>
    <row r="77" spans="1:14" s="33" customFormat="1" ht="15" customHeight="1" x14ac:dyDescent="0.2">
      <c r="A77" s="33" t="s">
        <v>82</v>
      </c>
      <c r="B77" s="61">
        <v>0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2">
        <f t="shared" si="4"/>
        <v>0</v>
      </c>
      <c r="K77" s="62">
        <f t="shared" si="5"/>
        <v>0</v>
      </c>
      <c r="L77" s="62">
        <f t="shared" si="6"/>
        <v>0</v>
      </c>
      <c r="M77" s="62">
        <f t="shared" si="7"/>
        <v>0</v>
      </c>
      <c r="N77">
        <v>15</v>
      </c>
    </row>
    <row r="78" spans="1:14" s="33" customFormat="1" ht="15" customHeight="1" x14ac:dyDescent="0.2">
      <c r="A78" s="33" t="s">
        <v>83</v>
      </c>
      <c r="B78" s="61">
        <v>0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2">
        <f t="shared" si="4"/>
        <v>0</v>
      </c>
      <c r="K78" s="62">
        <f t="shared" si="5"/>
        <v>0</v>
      </c>
      <c r="L78" s="62">
        <f t="shared" si="6"/>
        <v>0</v>
      </c>
      <c r="M78" s="62">
        <f t="shared" si="7"/>
        <v>0</v>
      </c>
      <c r="N78">
        <v>15</v>
      </c>
    </row>
    <row r="79" spans="1:14" s="33" customFormat="1" ht="15" customHeight="1" x14ac:dyDescent="0.2">
      <c r="A79" s="33" t="s">
        <v>84</v>
      </c>
      <c r="B79" s="61">
        <v>0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2">
        <f t="shared" si="4"/>
        <v>0</v>
      </c>
      <c r="K79" s="62">
        <f t="shared" si="5"/>
        <v>0</v>
      </c>
      <c r="L79" s="62">
        <f t="shared" si="6"/>
        <v>0</v>
      </c>
      <c r="M79" s="62">
        <f t="shared" si="7"/>
        <v>0</v>
      </c>
      <c r="N79">
        <v>15</v>
      </c>
    </row>
    <row r="80" spans="1:14" s="33" customFormat="1" ht="15" customHeight="1" x14ac:dyDescent="0.2">
      <c r="A80" s="33" t="s">
        <v>85</v>
      </c>
      <c r="B80" s="61">
        <v>0</v>
      </c>
      <c r="C80" s="61">
        <v>0</v>
      </c>
      <c r="D80" s="61">
        <v>0</v>
      </c>
      <c r="E80" s="61">
        <v>0</v>
      </c>
      <c r="F80" s="61">
        <v>1</v>
      </c>
      <c r="G80" s="61">
        <v>0</v>
      </c>
      <c r="H80" s="61">
        <v>0</v>
      </c>
      <c r="I80" s="61">
        <v>0</v>
      </c>
      <c r="J80" s="62">
        <f t="shared" si="4"/>
        <v>1</v>
      </c>
      <c r="K80" s="62">
        <f t="shared" si="5"/>
        <v>0</v>
      </c>
      <c r="L80" s="62">
        <f t="shared" si="6"/>
        <v>0</v>
      </c>
      <c r="M80" s="62">
        <f t="shared" si="7"/>
        <v>0</v>
      </c>
      <c r="N80">
        <v>15</v>
      </c>
    </row>
    <row r="81" spans="1:14" s="33" customFormat="1" ht="15" customHeight="1" x14ac:dyDescent="0.2">
      <c r="A81" s="33" t="s">
        <v>86</v>
      </c>
      <c r="B81" s="61">
        <v>0</v>
      </c>
      <c r="C81" s="61">
        <v>0</v>
      </c>
      <c r="D81" s="61">
        <v>0</v>
      </c>
      <c r="E81" s="61">
        <v>0</v>
      </c>
      <c r="F81" s="61">
        <v>1</v>
      </c>
      <c r="G81" s="61">
        <v>0</v>
      </c>
      <c r="H81" s="61">
        <v>0</v>
      </c>
      <c r="I81" s="61">
        <v>0</v>
      </c>
      <c r="J81" s="62">
        <f t="shared" si="4"/>
        <v>1</v>
      </c>
      <c r="K81" s="62">
        <f t="shared" si="5"/>
        <v>0</v>
      </c>
      <c r="L81" s="62">
        <f t="shared" si="6"/>
        <v>0</v>
      </c>
      <c r="M81" s="62">
        <f t="shared" si="7"/>
        <v>0</v>
      </c>
      <c r="N81">
        <v>15</v>
      </c>
    </row>
    <row r="82" spans="1:14" s="33" customFormat="1" ht="15" customHeight="1" x14ac:dyDescent="0.2">
      <c r="A82" s="33" t="s">
        <v>87</v>
      </c>
      <c r="B82" s="61">
        <v>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2">
        <f t="shared" si="4"/>
        <v>0</v>
      </c>
      <c r="K82" s="62">
        <f t="shared" si="5"/>
        <v>0</v>
      </c>
      <c r="L82" s="62">
        <f t="shared" si="6"/>
        <v>0</v>
      </c>
      <c r="M82" s="62">
        <f t="shared" si="7"/>
        <v>0</v>
      </c>
      <c r="N82">
        <v>15</v>
      </c>
    </row>
    <row r="83" spans="1:14" s="33" customFormat="1" ht="15" customHeight="1" x14ac:dyDescent="0.2">
      <c r="A83" s="33" t="s">
        <v>88</v>
      </c>
      <c r="B83" s="61">
        <v>0</v>
      </c>
      <c r="C83" s="61">
        <v>0</v>
      </c>
      <c r="D83" s="61">
        <v>0</v>
      </c>
      <c r="E83" s="61">
        <v>0</v>
      </c>
      <c r="F83" s="61">
        <v>0</v>
      </c>
      <c r="G83" s="61">
        <v>0</v>
      </c>
      <c r="H83" s="61">
        <v>0</v>
      </c>
      <c r="I83" s="61">
        <v>0</v>
      </c>
      <c r="J83" s="62">
        <f t="shared" si="4"/>
        <v>0</v>
      </c>
      <c r="K83" s="62">
        <f t="shared" si="5"/>
        <v>0</v>
      </c>
      <c r="L83" s="62">
        <f t="shared" si="6"/>
        <v>0</v>
      </c>
      <c r="M83" s="62">
        <f t="shared" si="7"/>
        <v>0</v>
      </c>
      <c r="N83">
        <v>15</v>
      </c>
    </row>
    <row r="84" spans="1:14" s="33" customFormat="1" ht="15" customHeight="1" x14ac:dyDescent="0.2">
      <c r="A84" s="33" t="s">
        <v>89</v>
      </c>
      <c r="B84" s="61">
        <v>0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0</v>
      </c>
      <c r="I84" s="61">
        <v>0</v>
      </c>
      <c r="J84" s="62">
        <f t="shared" si="4"/>
        <v>0</v>
      </c>
      <c r="K84" s="62">
        <f t="shared" si="5"/>
        <v>0</v>
      </c>
      <c r="L84" s="62">
        <f t="shared" si="6"/>
        <v>0</v>
      </c>
      <c r="M84" s="62">
        <f t="shared" si="7"/>
        <v>0</v>
      </c>
      <c r="N84">
        <v>15</v>
      </c>
    </row>
    <row r="85" spans="1:14" s="33" customFormat="1" ht="15" customHeight="1" x14ac:dyDescent="0.2">
      <c r="A85" s="33" t="s">
        <v>90</v>
      </c>
      <c r="B85" s="61">
        <v>0</v>
      </c>
      <c r="C85" s="61">
        <v>1</v>
      </c>
      <c r="D85" s="61">
        <v>0</v>
      </c>
      <c r="E85" s="61">
        <v>0</v>
      </c>
      <c r="F85" s="61">
        <v>0</v>
      </c>
      <c r="G85" s="61">
        <v>0</v>
      </c>
      <c r="H85" s="61">
        <v>0</v>
      </c>
      <c r="I85" s="61">
        <v>0</v>
      </c>
      <c r="J85" s="62">
        <f t="shared" si="4"/>
        <v>1</v>
      </c>
      <c r="K85" s="62">
        <f t="shared" si="5"/>
        <v>0</v>
      </c>
      <c r="L85" s="62">
        <f t="shared" si="6"/>
        <v>0</v>
      </c>
      <c r="M85" s="62">
        <f t="shared" si="7"/>
        <v>0</v>
      </c>
      <c r="N85">
        <v>15</v>
      </c>
    </row>
    <row r="86" spans="1:14" s="33" customFormat="1" ht="15" customHeight="1" x14ac:dyDescent="0.2">
      <c r="A86" s="33" t="s">
        <v>91</v>
      </c>
      <c r="B86" s="61">
        <v>0</v>
      </c>
      <c r="C86" s="61">
        <v>0</v>
      </c>
      <c r="D86" s="61">
        <v>0</v>
      </c>
      <c r="E86" s="61">
        <v>0</v>
      </c>
      <c r="F86" s="61">
        <v>0</v>
      </c>
      <c r="G86" s="61">
        <v>0</v>
      </c>
      <c r="H86" s="61">
        <v>0</v>
      </c>
      <c r="I86" s="61">
        <v>0</v>
      </c>
      <c r="J86" s="62">
        <f t="shared" si="4"/>
        <v>0</v>
      </c>
      <c r="K86" s="62">
        <f t="shared" si="5"/>
        <v>0</v>
      </c>
      <c r="L86" s="62">
        <f t="shared" si="6"/>
        <v>0</v>
      </c>
      <c r="M86" s="62">
        <f t="shared" si="7"/>
        <v>0</v>
      </c>
      <c r="N86">
        <v>15</v>
      </c>
    </row>
    <row r="87" spans="1:14" s="33" customFormat="1" ht="15" customHeight="1" x14ac:dyDescent="0.2">
      <c r="A87" s="33" t="s">
        <v>92</v>
      </c>
      <c r="B87" s="61">
        <v>0</v>
      </c>
      <c r="C87" s="61">
        <v>0</v>
      </c>
      <c r="D87" s="61">
        <v>0</v>
      </c>
      <c r="E87" s="61">
        <v>0</v>
      </c>
      <c r="F87" s="61">
        <v>0</v>
      </c>
      <c r="G87" s="61">
        <v>0</v>
      </c>
      <c r="H87" s="61">
        <v>0</v>
      </c>
      <c r="I87" s="61">
        <v>0</v>
      </c>
      <c r="J87" s="62">
        <f t="shared" si="4"/>
        <v>0</v>
      </c>
      <c r="K87" s="62">
        <f t="shared" si="5"/>
        <v>0</v>
      </c>
      <c r="L87" s="62">
        <f t="shared" si="6"/>
        <v>0</v>
      </c>
      <c r="M87" s="62">
        <f t="shared" si="7"/>
        <v>0</v>
      </c>
      <c r="N87">
        <v>15</v>
      </c>
    </row>
    <row r="88" spans="1:14" s="33" customFormat="1" ht="15" customHeight="1" x14ac:dyDescent="0.2">
      <c r="A88" s="33" t="s">
        <v>93</v>
      </c>
      <c r="B88" s="61">
        <v>0</v>
      </c>
      <c r="C88" s="61">
        <v>0</v>
      </c>
      <c r="D88" s="61">
        <v>0</v>
      </c>
      <c r="E88" s="61">
        <v>0</v>
      </c>
      <c r="F88" s="61">
        <v>0</v>
      </c>
      <c r="G88" s="61">
        <v>0</v>
      </c>
      <c r="H88" s="61">
        <v>0</v>
      </c>
      <c r="I88" s="61">
        <v>0</v>
      </c>
      <c r="J88" s="62">
        <f t="shared" si="4"/>
        <v>0</v>
      </c>
      <c r="K88" s="62">
        <f t="shared" si="5"/>
        <v>0</v>
      </c>
      <c r="L88" s="62">
        <f t="shared" si="6"/>
        <v>0</v>
      </c>
      <c r="M88" s="62">
        <f t="shared" si="7"/>
        <v>0</v>
      </c>
      <c r="N88">
        <v>15</v>
      </c>
    </row>
    <row r="89" spans="1:14" s="33" customFormat="1" ht="15" customHeight="1" x14ac:dyDescent="0.2">
      <c r="A89" s="33" t="s">
        <v>94</v>
      </c>
      <c r="B89" s="61">
        <v>0</v>
      </c>
      <c r="C89" s="61">
        <v>0</v>
      </c>
      <c r="D89" s="61">
        <v>0</v>
      </c>
      <c r="E89" s="61">
        <v>0</v>
      </c>
      <c r="F89" s="61">
        <v>0</v>
      </c>
      <c r="G89" s="61">
        <v>0</v>
      </c>
      <c r="H89" s="61">
        <v>0</v>
      </c>
      <c r="I89" s="61">
        <v>0</v>
      </c>
      <c r="J89" s="62">
        <f t="shared" si="4"/>
        <v>0</v>
      </c>
      <c r="K89" s="62">
        <f t="shared" si="5"/>
        <v>0</v>
      </c>
      <c r="L89" s="62">
        <f t="shared" si="6"/>
        <v>0</v>
      </c>
      <c r="M89" s="62">
        <f t="shared" si="7"/>
        <v>0</v>
      </c>
      <c r="N89">
        <v>15</v>
      </c>
    </row>
    <row r="90" spans="1:14" s="33" customFormat="1" ht="15" customHeight="1" x14ac:dyDescent="0.2">
      <c r="A90" s="33" t="s">
        <v>95</v>
      </c>
      <c r="B90" s="61">
        <v>0</v>
      </c>
      <c r="C90" s="61">
        <v>0</v>
      </c>
      <c r="D90" s="61">
        <v>0</v>
      </c>
      <c r="E90" s="61">
        <v>0</v>
      </c>
      <c r="F90" s="61">
        <v>0</v>
      </c>
      <c r="G90" s="61">
        <v>0</v>
      </c>
      <c r="H90" s="61">
        <v>0</v>
      </c>
      <c r="I90" s="61">
        <v>0</v>
      </c>
      <c r="J90" s="62">
        <f t="shared" si="4"/>
        <v>0</v>
      </c>
      <c r="K90" s="62">
        <f t="shared" si="5"/>
        <v>0</v>
      </c>
      <c r="L90" s="62">
        <f t="shared" si="6"/>
        <v>0</v>
      </c>
      <c r="M90" s="62">
        <f t="shared" si="7"/>
        <v>0</v>
      </c>
      <c r="N90">
        <v>15</v>
      </c>
    </row>
    <row r="91" spans="1:14" s="33" customFormat="1" ht="15" customHeight="1" x14ac:dyDescent="0.2">
      <c r="A91" s="33" t="s">
        <v>96</v>
      </c>
      <c r="B91" s="61">
        <v>0</v>
      </c>
      <c r="C91" s="61">
        <v>0</v>
      </c>
      <c r="D91" s="61">
        <v>0</v>
      </c>
      <c r="E91" s="61">
        <v>0</v>
      </c>
      <c r="F91" s="61">
        <v>0</v>
      </c>
      <c r="G91" s="61">
        <v>0</v>
      </c>
      <c r="H91" s="61">
        <v>0</v>
      </c>
      <c r="I91" s="61">
        <v>0</v>
      </c>
      <c r="J91" s="62">
        <f t="shared" si="4"/>
        <v>0</v>
      </c>
      <c r="K91" s="62">
        <f t="shared" si="5"/>
        <v>0</v>
      </c>
      <c r="L91" s="62">
        <f t="shared" si="6"/>
        <v>0</v>
      </c>
      <c r="M91" s="62">
        <f t="shared" si="7"/>
        <v>0</v>
      </c>
      <c r="N91">
        <v>15</v>
      </c>
    </row>
    <row r="92" spans="1:14" ht="15" customHeight="1" x14ac:dyDescent="0.2">
      <c r="A92" t="s">
        <v>97</v>
      </c>
      <c r="B92" s="18">
        <v>0</v>
      </c>
      <c r="C92" s="18">
        <v>0</v>
      </c>
      <c r="D92" s="18">
        <v>0</v>
      </c>
      <c r="E92" s="59">
        <v>0</v>
      </c>
      <c r="F92" s="18">
        <v>0</v>
      </c>
      <c r="G92" s="18">
        <v>0</v>
      </c>
      <c r="H92" s="59">
        <v>0</v>
      </c>
      <c r="I92" s="18">
        <v>0</v>
      </c>
      <c r="J92" s="19">
        <f t="shared" si="4"/>
        <v>0</v>
      </c>
      <c r="K92" s="19">
        <f t="shared" si="5"/>
        <v>0</v>
      </c>
      <c r="L92" s="19">
        <f t="shared" si="6"/>
        <v>0</v>
      </c>
      <c r="M92" s="19">
        <f t="shared" si="7"/>
        <v>0</v>
      </c>
      <c r="N92">
        <v>15</v>
      </c>
    </row>
    <row r="93" spans="1:14" ht="15" customHeight="1" x14ac:dyDescent="0.2">
      <c r="A93" t="s">
        <v>98</v>
      </c>
      <c r="B93" s="18">
        <v>0</v>
      </c>
      <c r="C93" s="18">
        <v>0</v>
      </c>
      <c r="D93" s="18">
        <v>0</v>
      </c>
      <c r="E93" s="59">
        <v>0</v>
      </c>
      <c r="F93" s="18">
        <v>0</v>
      </c>
      <c r="G93" s="18">
        <v>0</v>
      </c>
      <c r="H93" s="59">
        <v>0</v>
      </c>
      <c r="I93" s="18">
        <v>0</v>
      </c>
      <c r="J93" s="19">
        <f t="shared" si="4"/>
        <v>0</v>
      </c>
      <c r="K93" s="19">
        <f t="shared" si="5"/>
        <v>0</v>
      </c>
      <c r="L93" s="19">
        <f t="shared" si="6"/>
        <v>0</v>
      </c>
      <c r="M93" s="19">
        <f t="shared" si="7"/>
        <v>0</v>
      </c>
      <c r="N93">
        <v>15</v>
      </c>
    </row>
    <row r="94" spans="1:14" ht="15" customHeight="1" x14ac:dyDescent="0.2">
      <c r="A94" t="s">
        <v>99</v>
      </c>
      <c r="B94" s="18">
        <v>0</v>
      </c>
      <c r="C94" s="18">
        <v>0</v>
      </c>
      <c r="D94" s="18">
        <v>0</v>
      </c>
      <c r="E94" s="59">
        <v>0</v>
      </c>
      <c r="F94" s="18">
        <v>0</v>
      </c>
      <c r="G94" s="18">
        <v>0</v>
      </c>
      <c r="H94" s="59">
        <v>0</v>
      </c>
      <c r="I94" s="18">
        <v>0</v>
      </c>
      <c r="J94" s="19">
        <f t="shared" si="4"/>
        <v>0</v>
      </c>
      <c r="K94" s="19">
        <f t="shared" si="5"/>
        <v>0</v>
      </c>
      <c r="L94" s="19">
        <f t="shared" si="6"/>
        <v>0</v>
      </c>
      <c r="M94" s="19">
        <f t="shared" si="7"/>
        <v>0</v>
      </c>
      <c r="N94">
        <v>15</v>
      </c>
    </row>
    <row r="95" spans="1:14" ht="15" customHeight="1" x14ac:dyDescent="0.2">
      <c r="A95" t="s">
        <v>100</v>
      </c>
      <c r="B95" s="18">
        <v>0</v>
      </c>
      <c r="C95" s="18">
        <v>0</v>
      </c>
      <c r="D95" s="18">
        <v>0</v>
      </c>
      <c r="E95" s="59">
        <v>0</v>
      </c>
      <c r="F95" s="18">
        <v>0</v>
      </c>
      <c r="G95" s="18">
        <v>0</v>
      </c>
      <c r="H95" s="59">
        <v>0</v>
      </c>
      <c r="I95" s="18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  <c r="N95">
        <v>15</v>
      </c>
    </row>
    <row r="96" spans="1:14" ht="15" customHeight="1" x14ac:dyDescent="0.2">
      <c r="A96" t="s">
        <v>101</v>
      </c>
      <c r="B96" s="18">
        <v>0</v>
      </c>
      <c r="C96" s="18">
        <v>0</v>
      </c>
      <c r="D96" s="18">
        <v>0</v>
      </c>
      <c r="E96" s="59">
        <v>0</v>
      </c>
      <c r="F96" s="18">
        <v>0</v>
      </c>
      <c r="G96" s="18">
        <v>0</v>
      </c>
      <c r="H96" s="59">
        <v>0</v>
      </c>
      <c r="I96" s="18">
        <v>0</v>
      </c>
      <c r="J96" s="19">
        <f t="shared" si="4"/>
        <v>0</v>
      </c>
      <c r="K96" s="19">
        <f t="shared" si="5"/>
        <v>0</v>
      </c>
      <c r="L96" s="19">
        <f t="shared" si="6"/>
        <v>0</v>
      </c>
      <c r="M96" s="19">
        <f t="shared" si="7"/>
        <v>0</v>
      </c>
      <c r="N96">
        <v>15</v>
      </c>
    </row>
    <row r="97" spans="1:14" ht="15" customHeight="1" x14ac:dyDescent="0.2">
      <c r="A97" t="s">
        <v>102</v>
      </c>
      <c r="B97" s="18">
        <v>0</v>
      </c>
      <c r="C97" s="18">
        <v>0</v>
      </c>
      <c r="D97" s="18">
        <v>0</v>
      </c>
      <c r="E97" s="59">
        <v>1</v>
      </c>
      <c r="F97" s="18">
        <v>0</v>
      </c>
      <c r="G97" s="18">
        <v>0</v>
      </c>
      <c r="H97" s="59">
        <v>0</v>
      </c>
      <c r="I97" s="18">
        <v>0</v>
      </c>
      <c r="J97" s="19">
        <f t="shared" si="4"/>
        <v>0</v>
      </c>
      <c r="K97" s="19">
        <f t="shared" si="5"/>
        <v>0</v>
      </c>
      <c r="L97" s="19">
        <f t="shared" si="6"/>
        <v>1</v>
      </c>
      <c r="M97" s="19">
        <f t="shared" si="7"/>
        <v>0</v>
      </c>
      <c r="N97">
        <v>15</v>
      </c>
    </row>
    <row r="98" spans="1:14" ht="15" customHeight="1" x14ac:dyDescent="0.2">
      <c r="A98" t="s">
        <v>103</v>
      </c>
      <c r="B98" s="18">
        <v>0</v>
      </c>
      <c r="C98" s="18">
        <v>0</v>
      </c>
      <c r="D98" s="18">
        <v>0</v>
      </c>
      <c r="E98" s="59">
        <v>0</v>
      </c>
      <c r="F98" s="18">
        <v>0</v>
      </c>
      <c r="G98" s="18">
        <v>0</v>
      </c>
      <c r="H98" s="59">
        <v>0</v>
      </c>
      <c r="I98" s="18">
        <v>0</v>
      </c>
      <c r="J98" s="19">
        <f t="shared" si="4"/>
        <v>0</v>
      </c>
      <c r="K98" s="19">
        <f t="shared" si="5"/>
        <v>0</v>
      </c>
      <c r="L98" s="19">
        <f t="shared" si="6"/>
        <v>0</v>
      </c>
      <c r="M98" s="19">
        <f t="shared" si="7"/>
        <v>0</v>
      </c>
      <c r="N98">
        <v>15</v>
      </c>
    </row>
    <row r="99" spans="1:14" ht="15" customHeight="1" x14ac:dyDescent="0.2">
      <c r="A99" t="s">
        <v>104</v>
      </c>
      <c r="B99" s="18">
        <v>0</v>
      </c>
      <c r="C99" s="18">
        <v>0</v>
      </c>
      <c r="D99" s="18">
        <v>0</v>
      </c>
      <c r="E99" s="59">
        <v>0</v>
      </c>
      <c r="F99" s="18">
        <v>0</v>
      </c>
      <c r="G99" s="18">
        <v>0</v>
      </c>
      <c r="H99" s="59">
        <v>0</v>
      </c>
      <c r="I99" s="18">
        <v>0</v>
      </c>
      <c r="J99" s="19">
        <f t="shared" si="4"/>
        <v>0</v>
      </c>
      <c r="K99" s="19">
        <f t="shared" si="5"/>
        <v>0</v>
      </c>
      <c r="L99" s="19">
        <f t="shared" si="6"/>
        <v>0</v>
      </c>
      <c r="M99" s="19">
        <f t="shared" si="7"/>
        <v>0</v>
      </c>
      <c r="N99">
        <v>15</v>
      </c>
    </row>
    <row r="100" spans="1:14" ht="15" customHeight="1" x14ac:dyDescent="0.2">
      <c r="A100" t="s">
        <v>105</v>
      </c>
      <c r="B100" s="18">
        <v>0</v>
      </c>
      <c r="C100" s="18">
        <v>0</v>
      </c>
      <c r="D100" s="18">
        <v>0</v>
      </c>
      <c r="E100" s="59">
        <v>0</v>
      </c>
      <c r="F100" s="18">
        <v>0</v>
      </c>
      <c r="G100" s="18">
        <v>0</v>
      </c>
      <c r="H100" s="59">
        <v>0</v>
      </c>
      <c r="I100" s="18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  <c r="N100">
        <v>15</v>
      </c>
    </row>
    <row r="101" spans="1:14" ht="15" customHeight="1" x14ac:dyDescent="0.2">
      <c r="A101" t="s">
        <v>106</v>
      </c>
      <c r="B101" s="18">
        <v>0</v>
      </c>
      <c r="C101" s="18">
        <v>0</v>
      </c>
      <c r="D101" s="18">
        <v>0</v>
      </c>
      <c r="E101" s="59">
        <v>1</v>
      </c>
      <c r="F101" s="18">
        <v>0</v>
      </c>
      <c r="G101" s="18">
        <v>0</v>
      </c>
      <c r="H101" s="59">
        <v>0</v>
      </c>
      <c r="I101" s="18">
        <v>0</v>
      </c>
      <c r="J101" s="19">
        <f t="shared" si="4"/>
        <v>0</v>
      </c>
      <c r="K101" s="19">
        <f t="shared" si="5"/>
        <v>0</v>
      </c>
      <c r="L101" s="19">
        <f t="shared" si="6"/>
        <v>1</v>
      </c>
      <c r="M101" s="19">
        <f t="shared" si="7"/>
        <v>0</v>
      </c>
      <c r="N101">
        <v>15</v>
      </c>
    </row>
    <row r="102" spans="1:14" ht="15" customHeight="1" x14ac:dyDescent="0.2">
      <c r="A102" t="s">
        <v>107</v>
      </c>
      <c r="B102" s="18">
        <v>0</v>
      </c>
      <c r="C102" s="18">
        <v>0</v>
      </c>
      <c r="D102" s="18">
        <v>0</v>
      </c>
      <c r="E102" s="59">
        <v>0</v>
      </c>
      <c r="F102" s="18">
        <v>1</v>
      </c>
      <c r="G102" s="18">
        <v>0</v>
      </c>
      <c r="H102" s="59">
        <v>1</v>
      </c>
      <c r="I102" s="18">
        <v>0</v>
      </c>
      <c r="J102" s="19">
        <f t="shared" si="4"/>
        <v>1</v>
      </c>
      <c r="K102" s="19">
        <f t="shared" si="5"/>
        <v>0</v>
      </c>
      <c r="L102" s="19">
        <f t="shared" si="6"/>
        <v>1</v>
      </c>
      <c r="M102" s="19">
        <f t="shared" si="7"/>
        <v>0</v>
      </c>
      <c r="N102">
        <v>15</v>
      </c>
    </row>
    <row r="103" spans="1:14" ht="15" customHeight="1" x14ac:dyDescent="0.2">
      <c r="A103" t="s">
        <v>108</v>
      </c>
      <c r="B103" s="18">
        <v>0</v>
      </c>
      <c r="C103" s="18">
        <v>0</v>
      </c>
      <c r="D103" s="18">
        <v>0</v>
      </c>
      <c r="E103" s="59">
        <v>0</v>
      </c>
      <c r="F103" s="18">
        <v>0</v>
      </c>
      <c r="G103" s="18">
        <v>0</v>
      </c>
      <c r="H103" s="59">
        <v>0</v>
      </c>
      <c r="I103" s="18">
        <v>0</v>
      </c>
      <c r="J103" s="19">
        <f t="shared" si="4"/>
        <v>0</v>
      </c>
      <c r="K103" s="19">
        <f t="shared" si="5"/>
        <v>0</v>
      </c>
      <c r="L103" s="19">
        <f t="shared" si="6"/>
        <v>0</v>
      </c>
      <c r="M103" s="19">
        <f t="shared" si="7"/>
        <v>0</v>
      </c>
      <c r="N103">
        <v>15</v>
      </c>
    </row>
    <row r="104" spans="1:14" ht="15" customHeight="1" x14ac:dyDescent="0.2">
      <c r="A104" t="s">
        <v>109</v>
      </c>
      <c r="B104" s="18">
        <v>0</v>
      </c>
      <c r="C104" s="18">
        <v>0</v>
      </c>
      <c r="D104" s="18">
        <v>0</v>
      </c>
      <c r="E104" s="59">
        <v>0</v>
      </c>
      <c r="F104" s="18">
        <v>0</v>
      </c>
      <c r="G104" s="18">
        <v>0</v>
      </c>
      <c r="H104" s="59">
        <v>0</v>
      </c>
      <c r="I104" s="18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  <c r="N104">
        <v>15</v>
      </c>
    </row>
    <row r="105" spans="1:14" ht="15" customHeight="1" x14ac:dyDescent="0.2">
      <c r="A105" t="s">
        <v>110</v>
      </c>
      <c r="B105" s="18">
        <v>0</v>
      </c>
      <c r="C105" s="18">
        <v>0</v>
      </c>
      <c r="D105" s="18">
        <v>0</v>
      </c>
      <c r="E105" s="59">
        <v>0</v>
      </c>
      <c r="F105" s="18">
        <v>0</v>
      </c>
      <c r="G105" s="18">
        <v>0</v>
      </c>
      <c r="H105" s="59">
        <v>0</v>
      </c>
      <c r="I105" s="18">
        <v>0</v>
      </c>
      <c r="J105" s="19">
        <f t="shared" si="4"/>
        <v>0</v>
      </c>
      <c r="K105" s="19">
        <f t="shared" si="5"/>
        <v>0</v>
      </c>
      <c r="L105" s="19">
        <f t="shared" si="6"/>
        <v>0</v>
      </c>
      <c r="M105" s="19">
        <f t="shared" si="7"/>
        <v>0</v>
      </c>
      <c r="N105">
        <v>15</v>
      </c>
    </row>
    <row r="106" spans="1:14" ht="15" customHeight="1" x14ac:dyDescent="0.2">
      <c r="A106" t="s">
        <v>5</v>
      </c>
      <c r="B106" s="18">
        <v>0</v>
      </c>
      <c r="C106" s="18">
        <v>0</v>
      </c>
      <c r="D106" s="18">
        <v>0</v>
      </c>
      <c r="E106" s="59">
        <v>0</v>
      </c>
      <c r="F106" s="18">
        <v>0</v>
      </c>
      <c r="G106" s="18">
        <v>0</v>
      </c>
      <c r="H106" s="59">
        <v>0</v>
      </c>
      <c r="I106" s="18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  <c r="N106">
        <v>15</v>
      </c>
    </row>
    <row r="107" spans="1:14" ht="15" customHeight="1" x14ac:dyDescent="0.2">
      <c r="A107" t="s">
        <v>16</v>
      </c>
      <c r="B107" s="18">
        <v>0</v>
      </c>
      <c r="C107" s="18">
        <v>0</v>
      </c>
      <c r="D107" s="18">
        <v>0</v>
      </c>
      <c r="E107" s="59">
        <v>0</v>
      </c>
      <c r="F107" s="18">
        <v>0</v>
      </c>
      <c r="G107" s="18">
        <v>0</v>
      </c>
      <c r="H107" s="59">
        <v>0</v>
      </c>
      <c r="I107" s="18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  <c r="N107">
        <v>15</v>
      </c>
    </row>
    <row r="108" spans="1:14" ht="15" customHeight="1" x14ac:dyDescent="0.2">
      <c r="A108" t="s">
        <v>17</v>
      </c>
      <c r="B108" s="18">
        <v>0</v>
      </c>
      <c r="C108" s="18">
        <v>0</v>
      </c>
      <c r="D108" s="18">
        <v>0</v>
      </c>
      <c r="E108" s="59">
        <v>0</v>
      </c>
      <c r="F108" s="18">
        <v>0</v>
      </c>
      <c r="G108" s="18">
        <v>0</v>
      </c>
      <c r="H108" s="59">
        <v>0</v>
      </c>
      <c r="I108" s="18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  <c r="N108">
        <v>15</v>
      </c>
    </row>
    <row r="109" spans="1:14" ht="15" customHeight="1" x14ac:dyDescent="0.2">
      <c r="A109" t="s">
        <v>18</v>
      </c>
      <c r="B109" s="18">
        <v>0</v>
      </c>
      <c r="C109" s="18">
        <v>0</v>
      </c>
      <c r="D109" s="18">
        <v>0</v>
      </c>
      <c r="E109" s="59">
        <v>1</v>
      </c>
      <c r="F109" s="18">
        <v>0</v>
      </c>
      <c r="G109" s="18">
        <v>0</v>
      </c>
      <c r="H109" s="59">
        <v>0</v>
      </c>
      <c r="I109" s="18">
        <v>0</v>
      </c>
      <c r="J109" s="19">
        <f t="shared" si="4"/>
        <v>0</v>
      </c>
      <c r="K109" s="19">
        <f t="shared" si="5"/>
        <v>0</v>
      </c>
      <c r="L109" s="19">
        <f t="shared" si="6"/>
        <v>1</v>
      </c>
      <c r="M109" s="19">
        <f t="shared" si="7"/>
        <v>0</v>
      </c>
      <c r="N109">
        <v>15</v>
      </c>
    </row>
    <row r="110" spans="1:14" ht="15" customHeight="1" x14ac:dyDescent="0.2">
      <c r="A110" t="s">
        <v>19</v>
      </c>
      <c r="B110" s="18">
        <v>0</v>
      </c>
      <c r="C110" s="18">
        <v>0</v>
      </c>
      <c r="D110" s="18">
        <v>0</v>
      </c>
      <c r="E110" s="59">
        <v>0</v>
      </c>
      <c r="F110" s="18">
        <v>0</v>
      </c>
      <c r="G110" s="18">
        <v>0</v>
      </c>
      <c r="H110" s="59">
        <v>0</v>
      </c>
      <c r="I110" s="18">
        <v>0</v>
      </c>
      <c r="J110" s="19">
        <f t="shared" si="4"/>
        <v>0</v>
      </c>
      <c r="K110" s="19">
        <f t="shared" si="5"/>
        <v>0</v>
      </c>
      <c r="L110" s="19">
        <f t="shared" si="6"/>
        <v>0</v>
      </c>
      <c r="M110" s="19">
        <f t="shared" si="7"/>
        <v>0</v>
      </c>
      <c r="N110">
        <v>15</v>
      </c>
    </row>
    <row r="111" spans="1:14" ht="15" customHeight="1" x14ac:dyDescent="0.2">
      <c r="A111" t="s">
        <v>20</v>
      </c>
      <c r="B111" s="18">
        <v>0</v>
      </c>
      <c r="C111" s="18">
        <v>0</v>
      </c>
      <c r="D111" s="18">
        <v>0</v>
      </c>
      <c r="E111" s="59">
        <v>0</v>
      </c>
      <c r="F111" s="18">
        <v>0</v>
      </c>
      <c r="G111" s="18">
        <v>0</v>
      </c>
      <c r="H111" s="59">
        <v>0</v>
      </c>
      <c r="I111" s="18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  <c r="N111">
        <v>15</v>
      </c>
    </row>
    <row r="112" spans="1:14" ht="15" customHeight="1" x14ac:dyDescent="0.2">
      <c r="A112" t="s">
        <v>21</v>
      </c>
      <c r="B112" s="18">
        <v>0</v>
      </c>
      <c r="C112" s="18">
        <v>0</v>
      </c>
      <c r="D112" s="18">
        <v>0</v>
      </c>
      <c r="E112" s="59">
        <v>0</v>
      </c>
      <c r="F112" s="18">
        <v>0</v>
      </c>
      <c r="G112" s="18">
        <v>0</v>
      </c>
      <c r="H112" s="59">
        <v>0</v>
      </c>
      <c r="I112" s="18">
        <v>0</v>
      </c>
      <c r="J112" s="19">
        <f t="shared" si="4"/>
        <v>0</v>
      </c>
      <c r="K112" s="19">
        <f t="shared" si="5"/>
        <v>0</v>
      </c>
      <c r="L112" s="19">
        <f t="shared" si="6"/>
        <v>0</v>
      </c>
      <c r="M112" s="19">
        <f t="shared" si="7"/>
        <v>0</v>
      </c>
      <c r="N112">
        <v>15</v>
      </c>
    </row>
    <row r="113" spans="1:14" ht="15" customHeight="1" x14ac:dyDescent="0.2">
      <c r="A113" t="s">
        <v>22</v>
      </c>
      <c r="B113" s="18">
        <v>0</v>
      </c>
      <c r="C113" s="18">
        <v>0</v>
      </c>
      <c r="D113" s="18">
        <v>0</v>
      </c>
      <c r="E113" s="59">
        <v>0</v>
      </c>
      <c r="F113" s="18">
        <v>0</v>
      </c>
      <c r="G113" s="18">
        <v>0</v>
      </c>
      <c r="H113" s="59">
        <v>0</v>
      </c>
      <c r="I113" s="18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  <c r="N113">
        <v>15</v>
      </c>
    </row>
    <row r="114" spans="1:14" ht="15" customHeight="1" x14ac:dyDescent="0.2">
      <c r="A114" t="s">
        <v>23</v>
      </c>
      <c r="B114" s="18">
        <v>0</v>
      </c>
      <c r="C114" s="18">
        <v>0</v>
      </c>
      <c r="D114" s="18">
        <v>0</v>
      </c>
      <c r="E114" s="59">
        <v>0</v>
      </c>
      <c r="F114" s="18">
        <v>0</v>
      </c>
      <c r="G114" s="18">
        <v>0</v>
      </c>
      <c r="H114" s="59">
        <v>0</v>
      </c>
      <c r="I114" s="18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  <c r="N114">
        <v>15</v>
      </c>
    </row>
    <row r="115" spans="1:14" ht="15" customHeight="1" x14ac:dyDescent="0.2">
      <c r="A115" t="s">
        <v>24</v>
      </c>
      <c r="B115" s="18">
        <v>0</v>
      </c>
      <c r="C115" s="18">
        <v>0</v>
      </c>
      <c r="D115" s="18">
        <v>0</v>
      </c>
      <c r="E115" s="59">
        <v>0</v>
      </c>
      <c r="F115" s="18">
        <v>0</v>
      </c>
      <c r="G115" s="18">
        <v>0</v>
      </c>
      <c r="H115" s="59">
        <v>0</v>
      </c>
      <c r="I115" s="18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  <c r="N115">
        <v>15</v>
      </c>
    </row>
    <row r="116" spans="1:14" ht="15" customHeight="1" x14ac:dyDescent="0.2">
      <c r="A116" t="s">
        <v>25</v>
      </c>
      <c r="B116" s="18">
        <v>0</v>
      </c>
      <c r="C116" s="18">
        <v>0</v>
      </c>
      <c r="D116" s="18">
        <v>0</v>
      </c>
      <c r="E116" s="59">
        <v>0</v>
      </c>
      <c r="F116" s="18">
        <v>0</v>
      </c>
      <c r="G116" s="18">
        <v>0</v>
      </c>
      <c r="H116" s="59">
        <v>0</v>
      </c>
      <c r="I116" s="18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  <c r="N116">
        <v>15</v>
      </c>
    </row>
    <row r="117" spans="1:14" ht="15" customHeight="1" x14ac:dyDescent="0.2">
      <c r="A117" t="s">
        <v>26</v>
      </c>
      <c r="B117" s="18">
        <v>0</v>
      </c>
      <c r="C117" s="18">
        <v>0</v>
      </c>
      <c r="D117" s="18">
        <v>0</v>
      </c>
      <c r="E117" s="59">
        <v>0</v>
      </c>
      <c r="F117" s="18">
        <v>0</v>
      </c>
      <c r="G117" s="18">
        <v>0</v>
      </c>
      <c r="H117" s="59">
        <v>0</v>
      </c>
      <c r="I117" s="18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  <c r="N117">
        <v>15</v>
      </c>
    </row>
    <row r="118" spans="1:14" ht="15" customHeight="1" x14ac:dyDescent="0.2">
      <c r="A118" t="s">
        <v>27</v>
      </c>
      <c r="B118" s="18">
        <v>0</v>
      </c>
      <c r="C118" s="18">
        <v>0</v>
      </c>
      <c r="D118" s="18">
        <v>0</v>
      </c>
      <c r="E118" s="59">
        <v>0</v>
      </c>
      <c r="F118" s="18">
        <v>0</v>
      </c>
      <c r="G118" s="18">
        <v>0</v>
      </c>
      <c r="H118" s="59">
        <v>0</v>
      </c>
      <c r="I118" s="18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  <c r="N118">
        <v>15</v>
      </c>
    </row>
    <row r="119" spans="1:14" ht="15" customHeight="1" x14ac:dyDescent="0.2">
      <c r="A119" t="s">
        <v>28</v>
      </c>
      <c r="B119" s="18">
        <v>0</v>
      </c>
      <c r="C119" s="18">
        <v>0</v>
      </c>
      <c r="D119" s="18">
        <v>0</v>
      </c>
      <c r="E119" s="59">
        <v>0</v>
      </c>
      <c r="F119" s="18">
        <v>0</v>
      </c>
      <c r="G119" s="18">
        <v>0</v>
      </c>
      <c r="H119" s="59">
        <v>0</v>
      </c>
      <c r="I119" s="18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  <c r="N119">
        <v>15</v>
      </c>
    </row>
    <row r="120" spans="1:14" ht="15" customHeight="1" x14ac:dyDescent="0.2">
      <c r="A120" t="s">
        <v>29</v>
      </c>
      <c r="B120" s="18">
        <v>0</v>
      </c>
      <c r="C120" s="18">
        <v>0</v>
      </c>
      <c r="D120" s="18">
        <v>0</v>
      </c>
      <c r="E120" s="59">
        <v>0</v>
      </c>
      <c r="F120" s="18">
        <v>0</v>
      </c>
      <c r="G120" s="18">
        <v>0</v>
      </c>
      <c r="H120" s="59">
        <v>0</v>
      </c>
      <c r="I120" s="18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  <c r="N120">
        <v>15</v>
      </c>
    </row>
    <row r="121" spans="1:14" ht="15" customHeight="1" x14ac:dyDescent="0.2">
      <c r="A121" t="s">
        <v>30</v>
      </c>
      <c r="B121" s="18">
        <v>0</v>
      </c>
      <c r="C121" s="18">
        <v>0</v>
      </c>
      <c r="D121" s="18">
        <v>0</v>
      </c>
      <c r="E121" s="59">
        <v>0</v>
      </c>
      <c r="F121" s="18">
        <v>0</v>
      </c>
      <c r="G121" s="18">
        <v>0</v>
      </c>
      <c r="H121" s="59">
        <v>0</v>
      </c>
      <c r="I121" s="18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  <c r="N121">
        <v>15</v>
      </c>
    </row>
    <row r="122" spans="1:14" ht="15" customHeight="1" x14ac:dyDescent="0.2">
      <c r="A122" t="s">
        <v>31</v>
      </c>
      <c r="B122" s="18">
        <v>0</v>
      </c>
      <c r="C122" s="18">
        <v>0</v>
      </c>
      <c r="D122" s="18">
        <v>0</v>
      </c>
      <c r="E122" s="59">
        <v>0</v>
      </c>
      <c r="F122" s="18">
        <v>0</v>
      </c>
      <c r="G122" s="18">
        <v>0</v>
      </c>
      <c r="H122" s="59">
        <v>0</v>
      </c>
      <c r="I122" s="18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  <c r="N122">
        <v>15</v>
      </c>
    </row>
    <row r="123" spans="1:14" ht="15" customHeight="1" x14ac:dyDescent="0.2">
      <c r="A123" t="s">
        <v>32</v>
      </c>
      <c r="B123" s="18">
        <v>0</v>
      </c>
      <c r="C123" s="18">
        <v>0</v>
      </c>
      <c r="D123" s="18">
        <v>0</v>
      </c>
      <c r="E123" s="59">
        <v>0</v>
      </c>
      <c r="F123" s="18">
        <v>0</v>
      </c>
      <c r="G123" s="18">
        <v>0</v>
      </c>
      <c r="H123" s="59">
        <v>0</v>
      </c>
      <c r="I123" s="18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  <c r="N123">
        <v>15</v>
      </c>
    </row>
    <row r="124" spans="1:14" ht="15" customHeight="1" x14ac:dyDescent="0.2">
      <c r="A124" t="s">
        <v>33</v>
      </c>
      <c r="B124" s="18">
        <v>0</v>
      </c>
      <c r="C124" s="18">
        <v>0</v>
      </c>
      <c r="D124" s="18">
        <v>0</v>
      </c>
      <c r="E124" s="59">
        <v>0</v>
      </c>
      <c r="F124" s="18">
        <v>0</v>
      </c>
      <c r="G124" s="18">
        <v>0</v>
      </c>
      <c r="H124" s="59">
        <v>0</v>
      </c>
      <c r="I124" s="18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  <c r="N124">
        <v>15</v>
      </c>
    </row>
    <row r="125" spans="1:14" ht="15" customHeight="1" x14ac:dyDescent="0.2">
      <c r="A125" t="s">
        <v>34</v>
      </c>
      <c r="B125" s="18">
        <v>0</v>
      </c>
      <c r="C125" s="18">
        <v>0</v>
      </c>
      <c r="D125" s="18">
        <v>0</v>
      </c>
      <c r="E125" s="59">
        <v>0</v>
      </c>
      <c r="F125" s="18">
        <v>0</v>
      </c>
      <c r="G125" s="18">
        <v>0</v>
      </c>
      <c r="H125" s="59">
        <v>0</v>
      </c>
      <c r="I125" s="18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  <c r="N125">
        <v>15</v>
      </c>
    </row>
    <row r="126" spans="1:14" ht="15" customHeight="1" x14ac:dyDescent="0.2">
      <c r="A126" t="s">
        <v>35</v>
      </c>
      <c r="B126" s="18">
        <v>0</v>
      </c>
      <c r="C126" s="18">
        <v>0</v>
      </c>
      <c r="D126" s="18">
        <v>0</v>
      </c>
      <c r="E126" s="59">
        <v>0</v>
      </c>
      <c r="F126" s="18">
        <v>0</v>
      </c>
      <c r="G126" s="18">
        <v>0</v>
      </c>
      <c r="H126" s="59">
        <v>0</v>
      </c>
      <c r="I126" s="18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  <c r="N126">
        <v>15</v>
      </c>
    </row>
    <row r="127" spans="1:14" ht="15" customHeight="1" x14ac:dyDescent="0.2">
      <c r="A127" t="s">
        <v>36</v>
      </c>
      <c r="B127" s="18">
        <v>0</v>
      </c>
      <c r="C127" s="18">
        <v>0</v>
      </c>
      <c r="D127" s="18">
        <v>0</v>
      </c>
      <c r="E127" s="59">
        <v>0</v>
      </c>
      <c r="F127" s="18">
        <v>0</v>
      </c>
      <c r="G127" s="18">
        <v>0</v>
      </c>
      <c r="H127" s="59">
        <v>0</v>
      </c>
      <c r="I127" s="18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  <c r="N127">
        <v>15</v>
      </c>
    </row>
    <row r="128" spans="1:14" ht="15" customHeight="1" x14ac:dyDescent="0.2">
      <c r="A128" t="s">
        <v>37</v>
      </c>
      <c r="B128" s="18">
        <v>0</v>
      </c>
      <c r="C128" s="18">
        <v>0</v>
      </c>
      <c r="D128" s="18">
        <v>0</v>
      </c>
      <c r="E128" s="59">
        <v>0</v>
      </c>
      <c r="F128" s="18">
        <v>0</v>
      </c>
      <c r="G128" s="18">
        <v>0</v>
      </c>
      <c r="H128" s="59">
        <v>0</v>
      </c>
      <c r="I128" s="18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  <c r="N128">
        <v>15</v>
      </c>
    </row>
    <row r="129" spans="1:14" ht="15" customHeight="1" x14ac:dyDescent="0.2">
      <c r="A129" t="s">
        <v>38</v>
      </c>
      <c r="B129" s="18">
        <v>0</v>
      </c>
      <c r="C129" s="18">
        <v>0</v>
      </c>
      <c r="D129" s="18">
        <v>0</v>
      </c>
      <c r="E129" s="59">
        <v>0</v>
      </c>
      <c r="F129" s="18">
        <v>0</v>
      </c>
      <c r="G129" s="18">
        <v>0</v>
      </c>
      <c r="H129" s="59">
        <v>0</v>
      </c>
      <c r="I129" s="18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  <c r="N129">
        <v>15</v>
      </c>
    </row>
    <row r="130" spans="1:14" ht="15" customHeight="1" x14ac:dyDescent="0.2">
      <c r="A130" t="s">
        <v>39</v>
      </c>
      <c r="B130" s="18">
        <v>0</v>
      </c>
      <c r="C130" s="18">
        <v>0</v>
      </c>
      <c r="D130" s="18">
        <v>0</v>
      </c>
      <c r="E130" s="59">
        <v>0</v>
      </c>
      <c r="F130" s="18">
        <v>0</v>
      </c>
      <c r="G130" s="18">
        <v>0</v>
      </c>
      <c r="H130" s="59">
        <v>0</v>
      </c>
      <c r="I130" s="18">
        <v>0</v>
      </c>
      <c r="J130" s="19">
        <f t="shared" si="4"/>
        <v>0</v>
      </c>
      <c r="K130" s="19">
        <f t="shared" si="5"/>
        <v>0</v>
      </c>
      <c r="L130" s="19">
        <f t="shared" si="6"/>
        <v>0</v>
      </c>
      <c r="M130" s="19">
        <f t="shared" si="7"/>
        <v>0</v>
      </c>
      <c r="N130">
        <v>15</v>
      </c>
    </row>
    <row r="131" spans="1:14" ht="15" customHeight="1" x14ac:dyDescent="0.2">
      <c r="A131" t="s">
        <v>40</v>
      </c>
      <c r="B131" s="18">
        <v>0</v>
      </c>
      <c r="C131" s="18">
        <v>1</v>
      </c>
      <c r="D131" s="18">
        <v>0</v>
      </c>
      <c r="E131" s="59">
        <v>0</v>
      </c>
      <c r="F131" s="18">
        <v>0</v>
      </c>
      <c r="G131" s="18">
        <v>0</v>
      </c>
      <c r="H131" s="59">
        <v>0</v>
      </c>
      <c r="I131" s="18">
        <v>0</v>
      </c>
      <c r="J131" s="19">
        <f t="shared" si="4"/>
        <v>1</v>
      </c>
      <c r="K131" s="19">
        <f t="shared" si="5"/>
        <v>0</v>
      </c>
      <c r="L131" s="19">
        <f t="shared" si="6"/>
        <v>0</v>
      </c>
      <c r="M131" s="19">
        <f t="shared" si="7"/>
        <v>0</v>
      </c>
      <c r="N131">
        <v>15</v>
      </c>
    </row>
    <row r="132" spans="1:14" s="33" customFormat="1" ht="15" customHeight="1" x14ac:dyDescent="0.2">
      <c r="A132" s="33" t="s">
        <v>41</v>
      </c>
      <c r="B132" s="61">
        <v>0</v>
      </c>
      <c r="C132" s="61">
        <v>0</v>
      </c>
      <c r="D132" s="61">
        <v>0</v>
      </c>
      <c r="E132" s="61">
        <v>0</v>
      </c>
      <c r="F132" s="61">
        <v>0</v>
      </c>
      <c r="G132" s="61">
        <v>0</v>
      </c>
      <c r="H132" s="61">
        <v>0</v>
      </c>
      <c r="I132" s="61">
        <v>0</v>
      </c>
      <c r="J132" s="62">
        <f t="shared" si="4"/>
        <v>0</v>
      </c>
      <c r="K132" s="62">
        <f t="shared" si="5"/>
        <v>0</v>
      </c>
      <c r="L132" s="62">
        <f t="shared" si="6"/>
        <v>0</v>
      </c>
      <c r="M132" s="62">
        <f t="shared" si="7"/>
        <v>0</v>
      </c>
      <c r="N132">
        <v>15</v>
      </c>
    </row>
    <row r="133" spans="1:14" s="33" customFormat="1" ht="15" customHeight="1" x14ac:dyDescent="0.2">
      <c r="A133" s="33" t="s">
        <v>42</v>
      </c>
      <c r="B133" s="61">
        <v>0</v>
      </c>
      <c r="C133" s="61">
        <v>0</v>
      </c>
      <c r="D133" s="61">
        <v>0</v>
      </c>
      <c r="E133" s="61">
        <v>0</v>
      </c>
      <c r="F133" s="61">
        <v>0</v>
      </c>
      <c r="G133" s="61">
        <v>0</v>
      </c>
      <c r="H133" s="61">
        <v>0</v>
      </c>
      <c r="I133" s="61">
        <v>0</v>
      </c>
      <c r="J133" s="62">
        <f t="shared" si="4"/>
        <v>0</v>
      </c>
      <c r="K133" s="62">
        <f t="shared" si="5"/>
        <v>0</v>
      </c>
      <c r="L133" s="62">
        <f t="shared" si="6"/>
        <v>0</v>
      </c>
      <c r="M133" s="62">
        <f t="shared" si="7"/>
        <v>0</v>
      </c>
      <c r="N133">
        <v>15</v>
      </c>
    </row>
    <row r="134" spans="1:14" s="33" customFormat="1" ht="15" customHeight="1" x14ac:dyDescent="0.2">
      <c r="A134" s="33" t="s">
        <v>43</v>
      </c>
      <c r="B134" s="61">
        <v>0</v>
      </c>
      <c r="C134" s="61">
        <v>0</v>
      </c>
      <c r="D134" s="61">
        <v>0</v>
      </c>
      <c r="E134" s="61">
        <v>0</v>
      </c>
      <c r="F134" s="61">
        <v>0</v>
      </c>
      <c r="G134" s="61">
        <v>0</v>
      </c>
      <c r="H134" s="61">
        <v>0</v>
      </c>
      <c r="I134" s="61">
        <v>0</v>
      </c>
      <c r="J134" s="62">
        <f t="shared" si="4"/>
        <v>0</v>
      </c>
      <c r="K134" s="62">
        <f t="shared" si="5"/>
        <v>0</v>
      </c>
      <c r="L134" s="62">
        <f t="shared" si="6"/>
        <v>0</v>
      </c>
      <c r="M134" s="62">
        <f t="shared" si="7"/>
        <v>0</v>
      </c>
      <c r="N134">
        <v>15</v>
      </c>
    </row>
    <row r="135" spans="1:14" s="33" customFormat="1" ht="15" customHeight="1" x14ac:dyDescent="0.2">
      <c r="A135" s="33" t="s">
        <v>44</v>
      </c>
      <c r="B135" s="61">
        <v>0</v>
      </c>
      <c r="C135" s="61">
        <v>0</v>
      </c>
      <c r="D135" s="61">
        <v>0</v>
      </c>
      <c r="E135" s="61">
        <v>0</v>
      </c>
      <c r="F135" s="61">
        <v>0</v>
      </c>
      <c r="G135" s="61">
        <v>0</v>
      </c>
      <c r="H135" s="61">
        <v>0</v>
      </c>
      <c r="I135" s="61">
        <v>0</v>
      </c>
      <c r="J135" s="62">
        <f t="shared" si="4"/>
        <v>0</v>
      </c>
      <c r="K135" s="62">
        <f t="shared" si="5"/>
        <v>0</v>
      </c>
      <c r="L135" s="62">
        <f t="shared" si="6"/>
        <v>0</v>
      </c>
      <c r="M135" s="62">
        <f t="shared" si="7"/>
        <v>0</v>
      </c>
      <c r="N135">
        <v>15</v>
      </c>
    </row>
    <row r="136" spans="1:14" s="33" customFormat="1" ht="15" customHeight="1" x14ac:dyDescent="0.2">
      <c r="A136" s="33" t="s">
        <v>45</v>
      </c>
      <c r="B136" s="61">
        <v>0</v>
      </c>
      <c r="C136" s="61">
        <v>0</v>
      </c>
      <c r="D136" s="61">
        <v>0</v>
      </c>
      <c r="E136" s="61">
        <v>0</v>
      </c>
      <c r="F136" s="61">
        <v>0</v>
      </c>
      <c r="G136" s="61">
        <v>1</v>
      </c>
      <c r="H136" s="61">
        <v>0</v>
      </c>
      <c r="I136" s="61">
        <v>0</v>
      </c>
      <c r="J136" s="62">
        <f t="shared" si="4"/>
        <v>0</v>
      </c>
      <c r="K136" s="62">
        <f t="shared" si="5"/>
        <v>1</v>
      </c>
      <c r="L136" s="62">
        <f t="shared" si="6"/>
        <v>0</v>
      </c>
      <c r="M136" s="62">
        <f t="shared" si="7"/>
        <v>0</v>
      </c>
      <c r="N136">
        <v>15</v>
      </c>
    </row>
    <row r="137" spans="1:14" s="33" customFormat="1" ht="15" customHeight="1" x14ac:dyDescent="0.2">
      <c r="A137" s="33" t="s">
        <v>46</v>
      </c>
      <c r="B137" s="61">
        <v>0</v>
      </c>
      <c r="C137" s="61">
        <v>0</v>
      </c>
      <c r="D137" s="61">
        <v>0</v>
      </c>
      <c r="E137" s="61">
        <v>0</v>
      </c>
      <c r="F137" s="61">
        <v>0</v>
      </c>
      <c r="G137" s="61">
        <v>0</v>
      </c>
      <c r="H137" s="61">
        <v>0</v>
      </c>
      <c r="I137" s="61">
        <v>0</v>
      </c>
      <c r="J137" s="62">
        <f t="shared" si="4"/>
        <v>0</v>
      </c>
      <c r="K137" s="62">
        <f t="shared" si="5"/>
        <v>0</v>
      </c>
      <c r="L137" s="62">
        <f t="shared" si="6"/>
        <v>0</v>
      </c>
      <c r="M137" s="62">
        <f t="shared" si="7"/>
        <v>0</v>
      </c>
      <c r="N137">
        <v>15</v>
      </c>
    </row>
    <row r="138" spans="1:14" s="33" customFormat="1" ht="15" customHeight="1" x14ac:dyDescent="0.2">
      <c r="A138" s="33" t="s">
        <v>47</v>
      </c>
      <c r="B138" s="61">
        <v>0</v>
      </c>
      <c r="C138" s="61">
        <v>0</v>
      </c>
      <c r="D138" s="61">
        <v>0</v>
      </c>
      <c r="E138" s="61">
        <v>0</v>
      </c>
      <c r="F138" s="61">
        <v>0</v>
      </c>
      <c r="G138" s="61">
        <v>0</v>
      </c>
      <c r="H138" s="61">
        <v>0</v>
      </c>
      <c r="I138" s="61">
        <v>0</v>
      </c>
      <c r="J138" s="62">
        <f t="shared" si="4"/>
        <v>0</v>
      </c>
      <c r="K138" s="62">
        <f t="shared" si="5"/>
        <v>0</v>
      </c>
      <c r="L138" s="62">
        <f t="shared" si="6"/>
        <v>0</v>
      </c>
      <c r="M138" s="62">
        <f t="shared" si="7"/>
        <v>0</v>
      </c>
      <c r="N138">
        <v>15</v>
      </c>
    </row>
    <row r="139" spans="1:14" s="33" customFormat="1" ht="15" customHeight="1" x14ac:dyDescent="0.2">
      <c r="A139" s="33" t="s">
        <v>48</v>
      </c>
      <c r="B139" s="61">
        <v>0</v>
      </c>
      <c r="C139" s="61">
        <v>1</v>
      </c>
      <c r="D139" s="61">
        <v>0</v>
      </c>
      <c r="E139" s="61">
        <v>0</v>
      </c>
      <c r="F139" s="61">
        <v>0</v>
      </c>
      <c r="G139" s="61">
        <v>0</v>
      </c>
      <c r="H139" s="61">
        <v>0</v>
      </c>
      <c r="I139" s="61">
        <v>0</v>
      </c>
      <c r="J139" s="62">
        <f t="shared" ref="J139:J201" si="8">SUM(C139,F139)</f>
        <v>1</v>
      </c>
      <c r="K139" s="62">
        <f t="shared" ref="K139:K201" si="9">SUM(B139,G139)</f>
        <v>0</v>
      </c>
      <c r="L139" s="62">
        <f t="shared" ref="L139:L201" si="10">SUM(E139,H139)</f>
        <v>0</v>
      </c>
      <c r="M139" s="62">
        <f t="shared" ref="M139:M201" si="11">SUM(D139,I139)</f>
        <v>0</v>
      </c>
      <c r="N139">
        <v>15</v>
      </c>
    </row>
    <row r="140" spans="1:14" s="33" customFormat="1" ht="15" customHeight="1" x14ac:dyDescent="0.2">
      <c r="A140" s="33" t="s">
        <v>49</v>
      </c>
      <c r="B140" s="61">
        <v>0</v>
      </c>
      <c r="C140" s="61">
        <v>0</v>
      </c>
      <c r="D140" s="61">
        <v>0</v>
      </c>
      <c r="E140" s="61">
        <v>0</v>
      </c>
      <c r="F140" s="61">
        <v>0</v>
      </c>
      <c r="G140" s="61">
        <v>1</v>
      </c>
      <c r="H140" s="61">
        <v>0</v>
      </c>
      <c r="I140" s="61">
        <v>0</v>
      </c>
      <c r="J140" s="62">
        <f t="shared" si="8"/>
        <v>0</v>
      </c>
      <c r="K140" s="62">
        <f t="shared" si="9"/>
        <v>1</v>
      </c>
      <c r="L140" s="62">
        <f t="shared" si="10"/>
        <v>0</v>
      </c>
      <c r="M140" s="62">
        <f t="shared" si="11"/>
        <v>0</v>
      </c>
      <c r="N140">
        <v>15</v>
      </c>
    </row>
    <row r="141" spans="1:14" s="33" customFormat="1" ht="15" customHeight="1" x14ac:dyDescent="0.2">
      <c r="A141" s="33" t="s">
        <v>50</v>
      </c>
      <c r="B141" s="61">
        <v>0</v>
      </c>
      <c r="C141" s="61">
        <v>0</v>
      </c>
      <c r="D141" s="61">
        <v>0</v>
      </c>
      <c r="E141" s="61">
        <v>0</v>
      </c>
      <c r="F141" s="61">
        <v>0</v>
      </c>
      <c r="G141" s="61">
        <v>0</v>
      </c>
      <c r="H141" s="61">
        <v>0</v>
      </c>
      <c r="I141" s="61">
        <v>0</v>
      </c>
      <c r="J141" s="62">
        <f t="shared" si="8"/>
        <v>0</v>
      </c>
      <c r="K141" s="62">
        <f t="shared" si="9"/>
        <v>0</v>
      </c>
      <c r="L141" s="62">
        <f t="shared" si="10"/>
        <v>0</v>
      </c>
      <c r="M141" s="62">
        <f t="shared" si="11"/>
        <v>0</v>
      </c>
      <c r="N141">
        <v>15</v>
      </c>
    </row>
    <row r="142" spans="1:14" s="33" customFormat="1" ht="15" customHeight="1" x14ac:dyDescent="0.2">
      <c r="A142" s="33" t="s">
        <v>51</v>
      </c>
      <c r="B142" s="61">
        <v>0</v>
      </c>
      <c r="C142" s="61">
        <v>0</v>
      </c>
      <c r="D142" s="61">
        <v>0</v>
      </c>
      <c r="E142" s="61">
        <v>0</v>
      </c>
      <c r="F142" s="61">
        <v>0</v>
      </c>
      <c r="G142" s="61">
        <v>0</v>
      </c>
      <c r="H142" s="61">
        <v>0</v>
      </c>
      <c r="I142" s="61">
        <v>0</v>
      </c>
      <c r="J142" s="62">
        <f t="shared" si="8"/>
        <v>0</v>
      </c>
      <c r="K142" s="62">
        <f t="shared" si="9"/>
        <v>0</v>
      </c>
      <c r="L142" s="62">
        <f t="shared" si="10"/>
        <v>0</v>
      </c>
      <c r="M142" s="62">
        <f t="shared" si="11"/>
        <v>0</v>
      </c>
      <c r="N142">
        <v>15</v>
      </c>
    </row>
    <row r="143" spans="1:14" s="33" customFormat="1" ht="15" customHeight="1" x14ac:dyDescent="0.2">
      <c r="A143" s="33" t="s">
        <v>52</v>
      </c>
      <c r="B143" s="61">
        <v>0</v>
      </c>
      <c r="C143" s="61">
        <v>0</v>
      </c>
      <c r="D143" s="61">
        <v>0</v>
      </c>
      <c r="E143" s="61">
        <v>0</v>
      </c>
      <c r="F143" s="61">
        <v>0</v>
      </c>
      <c r="G143" s="61">
        <v>0</v>
      </c>
      <c r="H143" s="61">
        <v>0</v>
      </c>
      <c r="I143" s="61">
        <v>0</v>
      </c>
      <c r="J143" s="62">
        <f t="shared" si="8"/>
        <v>0</v>
      </c>
      <c r="K143" s="62">
        <f t="shared" si="9"/>
        <v>0</v>
      </c>
      <c r="L143" s="62">
        <f t="shared" si="10"/>
        <v>0</v>
      </c>
      <c r="M143" s="62">
        <f t="shared" si="11"/>
        <v>0</v>
      </c>
      <c r="N143">
        <v>15</v>
      </c>
    </row>
    <row r="144" spans="1:14" s="33" customFormat="1" ht="15" customHeight="1" x14ac:dyDescent="0.2">
      <c r="A144" s="33" t="s">
        <v>53</v>
      </c>
      <c r="B144" s="61">
        <v>0</v>
      </c>
      <c r="C144" s="61">
        <v>0</v>
      </c>
      <c r="D144" s="61">
        <v>0</v>
      </c>
      <c r="E144" s="61">
        <v>0</v>
      </c>
      <c r="F144" s="61">
        <v>0</v>
      </c>
      <c r="G144" s="61">
        <v>0</v>
      </c>
      <c r="H144" s="61">
        <v>0</v>
      </c>
      <c r="I144" s="61">
        <v>0</v>
      </c>
      <c r="J144" s="62">
        <f t="shared" si="8"/>
        <v>0</v>
      </c>
      <c r="K144" s="62">
        <f t="shared" si="9"/>
        <v>0</v>
      </c>
      <c r="L144" s="62">
        <f t="shared" si="10"/>
        <v>0</v>
      </c>
      <c r="M144" s="62">
        <f t="shared" si="11"/>
        <v>0</v>
      </c>
      <c r="N144">
        <v>15</v>
      </c>
    </row>
    <row r="145" spans="1:14" s="33" customFormat="1" ht="15" customHeight="1" x14ac:dyDescent="0.2">
      <c r="A145" s="33" t="s">
        <v>54</v>
      </c>
      <c r="B145" s="61">
        <v>0</v>
      </c>
      <c r="C145" s="61">
        <v>0</v>
      </c>
      <c r="D145" s="61">
        <v>0</v>
      </c>
      <c r="E145" s="61">
        <v>0</v>
      </c>
      <c r="F145" s="61">
        <v>0</v>
      </c>
      <c r="G145" s="61">
        <v>1</v>
      </c>
      <c r="H145" s="61">
        <v>0</v>
      </c>
      <c r="I145" s="61">
        <v>0</v>
      </c>
      <c r="J145" s="62">
        <f t="shared" si="8"/>
        <v>0</v>
      </c>
      <c r="K145" s="62">
        <f t="shared" si="9"/>
        <v>1</v>
      </c>
      <c r="L145" s="62">
        <f t="shared" si="10"/>
        <v>0</v>
      </c>
      <c r="M145" s="62">
        <f t="shared" si="11"/>
        <v>0</v>
      </c>
      <c r="N145">
        <v>15</v>
      </c>
    </row>
    <row r="146" spans="1:14" s="33" customFormat="1" ht="15" customHeight="1" x14ac:dyDescent="0.2">
      <c r="A146" s="33" t="s">
        <v>55</v>
      </c>
      <c r="B146" s="61">
        <v>0</v>
      </c>
      <c r="C146" s="61">
        <v>0</v>
      </c>
      <c r="D146" s="61">
        <v>0</v>
      </c>
      <c r="E146" s="61">
        <v>0</v>
      </c>
      <c r="F146" s="61">
        <v>0</v>
      </c>
      <c r="G146" s="61">
        <v>0</v>
      </c>
      <c r="H146" s="61">
        <v>0</v>
      </c>
      <c r="I146" s="61">
        <v>0</v>
      </c>
      <c r="J146" s="62">
        <f t="shared" si="8"/>
        <v>0</v>
      </c>
      <c r="K146" s="62">
        <f t="shared" si="9"/>
        <v>0</v>
      </c>
      <c r="L146" s="62">
        <f t="shared" si="10"/>
        <v>0</v>
      </c>
      <c r="M146" s="62">
        <f t="shared" si="11"/>
        <v>0</v>
      </c>
      <c r="N146">
        <v>15</v>
      </c>
    </row>
    <row r="147" spans="1:14" s="33" customFormat="1" ht="15" customHeight="1" x14ac:dyDescent="0.2">
      <c r="A147" s="33" t="s">
        <v>56</v>
      </c>
      <c r="B147" s="61">
        <v>0</v>
      </c>
      <c r="C147" s="61">
        <v>0</v>
      </c>
      <c r="D147" s="61">
        <v>0</v>
      </c>
      <c r="E147" s="61">
        <v>0</v>
      </c>
      <c r="F147" s="61">
        <v>0</v>
      </c>
      <c r="G147" s="61">
        <v>0</v>
      </c>
      <c r="H147" s="61">
        <v>0</v>
      </c>
      <c r="I147" s="61">
        <v>0</v>
      </c>
      <c r="J147" s="62">
        <f t="shared" si="8"/>
        <v>0</v>
      </c>
      <c r="K147" s="62">
        <f t="shared" si="9"/>
        <v>0</v>
      </c>
      <c r="L147" s="62">
        <f t="shared" si="10"/>
        <v>0</v>
      </c>
      <c r="M147" s="62">
        <f t="shared" si="11"/>
        <v>0</v>
      </c>
      <c r="N147">
        <v>15</v>
      </c>
    </row>
    <row r="148" spans="1:14" s="33" customFormat="1" ht="15" customHeight="1" x14ac:dyDescent="0.2">
      <c r="A148" s="33" t="s">
        <v>57</v>
      </c>
      <c r="B148" s="61">
        <v>0</v>
      </c>
      <c r="C148" s="61">
        <v>0</v>
      </c>
      <c r="D148" s="61">
        <v>0</v>
      </c>
      <c r="E148" s="61">
        <v>0</v>
      </c>
      <c r="F148" s="61">
        <v>1</v>
      </c>
      <c r="G148" s="61">
        <v>0</v>
      </c>
      <c r="H148" s="61">
        <v>0</v>
      </c>
      <c r="I148" s="61">
        <v>0</v>
      </c>
      <c r="J148" s="62">
        <f t="shared" si="8"/>
        <v>1</v>
      </c>
      <c r="K148" s="62">
        <f t="shared" si="9"/>
        <v>0</v>
      </c>
      <c r="L148" s="62">
        <f t="shared" si="10"/>
        <v>0</v>
      </c>
      <c r="M148" s="62">
        <f t="shared" si="11"/>
        <v>0</v>
      </c>
      <c r="N148">
        <v>15</v>
      </c>
    </row>
    <row r="149" spans="1:14" s="33" customFormat="1" ht="15" customHeight="1" x14ac:dyDescent="0.2">
      <c r="A149" s="33" t="s">
        <v>58</v>
      </c>
      <c r="B149" s="61">
        <v>0</v>
      </c>
      <c r="C149" s="61">
        <v>0</v>
      </c>
      <c r="D149" s="61">
        <v>0</v>
      </c>
      <c r="E149" s="61">
        <v>0</v>
      </c>
      <c r="F149" s="61">
        <v>0</v>
      </c>
      <c r="G149" s="61">
        <v>0</v>
      </c>
      <c r="H149" s="61">
        <v>0</v>
      </c>
      <c r="I149" s="61">
        <v>0</v>
      </c>
      <c r="J149" s="62">
        <f t="shared" si="8"/>
        <v>0</v>
      </c>
      <c r="K149" s="62">
        <f t="shared" si="9"/>
        <v>0</v>
      </c>
      <c r="L149" s="62">
        <f t="shared" si="10"/>
        <v>0</v>
      </c>
      <c r="M149" s="62">
        <f t="shared" si="11"/>
        <v>0</v>
      </c>
      <c r="N149">
        <v>15</v>
      </c>
    </row>
    <row r="150" spans="1:14" s="33" customFormat="1" ht="15" customHeight="1" x14ac:dyDescent="0.2">
      <c r="A150" s="33" t="s">
        <v>59</v>
      </c>
      <c r="B150" s="61">
        <v>0</v>
      </c>
      <c r="C150" s="61">
        <v>0</v>
      </c>
      <c r="D150" s="61">
        <v>0</v>
      </c>
      <c r="E150" s="61">
        <v>0</v>
      </c>
      <c r="F150" s="61">
        <v>1</v>
      </c>
      <c r="G150" s="61">
        <v>0</v>
      </c>
      <c r="H150" s="61">
        <v>0</v>
      </c>
      <c r="I150" s="61">
        <v>0</v>
      </c>
      <c r="J150" s="62">
        <f t="shared" si="8"/>
        <v>1</v>
      </c>
      <c r="K150" s="62">
        <f t="shared" si="9"/>
        <v>0</v>
      </c>
      <c r="L150" s="62">
        <f t="shared" si="10"/>
        <v>0</v>
      </c>
      <c r="M150" s="62">
        <f t="shared" si="11"/>
        <v>0</v>
      </c>
      <c r="N150">
        <v>15</v>
      </c>
    </row>
    <row r="151" spans="1:14" s="33" customFormat="1" ht="15" customHeight="1" x14ac:dyDescent="0.2">
      <c r="A151" s="33" t="s">
        <v>60</v>
      </c>
      <c r="B151" s="61">
        <v>0</v>
      </c>
      <c r="C151" s="61">
        <v>0</v>
      </c>
      <c r="D151" s="61">
        <v>0</v>
      </c>
      <c r="E151" s="61">
        <v>0</v>
      </c>
      <c r="F151" s="61">
        <v>0</v>
      </c>
      <c r="G151" s="61">
        <v>0</v>
      </c>
      <c r="H151" s="61">
        <v>0</v>
      </c>
      <c r="I151" s="61">
        <v>0</v>
      </c>
      <c r="J151" s="62">
        <f t="shared" si="8"/>
        <v>0</v>
      </c>
      <c r="K151" s="62">
        <f t="shared" si="9"/>
        <v>0</v>
      </c>
      <c r="L151" s="62">
        <f t="shared" si="10"/>
        <v>0</v>
      </c>
      <c r="M151" s="62">
        <f t="shared" si="11"/>
        <v>0</v>
      </c>
      <c r="N151">
        <v>15</v>
      </c>
    </row>
    <row r="152" spans="1:14" s="33" customFormat="1" ht="15" customHeight="1" x14ac:dyDescent="0.2">
      <c r="A152" s="33" t="s">
        <v>61</v>
      </c>
      <c r="B152" s="61">
        <v>0</v>
      </c>
      <c r="C152" s="61">
        <v>0</v>
      </c>
      <c r="D152" s="61">
        <v>0</v>
      </c>
      <c r="E152" s="61">
        <v>0</v>
      </c>
      <c r="F152" s="61">
        <v>0</v>
      </c>
      <c r="G152" s="61">
        <v>0</v>
      </c>
      <c r="H152" s="61">
        <v>0</v>
      </c>
      <c r="I152" s="61">
        <v>0</v>
      </c>
      <c r="J152" s="62">
        <f t="shared" si="8"/>
        <v>0</v>
      </c>
      <c r="K152" s="62">
        <f t="shared" si="9"/>
        <v>0</v>
      </c>
      <c r="L152" s="62">
        <f t="shared" si="10"/>
        <v>0</v>
      </c>
      <c r="M152" s="62">
        <f t="shared" si="11"/>
        <v>0</v>
      </c>
      <c r="N152">
        <v>15</v>
      </c>
    </row>
    <row r="153" spans="1:14" s="33" customFormat="1" ht="15" customHeight="1" x14ac:dyDescent="0.2">
      <c r="A153" s="33" t="s">
        <v>62</v>
      </c>
      <c r="B153" s="61">
        <v>0</v>
      </c>
      <c r="C153" s="61">
        <v>0</v>
      </c>
      <c r="D153" s="61">
        <v>0</v>
      </c>
      <c r="E153" s="61">
        <v>0</v>
      </c>
      <c r="F153" s="61">
        <v>0</v>
      </c>
      <c r="G153" s="61">
        <v>0</v>
      </c>
      <c r="H153" s="61">
        <v>0</v>
      </c>
      <c r="I153" s="61">
        <v>0</v>
      </c>
      <c r="J153" s="62">
        <f t="shared" si="8"/>
        <v>0</v>
      </c>
      <c r="K153" s="62">
        <f t="shared" si="9"/>
        <v>0</v>
      </c>
      <c r="L153" s="62">
        <f t="shared" si="10"/>
        <v>0</v>
      </c>
      <c r="M153" s="62">
        <f t="shared" si="11"/>
        <v>0</v>
      </c>
      <c r="N153">
        <v>15</v>
      </c>
    </row>
    <row r="154" spans="1:14" s="33" customFormat="1" ht="15" customHeight="1" x14ac:dyDescent="0.2">
      <c r="A154" s="33" t="s">
        <v>63</v>
      </c>
      <c r="B154" s="61">
        <v>0</v>
      </c>
      <c r="C154" s="61">
        <v>0</v>
      </c>
      <c r="D154" s="61">
        <v>0</v>
      </c>
      <c r="E154" s="61">
        <v>0</v>
      </c>
      <c r="F154" s="61">
        <v>0</v>
      </c>
      <c r="G154" s="61">
        <v>0</v>
      </c>
      <c r="H154" s="61">
        <v>0</v>
      </c>
      <c r="I154" s="61">
        <v>0</v>
      </c>
      <c r="J154" s="62">
        <f t="shared" si="8"/>
        <v>0</v>
      </c>
      <c r="K154" s="62">
        <f t="shared" si="9"/>
        <v>0</v>
      </c>
      <c r="L154" s="62">
        <f t="shared" si="10"/>
        <v>0</v>
      </c>
      <c r="M154" s="62">
        <f t="shared" si="11"/>
        <v>0</v>
      </c>
      <c r="N154">
        <v>15</v>
      </c>
    </row>
    <row r="155" spans="1:14" s="33" customFormat="1" ht="15" customHeight="1" x14ac:dyDescent="0.2">
      <c r="A155" s="33" t="s">
        <v>64</v>
      </c>
      <c r="B155" s="61">
        <v>0</v>
      </c>
      <c r="C155" s="61">
        <v>0</v>
      </c>
      <c r="D155" s="61">
        <v>0</v>
      </c>
      <c r="E155" s="61">
        <v>0</v>
      </c>
      <c r="F155" s="61">
        <v>0</v>
      </c>
      <c r="G155" s="61">
        <v>0</v>
      </c>
      <c r="H155" s="61">
        <v>0</v>
      </c>
      <c r="I155" s="61">
        <v>0</v>
      </c>
      <c r="J155" s="62">
        <f t="shared" si="8"/>
        <v>0</v>
      </c>
      <c r="K155" s="62">
        <f t="shared" si="9"/>
        <v>0</v>
      </c>
      <c r="L155" s="62">
        <f t="shared" si="10"/>
        <v>0</v>
      </c>
      <c r="M155" s="62">
        <f t="shared" si="11"/>
        <v>0</v>
      </c>
      <c r="N155">
        <v>15</v>
      </c>
    </row>
    <row r="156" spans="1:14" s="33" customFormat="1" ht="15" customHeight="1" x14ac:dyDescent="0.2">
      <c r="A156" s="33" t="s">
        <v>65</v>
      </c>
      <c r="B156" s="61">
        <v>0</v>
      </c>
      <c r="C156" s="61">
        <v>0</v>
      </c>
      <c r="D156" s="61">
        <v>0</v>
      </c>
      <c r="E156" s="61">
        <v>0</v>
      </c>
      <c r="F156" s="61">
        <v>0</v>
      </c>
      <c r="G156" s="61">
        <v>0</v>
      </c>
      <c r="H156" s="61">
        <v>0</v>
      </c>
      <c r="I156" s="61">
        <v>0</v>
      </c>
      <c r="J156" s="62">
        <f t="shared" si="8"/>
        <v>0</v>
      </c>
      <c r="K156" s="62">
        <f t="shared" si="9"/>
        <v>0</v>
      </c>
      <c r="L156" s="62">
        <f t="shared" si="10"/>
        <v>0</v>
      </c>
      <c r="M156" s="62">
        <f t="shared" si="11"/>
        <v>0</v>
      </c>
      <c r="N156">
        <v>15</v>
      </c>
    </row>
    <row r="157" spans="1:14" s="33" customFormat="1" ht="15" customHeight="1" x14ac:dyDescent="0.2">
      <c r="A157" s="33" t="s">
        <v>66</v>
      </c>
      <c r="B157" s="61">
        <v>0</v>
      </c>
      <c r="C157" s="61">
        <v>0</v>
      </c>
      <c r="D157" s="61">
        <v>0</v>
      </c>
      <c r="E157" s="61">
        <v>0</v>
      </c>
      <c r="F157" s="61">
        <v>0</v>
      </c>
      <c r="G157" s="61">
        <v>0</v>
      </c>
      <c r="H157" s="61">
        <v>0</v>
      </c>
      <c r="I157" s="61">
        <v>0</v>
      </c>
      <c r="J157" s="62">
        <f t="shared" si="8"/>
        <v>0</v>
      </c>
      <c r="K157" s="62">
        <f t="shared" si="9"/>
        <v>0</v>
      </c>
      <c r="L157" s="62">
        <f t="shared" si="10"/>
        <v>0</v>
      </c>
      <c r="M157" s="62">
        <f t="shared" si="11"/>
        <v>0</v>
      </c>
      <c r="N157">
        <v>15</v>
      </c>
    </row>
    <row r="158" spans="1:14" s="33" customFormat="1" ht="15" customHeight="1" x14ac:dyDescent="0.2">
      <c r="A158" s="33" t="s">
        <v>67</v>
      </c>
      <c r="B158" s="61">
        <v>1</v>
      </c>
      <c r="C158" s="61">
        <v>0</v>
      </c>
      <c r="D158" s="61">
        <v>0</v>
      </c>
      <c r="E158" s="61">
        <v>0</v>
      </c>
      <c r="F158" s="61">
        <v>0</v>
      </c>
      <c r="G158" s="61">
        <v>0</v>
      </c>
      <c r="H158" s="61">
        <v>0</v>
      </c>
      <c r="I158" s="61">
        <v>0</v>
      </c>
      <c r="J158" s="62">
        <f t="shared" si="8"/>
        <v>0</v>
      </c>
      <c r="K158" s="62">
        <f t="shared" si="9"/>
        <v>1</v>
      </c>
      <c r="L158" s="62">
        <f t="shared" si="10"/>
        <v>0</v>
      </c>
      <c r="M158" s="62">
        <f t="shared" si="11"/>
        <v>0</v>
      </c>
      <c r="N158">
        <v>15</v>
      </c>
    </row>
    <row r="159" spans="1:14" s="33" customFormat="1" ht="15" customHeight="1" x14ac:dyDescent="0.2">
      <c r="A159" s="33" t="s">
        <v>68</v>
      </c>
      <c r="B159" s="61">
        <v>0</v>
      </c>
      <c r="C159" s="61">
        <v>0</v>
      </c>
      <c r="D159" s="61">
        <v>0</v>
      </c>
      <c r="E159" s="61">
        <v>0</v>
      </c>
      <c r="F159" s="61">
        <v>0</v>
      </c>
      <c r="G159" s="61">
        <v>0</v>
      </c>
      <c r="H159" s="61">
        <v>0</v>
      </c>
      <c r="I159" s="61">
        <v>0</v>
      </c>
      <c r="J159" s="62">
        <f t="shared" si="8"/>
        <v>0</v>
      </c>
      <c r="K159" s="62">
        <f t="shared" si="9"/>
        <v>0</v>
      </c>
      <c r="L159" s="62">
        <f t="shared" si="10"/>
        <v>0</v>
      </c>
      <c r="M159" s="62">
        <f t="shared" si="11"/>
        <v>0</v>
      </c>
      <c r="N159">
        <v>15</v>
      </c>
    </row>
    <row r="160" spans="1:14" s="33" customFormat="1" ht="15" customHeight="1" x14ac:dyDescent="0.2">
      <c r="A160" s="33" t="s">
        <v>69</v>
      </c>
      <c r="B160" s="61">
        <v>0</v>
      </c>
      <c r="C160" s="61">
        <v>0</v>
      </c>
      <c r="D160" s="61">
        <v>0</v>
      </c>
      <c r="E160" s="61">
        <v>0</v>
      </c>
      <c r="F160" s="61">
        <v>0</v>
      </c>
      <c r="G160" s="61">
        <v>0</v>
      </c>
      <c r="H160" s="61">
        <v>0</v>
      </c>
      <c r="I160" s="61">
        <v>0</v>
      </c>
      <c r="J160" s="62">
        <f t="shared" si="8"/>
        <v>0</v>
      </c>
      <c r="K160" s="62">
        <f t="shared" si="9"/>
        <v>0</v>
      </c>
      <c r="L160" s="62">
        <f t="shared" si="10"/>
        <v>0</v>
      </c>
      <c r="M160" s="62">
        <f t="shared" si="11"/>
        <v>0</v>
      </c>
      <c r="N160">
        <v>15</v>
      </c>
    </row>
    <row r="161" spans="1:14" s="33" customFormat="1" ht="15" customHeight="1" x14ac:dyDescent="0.2">
      <c r="A161" s="33" t="s">
        <v>70</v>
      </c>
      <c r="B161" s="61">
        <v>0</v>
      </c>
      <c r="C161" s="61">
        <v>0</v>
      </c>
      <c r="D161" s="61">
        <v>0</v>
      </c>
      <c r="E161" s="61">
        <v>0</v>
      </c>
      <c r="F161" s="61">
        <v>0</v>
      </c>
      <c r="G161" s="61">
        <v>0</v>
      </c>
      <c r="H161" s="61">
        <v>0</v>
      </c>
      <c r="I161" s="61">
        <v>0</v>
      </c>
      <c r="J161" s="62">
        <f t="shared" si="8"/>
        <v>0</v>
      </c>
      <c r="K161" s="62">
        <f t="shared" si="9"/>
        <v>0</v>
      </c>
      <c r="L161" s="62">
        <f t="shared" si="10"/>
        <v>0</v>
      </c>
      <c r="M161" s="62">
        <f t="shared" si="11"/>
        <v>0</v>
      </c>
      <c r="N161">
        <v>15</v>
      </c>
    </row>
    <row r="162" spans="1:14" s="33" customFormat="1" ht="15" customHeight="1" x14ac:dyDescent="0.2">
      <c r="A162" s="33" t="s">
        <v>71</v>
      </c>
      <c r="B162" s="61">
        <v>0</v>
      </c>
      <c r="C162" s="61">
        <v>0</v>
      </c>
      <c r="D162" s="61">
        <v>0</v>
      </c>
      <c r="E162" s="61">
        <v>0</v>
      </c>
      <c r="F162" s="61">
        <v>0</v>
      </c>
      <c r="G162" s="61">
        <v>0</v>
      </c>
      <c r="H162" s="61">
        <v>0</v>
      </c>
      <c r="I162" s="61">
        <v>0</v>
      </c>
      <c r="J162" s="62">
        <f t="shared" si="8"/>
        <v>0</v>
      </c>
      <c r="K162" s="62">
        <f t="shared" si="9"/>
        <v>0</v>
      </c>
      <c r="L162" s="62">
        <f t="shared" si="10"/>
        <v>0</v>
      </c>
      <c r="M162" s="62">
        <f t="shared" si="11"/>
        <v>0</v>
      </c>
      <c r="N162">
        <v>15</v>
      </c>
    </row>
    <row r="163" spans="1:14" s="33" customFormat="1" ht="15" customHeight="1" x14ac:dyDescent="0.2">
      <c r="A163" s="33" t="s">
        <v>72</v>
      </c>
      <c r="B163" s="61">
        <v>0</v>
      </c>
      <c r="C163" s="61">
        <v>1</v>
      </c>
      <c r="D163" s="61">
        <v>0</v>
      </c>
      <c r="E163" s="61">
        <v>0</v>
      </c>
      <c r="F163" s="61">
        <v>0</v>
      </c>
      <c r="G163" s="61">
        <v>0</v>
      </c>
      <c r="H163" s="61">
        <v>0</v>
      </c>
      <c r="I163" s="61">
        <v>0</v>
      </c>
      <c r="J163" s="62">
        <f t="shared" si="8"/>
        <v>1</v>
      </c>
      <c r="K163" s="62">
        <f t="shared" si="9"/>
        <v>0</v>
      </c>
      <c r="L163" s="62">
        <f t="shared" si="10"/>
        <v>0</v>
      </c>
      <c r="M163" s="62">
        <f t="shared" si="11"/>
        <v>0</v>
      </c>
      <c r="N163">
        <v>15</v>
      </c>
    </row>
    <row r="164" spans="1:14" s="33" customFormat="1" ht="15" customHeight="1" x14ac:dyDescent="0.2">
      <c r="A164" s="33" t="s">
        <v>73</v>
      </c>
      <c r="B164" s="61">
        <v>0</v>
      </c>
      <c r="C164" s="61">
        <v>0</v>
      </c>
      <c r="D164" s="61">
        <v>0</v>
      </c>
      <c r="E164" s="61">
        <v>0</v>
      </c>
      <c r="F164" s="61">
        <v>0</v>
      </c>
      <c r="G164" s="61">
        <v>0</v>
      </c>
      <c r="H164" s="61">
        <v>0</v>
      </c>
      <c r="I164" s="61">
        <v>0</v>
      </c>
      <c r="J164" s="62">
        <f t="shared" si="8"/>
        <v>0</v>
      </c>
      <c r="K164" s="62">
        <f t="shared" si="9"/>
        <v>0</v>
      </c>
      <c r="L164" s="62">
        <f t="shared" si="10"/>
        <v>0</v>
      </c>
      <c r="M164" s="62">
        <f t="shared" si="11"/>
        <v>0</v>
      </c>
      <c r="N164">
        <v>15</v>
      </c>
    </row>
    <row r="165" spans="1:14" s="33" customFormat="1" ht="15" customHeight="1" x14ac:dyDescent="0.2">
      <c r="A165" s="33" t="s">
        <v>74</v>
      </c>
      <c r="B165" s="61">
        <v>0</v>
      </c>
      <c r="C165" s="61">
        <v>0</v>
      </c>
      <c r="D165" s="61">
        <v>0</v>
      </c>
      <c r="E165" s="61">
        <v>0</v>
      </c>
      <c r="F165" s="61">
        <v>0</v>
      </c>
      <c r="G165" s="61">
        <v>0</v>
      </c>
      <c r="H165" s="61">
        <v>0</v>
      </c>
      <c r="I165" s="61">
        <v>0</v>
      </c>
      <c r="J165" s="62">
        <f t="shared" si="8"/>
        <v>0</v>
      </c>
      <c r="K165" s="62">
        <f t="shared" si="9"/>
        <v>0</v>
      </c>
      <c r="L165" s="62">
        <f t="shared" si="10"/>
        <v>0</v>
      </c>
      <c r="M165" s="62">
        <f t="shared" si="11"/>
        <v>0</v>
      </c>
      <c r="N165">
        <v>15</v>
      </c>
    </row>
    <row r="166" spans="1:14" s="33" customFormat="1" ht="15" customHeight="1" x14ac:dyDescent="0.2">
      <c r="A166" s="33" t="s">
        <v>75</v>
      </c>
      <c r="B166" s="61">
        <v>0</v>
      </c>
      <c r="C166" s="61">
        <v>0</v>
      </c>
      <c r="D166" s="61">
        <v>0</v>
      </c>
      <c r="E166" s="61">
        <v>0</v>
      </c>
      <c r="F166" s="61">
        <v>0</v>
      </c>
      <c r="G166" s="61">
        <v>0</v>
      </c>
      <c r="H166" s="61">
        <v>0</v>
      </c>
      <c r="I166" s="61">
        <v>0</v>
      </c>
      <c r="J166" s="62">
        <f t="shared" si="8"/>
        <v>0</v>
      </c>
      <c r="K166" s="62">
        <f t="shared" si="9"/>
        <v>0</v>
      </c>
      <c r="L166" s="62">
        <f t="shared" si="10"/>
        <v>0</v>
      </c>
      <c r="M166" s="62">
        <f t="shared" si="11"/>
        <v>0</v>
      </c>
      <c r="N166">
        <v>15</v>
      </c>
    </row>
    <row r="167" spans="1:14" s="33" customFormat="1" ht="15" customHeight="1" x14ac:dyDescent="0.2">
      <c r="A167" s="33" t="s">
        <v>76</v>
      </c>
      <c r="B167" s="61">
        <v>0</v>
      </c>
      <c r="C167" s="61">
        <v>0</v>
      </c>
      <c r="D167" s="61">
        <v>0</v>
      </c>
      <c r="E167" s="61">
        <v>0</v>
      </c>
      <c r="F167" s="61">
        <v>0</v>
      </c>
      <c r="G167" s="61">
        <v>0</v>
      </c>
      <c r="H167" s="61">
        <v>0</v>
      </c>
      <c r="I167" s="61">
        <v>0</v>
      </c>
      <c r="J167" s="62">
        <f t="shared" si="8"/>
        <v>0</v>
      </c>
      <c r="K167" s="62">
        <f t="shared" si="9"/>
        <v>0</v>
      </c>
      <c r="L167" s="62">
        <f t="shared" si="10"/>
        <v>0</v>
      </c>
      <c r="M167" s="62">
        <f t="shared" si="11"/>
        <v>0</v>
      </c>
      <c r="N167">
        <v>15</v>
      </c>
    </row>
    <row r="168" spans="1:14" s="33" customFormat="1" ht="15" customHeight="1" x14ac:dyDescent="0.2">
      <c r="A168" s="33" t="s">
        <v>77</v>
      </c>
      <c r="B168" s="61">
        <v>2</v>
      </c>
      <c r="C168" s="61">
        <v>0</v>
      </c>
      <c r="D168" s="61">
        <v>0</v>
      </c>
      <c r="E168" s="61">
        <v>0</v>
      </c>
      <c r="F168" s="61">
        <v>0</v>
      </c>
      <c r="G168" s="61">
        <v>0</v>
      </c>
      <c r="H168" s="61">
        <v>0</v>
      </c>
      <c r="I168" s="61">
        <v>0</v>
      </c>
      <c r="J168" s="62">
        <f t="shared" si="8"/>
        <v>0</v>
      </c>
      <c r="K168" s="62">
        <f t="shared" si="9"/>
        <v>2</v>
      </c>
      <c r="L168" s="62">
        <f t="shared" si="10"/>
        <v>0</v>
      </c>
      <c r="M168" s="62">
        <f t="shared" si="11"/>
        <v>0</v>
      </c>
      <c r="N168">
        <v>15</v>
      </c>
    </row>
    <row r="169" spans="1:14" s="33" customFormat="1" ht="15" customHeight="1" x14ac:dyDescent="0.2">
      <c r="A169" s="33" t="s">
        <v>78</v>
      </c>
      <c r="B169" s="61">
        <v>0</v>
      </c>
      <c r="C169" s="61">
        <v>0</v>
      </c>
      <c r="D169" s="61">
        <v>0</v>
      </c>
      <c r="E169" s="61">
        <v>0</v>
      </c>
      <c r="F169" s="61">
        <v>1</v>
      </c>
      <c r="G169" s="61">
        <v>0</v>
      </c>
      <c r="H169" s="61">
        <v>0</v>
      </c>
      <c r="I169" s="61">
        <v>0</v>
      </c>
      <c r="J169" s="62">
        <f t="shared" si="8"/>
        <v>1</v>
      </c>
      <c r="K169" s="62">
        <f t="shared" si="9"/>
        <v>0</v>
      </c>
      <c r="L169" s="62">
        <f t="shared" si="10"/>
        <v>0</v>
      </c>
      <c r="M169" s="62">
        <f t="shared" si="11"/>
        <v>0</v>
      </c>
      <c r="N169">
        <v>15</v>
      </c>
    </row>
    <row r="170" spans="1:14" s="33" customFormat="1" ht="15" customHeight="1" x14ac:dyDescent="0.2">
      <c r="A170" s="33" t="s">
        <v>79</v>
      </c>
      <c r="B170" s="61">
        <v>1</v>
      </c>
      <c r="C170" s="61">
        <v>0</v>
      </c>
      <c r="D170" s="61">
        <v>0</v>
      </c>
      <c r="E170" s="61">
        <v>0</v>
      </c>
      <c r="F170" s="61">
        <v>0</v>
      </c>
      <c r="G170" s="61">
        <v>0</v>
      </c>
      <c r="H170" s="61">
        <v>0</v>
      </c>
      <c r="I170" s="61">
        <v>0</v>
      </c>
      <c r="J170" s="62">
        <f t="shared" si="8"/>
        <v>0</v>
      </c>
      <c r="K170" s="62">
        <f t="shared" si="9"/>
        <v>1</v>
      </c>
      <c r="L170" s="62">
        <f t="shared" si="10"/>
        <v>0</v>
      </c>
      <c r="M170" s="62">
        <f t="shared" si="11"/>
        <v>0</v>
      </c>
      <c r="N170">
        <v>15</v>
      </c>
    </row>
    <row r="171" spans="1:14" s="33" customFormat="1" ht="15" customHeight="1" x14ac:dyDescent="0.2">
      <c r="A171" s="33" t="s">
        <v>80</v>
      </c>
      <c r="B171" s="61">
        <v>0</v>
      </c>
      <c r="C171" s="61">
        <v>0</v>
      </c>
      <c r="D171" s="61">
        <v>0</v>
      </c>
      <c r="E171" s="61">
        <v>0</v>
      </c>
      <c r="F171" s="61">
        <v>0</v>
      </c>
      <c r="G171" s="61">
        <v>0</v>
      </c>
      <c r="H171" s="61">
        <v>0</v>
      </c>
      <c r="I171" s="61">
        <v>0</v>
      </c>
      <c r="J171" s="62">
        <f t="shared" si="8"/>
        <v>0</v>
      </c>
      <c r="K171" s="62">
        <f t="shared" si="9"/>
        <v>0</v>
      </c>
      <c r="L171" s="62">
        <f t="shared" si="10"/>
        <v>0</v>
      </c>
      <c r="M171" s="62">
        <f t="shared" si="11"/>
        <v>0</v>
      </c>
      <c r="N171">
        <v>15</v>
      </c>
    </row>
    <row r="172" spans="1:14" s="33" customFormat="1" ht="15" customHeight="1" x14ac:dyDescent="0.2">
      <c r="A172" s="33" t="s">
        <v>81</v>
      </c>
      <c r="B172" s="61">
        <v>0</v>
      </c>
      <c r="C172" s="61">
        <v>0</v>
      </c>
      <c r="D172" s="61">
        <v>0</v>
      </c>
      <c r="E172" s="61">
        <v>0</v>
      </c>
      <c r="F172" s="61">
        <v>0</v>
      </c>
      <c r="G172" s="61">
        <v>0</v>
      </c>
      <c r="H172" s="61">
        <v>0</v>
      </c>
      <c r="I172" s="61">
        <v>0</v>
      </c>
      <c r="J172" s="62">
        <f t="shared" si="8"/>
        <v>0</v>
      </c>
      <c r="K172" s="62">
        <f t="shared" si="9"/>
        <v>0</v>
      </c>
      <c r="L172" s="62">
        <f t="shared" si="10"/>
        <v>0</v>
      </c>
      <c r="M172" s="62">
        <f t="shared" si="11"/>
        <v>0</v>
      </c>
      <c r="N172">
        <v>15</v>
      </c>
    </row>
    <row r="173" spans="1:14" s="33" customFormat="1" ht="15" customHeight="1" x14ac:dyDescent="0.2">
      <c r="A173" s="33" t="s">
        <v>82</v>
      </c>
      <c r="B173" s="61">
        <v>0</v>
      </c>
      <c r="C173" s="61">
        <v>0</v>
      </c>
      <c r="D173" s="61">
        <v>0</v>
      </c>
      <c r="E173" s="61">
        <v>0</v>
      </c>
      <c r="F173" s="61">
        <v>0</v>
      </c>
      <c r="G173" s="61">
        <v>0</v>
      </c>
      <c r="H173" s="61">
        <v>0</v>
      </c>
      <c r="I173" s="61">
        <v>0</v>
      </c>
      <c r="J173" s="62">
        <f t="shared" si="8"/>
        <v>0</v>
      </c>
      <c r="K173" s="62">
        <f t="shared" si="9"/>
        <v>0</v>
      </c>
      <c r="L173" s="62">
        <f t="shared" si="10"/>
        <v>0</v>
      </c>
      <c r="M173" s="62">
        <f t="shared" si="11"/>
        <v>0</v>
      </c>
      <c r="N173">
        <v>15</v>
      </c>
    </row>
    <row r="174" spans="1:14" s="33" customFormat="1" ht="15" customHeight="1" x14ac:dyDescent="0.2">
      <c r="A174" s="33" t="s">
        <v>83</v>
      </c>
      <c r="B174" s="61">
        <v>0</v>
      </c>
      <c r="C174" s="61">
        <v>0</v>
      </c>
      <c r="D174" s="61">
        <v>0</v>
      </c>
      <c r="E174" s="61">
        <v>0</v>
      </c>
      <c r="F174" s="61">
        <v>0</v>
      </c>
      <c r="G174" s="61">
        <v>0</v>
      </c>
      <c r="H174" s="61">
        <v>0</v>
      </c>
      <c r="I174" s="61">
        <v>0</v>
      </c>
      <c r="J174" s="62">
        <f t="shared" si="8"/>
        <v>0</v>
      </c>
      <c r="K174" s="62">
        <f t="shared" si="9"/>
        <v>0</v>
      </c>
      <c r="L174" s="62">
        <f t="shared" si="10"/>
        <v>0</v>
      </c>
      <c r="M174" s="62">
        <f t="shared" si="11"/>
        <v>0</v>
      </c>
      <c r="N174">
        <v>15</v>
      </c>
    </row>
    <row r="175" spans="1:14" s="33" customFormat="1" ht="15" customHeight="1" x14ac:dyDescent="0.2">
      <c r="A175" s="33" t="s">
        <v>84</v>
      </c>
      <c r="B175" s="61">
        <v>0</v>
      </c>
      <c r="C175" s="61">
        <v>1</v>
      </c>
      <c r="D175" s="61">
        <v>0</v>
      </c>
      <c r="E175" s="61">
        <v>0</v>
      </c>
      <c r="F175" s="61">
        <v>0</v>
      </c>
      <c r="G175" s="61">
        <v>0</v>
      </c>
      <c r="H175" s="61">
        <v>0</v>
      </c>
      <c r="I175" s="61">
        <v>0</v>
      </c>
      <c r="J175" s="62">
        <f t="shared" si="8"/>
        <v>1</v>
      </c>
      <c r="K175" s="62">
        <f t="shared" si="9"/>
        <v>0</v>
      </c>
      <c r="L175" s="62">
        <f t="shared" si="10"/>
        <v>0</v>
      </c>
      <c r="M175" s="62">
        <f t="shared" si="11"/>
        <v>0</v>
      </c>
      <c r="N175">
        <v>15</v>
      </c>
    </row>
    <row r="176" spans="1:14" s="33" customFormat="1" ht="15" customHeight="1" x14ac:dyDescent="0.2">
      <c r="A176" s="33" t="s">
        <v>85</v>
      </c>
      <c r="B176" s="61">
        <v>0</v>
      </c>
      <c r="C176" s="61">
        <v>0</v>
      </c>
      <c r="D176" s="61">
        <v>0</v>
      </c>
      <c r="E176" s="61">
        <v>0</v>
      </c>
      <c r="F176" s="61">
        <v>0</v>
      </c>
      <c r="G176" s="61">
        <v>0</v>
      </c>
      <c r="H176" s="61">
        <v>0</v>
      </c>
      <c r="I176" s="61">
        <v>0</v>
      </c>
      <c r="J176" s="62">
        <f t="shared" si="8"/>
        <v>0</v>
      </c>
      <c r="K176" s="62">
        <f t="shared" si="9"/>
        <v>0</v>
      </c>
      <c r="L176" s="62">
        <f t="shared" si="10"/>
        <v>0</v>
      </c>
      <c r="M176" s="62">
        <f t="shared" si="11"/>
        <v>0</v>
      </c>
      <c r="N176">
        <v>15</v>
      </c>
    </row>
    <row r="177" spans="1:14" s="33" customFormat="1" ht="15" customHeight="1" x14ac:dyDescent="0.2">
      <c r="A177" s="33" t="s">
        <v>86</v>
      </c>
      <c r="B177" s="61">
        <v>0</v>
      </c>
      <c r="C177" s="61">
        <v>0</v>
      </c>
      <c r="D177" s="61">
        <v>0</v>
      </c>
      <c r="E177" s="61">
        <v>0</v>
      </c>
      <c r="F177" s="61">
        <v>0</v>
      </c>
      <c r="G177" s="61">
        <v>0</v>
      </c>
      <c r="H177" s="61">
        <v>0</v>
      </c>
      <c r="I177" s="61">
        <v>0</v>
      </c>
      <c r="J177" s="62">
        <f t="shared" si="8"/>
        <v>0</v>
      </c>
      <c r="K177" s="62">
        <f t="shared" si="9"/>
        <v>0</v>
      </c>
      <c r="L177" s="62">
        <f t="shared" si="10"/>
        <v>0</v>
      </c>
      <c r="M177" s="62">
        <f t="shared" si="11"/>
        <v>0</v>
      </c>
      <c r="N177">
        <v>15</v>
      </c>
    </row>
    <row r="178" spans="1:14" s="33" customFormat="1" ht="15" customHeight="1" x14ac:dyDescent="0.2">
      <c r="A178" s="33" t="s">
        <v>87</v>
      </c>
      <c r="B178" s="61">
        <v>0</v>
      </c>
      <c r="C178" s="61">
        <v>0</v>
      </c>
      <c r="D178" s="61">
        <v>0</v>
      </c>
      <c r="E178" s="61">
        <v>0</v>
      </c>
      <c r="F178" s="61">
        <v>0</v>
      </c>
      <c r="G178" s="61">
        <v>0</v>
      </c>
      <c r="H178" s="61">
        <v>0</v>
      </c>
      <c r="I178" s="61">
        <v>0</v>
      </c>
      <c r="J178" s="62">
        <f t="shared" si="8"/>
        <v>0</v>
      </c>
      <c r="K178" s="62">
        <f t="shared" si="9"/>
        <v>0</v>
      </c>
      <c r="L178" s="62">
        <f t="shared" si="10"/>
        <v>0</v>
      </c>
      <c r="M178" s="62">
        <f t="shared" si="11"/>
        <v>0</v>
      </c>
      <c r="N178">
        <v>15</v>
      </c>
    </row>
    <row r="179" spans="1:14" s="33" customFormat="1" ht="15" customHeight="1" x14ac:dyDescent="0.2">
      <c r="A179" s="33" t="s">
        <v>88</v>
      </c>
      <c r="B179" s="61">
        <v>1</v>
      </c>
      <c r="C179" s="61">
        <v>0</v>
      </c>
      <c r="D179" s="61">
        <v>0</v>
      </c>
      <c r="E179" s="61">
        <v>1</v>
      </c>
      <c r="F179" s="61">
        <v>0</v>
      </c>
      <c r="G179" s="61">
        <v>0</v>
      </c>
      <c r="H179" s="61">
        <v>0</v>
      </c>
      <c r="I179" s="61">
        <v>0</v>
      </c>
      <c r="J179" s="62">
        <f t="shared" si="8"/>
        <v>0</v>
      </c>
      <c r="K179" s="62">
        <f t="shared" si="9"/>
        <v>1</v>
      </c>
      <c r="L179" s="62">
        <f t="shared" si="10"/>
        <v>1</v>
      </c>
      <c r="M179" s="62">
        <f t="shared" si="11"/>
        <v>0</v>
      </c>
      <c r="N179">
        <v>15</v>
      </c>
    </row>
    <row r="180" spans="1:14" s="33" customFormat="1" ht="15" customHeight="1" x14ac:dyDescent="0.2">
      <c r="A180" s="33" t="s">
        <v>89</v>
      </c>
      <c r="B180" s="61">
        <v>0</v>
      </c>
      <c r="C180" s="61">
        <v>0</v>
      </c>
      <c r="D180" s="61">
        <v>0</v>
      </c>
      <c r="E180" s="61">
        <v>0</v>
      </c>
      <c r="F180" s="61">
        <v>0</v>
      </c>
      <c r="G180" s="61">
        <v>0</v>
      </c>
      <c r="H180" s="61">
        <v>0</v>
      </c>
      <c r="I180" s="61">
        <v>0</v>
      </c>
      <c r="J180" s="62">
        <f t="shared" si="8"/>
        <v>0</v>
      </c>
      <c r="K180" s="62">
        <f t="shared" si="9"/>
        <v>0</v>
      </c>
      <c r="L180" s="62">
        <f t="shared" si="10"/>
        <v>0</v>
      </c>
      <c r="M180" s="62">
        <f t="shared" si="11"/>
        <v>0</v>
      </c>
      <c r="N180">
        <v>15</v>
      </c>
    </row>
    <row r="181" spans="1:14" s="33" customFormat="1" ht="15" customHeight="1" x14ac:dyDescent="0.2">
      <c r="A181" s="33" t="s">
        <v>90</v>
      </c>
      <c r="B181" s="61">
        <v>0</v>
      </c>
      <c r="C181" s="61">
        <v>0</v>
      </c>
      <c r="D181" s="61">
        <v>0</v>
      </c>
      <c r="E181" s="61">
        <v>0</v>
      </c>
      <c r="F181" s="61">
        <v>0</v>
      </c>
      <c r="G181" s="61">
        <v>0</v>
      </c>
      <c r="H181" s="61">
        <v>0</v>
      </c>
      <c r="I181" s="61">
        <v>0</v>
      </c>
      <c r="J181" s="62">
        <f t="shared" si="8"/>
        <v>0</v>
      </c>
      <c r="K181" s="62">
        <f t="shared" si="9"/>
        <v>0</v>
      </c>
      <c r="L181" s="62">
        <f t="shared" si="10"/>
        <v>0</v>
      </c>
      <c r="M181" s="62">
        <f t="shared" si="11"/>
        <v>0</v>
      </c>
      <c r="N181">
        <v>15</v>
      </c>
    </row>
    <row r="182" spans="1:14" s="33" customFormat="1" ht="15" customHeight="1" x14ac:dyDescent="0.2">
      <c r="A182" s="33" t="s">
        <v>91</v>
      </c>
      <c r="B182" s="61">
        <v>0</v>
      </c>
      <c r="C182" s="61">
        <v>0</v>
      </c>
      <c r="D182" s="61">
        <v>0</v>
      </c>
      <c r="E182" s="61">
        <v>0</v>
      </c>
      <c r="F182" s="61">
        <v>0</v>
      </c>
      <c r="G182" s="61">
        <v>0</v>
      </c>
      <c r="H182" s="61">
        <v>0</v>
      </c>
      <c r="I182" s="61">
        <v>0</v>
      </c>
      <c r="J182" s="62">
        <f t="shared" si="8"/>
        <v>0</v>
      </c>
      <c r="K182" s="62">
        <f t="shared" si="9"/>
        <v>0</v>
      </c>
      <c r="L182" s="62">
        <f t="shared" si="10"/>
        <v>0</v>
      </c>
      <c r="M182" s="62">
        <f t="shared" si="11"/>
        <v>0</v>
      </c>
      <c r="N182">
        <v>15</v>
      </c>
    </row>
    <row r="183" spans="1:14" s="33" customFormat="1" ht="15" customHeight="1" x14ac:dyDescent="0.2">
      <c r="A183" s="33" t="s">
        <v>92</v>
      </c>
      <c r="B183" s="61">
        <v>0</v>
      </c>
      <c r="C183" s="61">
        <v>0</v>
      </c>
      <c r="D183" s="61">
        <v>0</v>
      </c>
      <c r="E183" s="61">
        <v>0</v>
      </c>
      <c r="F183" s="61">
        <v>0</v>
      </c>
      <c r="G183" s="61">
        <v>0</v>
      </c>
      <c r="H183" s="61">
        <v>0</v>
      </c>
      <c r="I183" s="61">
        <v>0</v>
      </c>
      <c r="J183" s="62">
        <f t="shared" si="8"/>
        <v>0</v>
      </c>
      <c r="K183" s="62">
        <f t="shared" si="9"/>
        <v>0</v>
      </c>
      <c r="L183" s="62">
        <f t="shared" si="10"/>
        <v>0</v>
      </c>
      <c r="M183" s="62">
        <f t="shared" si="11"/>
        <v>0</v>
      </c>
      <c r="N183">
        <v>15</v>
      </c>
    </row>
    <row r="184" spans="1:14" s="33" customFormat="1" ht="15" customHeight="1" x14ac:dyDescent="0.2">
      <c r="A184" s="33" t="s">
        <v>93</v>
      </c>
      <c r="B184" s="61">
        <v>0</v>
      </c>
      <c r="C184" s="61">
        <v>0</v>
      </c>
      <c r="D184" s="61">
        <v>0</v>
      </c>
      <c r="E184" s="61">
        <v>0</v>
      </c>
      <c r="F184" s="61">
        <v>0</v>
      </c>
      <c r="G184" s="61">
        <v>0</v>
      </c>
      <c r="H184" s="61">
        <v>0</v>
      </c>
      <c r="I184" s="61">
        <v>0</v>
      </c>
      <c r="J184" s="62">
        <f t="shared" si="8"/>
        <v>0</v>
      </c>
      <c r="K184" s="62">
        <f t="shared" si="9"/>
        <v>0</v>
      </c>
      <c r="L184" s="62">
        <f t="shared" si="10"/>
        <v>0</v>
      </c>
      <c r="M184" s="62">
        <f t="shared" si="11"/>
        <v>0</v>
      </c>
      <c r="N184">
        <v>15</v>
      </c>
    </row>
    <row r="185" spans="1:14" s="33" customFormat="1" ht="15" customHeight="1" x14ac:dyDescent="0.2">
      <c r="A185" s="33" t="s">
        <v>94</v>
      </c>
      <c r="B185" s="61">
        <v>0</v>
      </c>
      <c r="C185" s="61">
        <v>0</v>
      </c>
      <c r="D185" s="61">
        <v>0</v>
      </c>
      <c r="E185" s="61">
        <v>0</v>
      </c>
      <c r="F185" s="61">
        <v>0</v>
      </c>
      <c r="G185" s="61">
        <v>0</v>
      </c>
      <c r="H185" s="61">
        <v>0</v>
      </c>
      <c r="I185" s="61">
        <v>0</v>
      </c>
      <c r="J185" s="62">
        <f t="shared" si="8"/>
        <v>0</v>
      </c>
      <c r="K185" s="62">
        <f t="shared" si="9"/>
        <v>0</v>
      </c>
      <c r="L185" s="62">
        <f t="shared" si="10"/>
        <v>0</v>
      </c>
      <c r="M185" s="62">
        <f t="shared" si="11"/>
        <v>0</v>
      </c>
      <c r="N185">
        <v>15</v>
      </c>
    </row>
    <row r="186" spans="1:14" s="33" customFormat="1" ht="15" customHeight="1" x14ac:dyDescent="0.2">
      <c r="A186" s="33" t="s">
        <v>95</v>
      </c>
      <c r="B186" s="61">
        <v>0</v>
      </c>
      <c r="C186" s="61">
        <v>0</v>
      </c>
      <c r="D186" s="61">
        <v>0</v>
      </c>
      <c r="E186" s="61">
        <v>0</v>
      </c>
      <c r="F186" s="61">
        <v>0</v>
      </c>
      <c r="G186" s="61">
        <v>0</v>
      </c>
      <c r="H186" s="61">
        <v>0</v>
      </c>
      <c r="I186" s="61">
        <v>0</v>
      </c>
      <c r="J186" s="62">
        <f t="shared" si="8"/>
        <v>0</v>
      </c>
      <c r="K186" s="62">
        <f t="shared" si="9"/>
        <v>0</v>
      </c>
      <c r="L186" s="62">
        <f t="shared" si="10"/>
        <v>0</v>
      </c>
      <c r="M186" s="62">
        <f t="shared" si="11"/>
        <v>0</v>
      </c>
      <c r="N186">
        <v>15</v>
      </c>
    </row>
    <row r="187" spans="1:14" s="33" customFormat="1" ht="15" customHeight="1" x14ac:dyDescent="0.2">
      <c r="A187" s="33" t="s">
        <v>96</v>
      </c>
      <c r="B187" s="61">
        <v>0</v>
      </c>
      <c r="C187" s="61">
        <v>0</v>
      </c>
      <c r="D187" s="61">
        <v>0</v>
      </c>
      <c r="E187" s="61">
        <v>0</v>
      </c>
      <c r="F187" s="61">
        <v>0</v>
      </c>
      <c r="G187" s="61">
        <v>0</v>
      </c>
      <c r="H187" s="61">
        <v>0</v>
      </c>
      <c r="I187" s="61">
        <v>0</v>
      </c>
      <c r="J187" s="62">
        <f t="shared" si="8"/>
        <v>0</v>
      </c>
      <c r="K187" s="62">
        <f t="shared" si="9"/>
        <v>0</v>
      </c>
      <c r="L187" s="62">
        <f t="shared" si="10"/>
        <v>0</v>
      </c>
      <c r="M187" s="62">
        <f t="shared" si="11"/>
        <v>0</v>
      </c>
      <c r="N187">
        <v>15</v>
      </c>
    </row>
    <row r="188" spans="1:14" ht="15" customHeight="1" x14ac:dyDescent="0.2">
      <c r="A188" t="s">
        <v>97</v>
      </c>
      <c r="B188" s="18">
        <v>0</v>
      </c>
      <c r="C188" s="18">
        <v>0</v>
      </c>
      <c r="D188" s="18">
        <v>0</v>
      </c>
      <c r="E188" s="59">
        <v>0</v>
      </c>
      <c r="F188" s="18">
        <v>0</v>
      </c>
      <c r="G188" s="18">
        <v>0</v>
      </c>
      <c r="H188" s="59">
        <v>0</v>
      </c>
      <c r="I188" s="18">
        <v>0</v>
      </c>
      <c r="J188" s="19">
        <f t="shared" si="8"/>
        <v>0</v>
      </c>
      <c r="K188" s="19">
        <f t="shared" si="9"/>
        <v>0</v>
      </c>
      <c r="L188" s="19">
        <f t="shared" si="10"/>
        <v>0</v>
      </c>
      <c r="M188" s="19">
        <f t="shared" si="11"/>
        <v>0</v>
      </c>
      <c r="N188">
        <v>15</v>
      </c>
    </row>
    <row r="189" spans="1:14" ht="15" customHeight="1" x14ac:dyDescent="0.2">
      <c r="A189" t="s">
        <v>98</v>
      </c>
      <c r="B189" s="18">
        <v>0</v>
      </c>
      <c r="C189" s="18">
        <v>0</v>
      </c>
      <c r="D189" s="18">
        <v>0</v>
      </c>
      <c r="E189" s="59">
        <v>0</v>
      </c>
      <c r="F189" s="18">
        <v>0</v>
      </c>
      <c r="G189" s="18">
        <v>0</v>
      </c>
      <c r="H189" s="59">
        <v>0</v>
      </c>
      <c r="I189" s="18">
        <v>0</v>
      </c>
      <c r="J189" s="19">
        <f t="shared" si="8"/>
        <v>0</v>
      </c>
      <c r="K189" s="19">
        <f t="shared" si="9"/>
        <v>0</v>
      </c>
      <c r="L189" s="19">
        <f t="shared" si="10"/>
        <v>0</v>
      </c>
      <c r="M189" s="19">
        <f t="shared" si="11"/>
        <v>0</v>
      </c>
      <c r="N189">
        <v>15</v>
      </c>
    </row>
    <row r="190" spans="1:14" ht="15" customHeight="1" x14ac:dyDescent="0.2">
      <c r="A190" t="s">
        <v>99</v>
      </c>
      <c r="B190" s="18">
        <v>0</v>
      </c>
      <c r="C190" s="18">
        <v>0</v>
      </c>
      <c r="D190" s="18">
        <v>0</v>
      </c>
      <c r="E190" s="59">
        <v>0</v>
      </c>
      <c r="F190" s="18">
        <v>0</v>
      </c>
      <c r="G190" s="18">
        <v>0</v>
      </c>
      <c r="H190" s="59">
        <v>0</v>
      </c>
      <c r="I190" s="18">
        <v>0</v>
      </c>
      <c r="J190" s="19">
        <f t="shared" si="8"/>
        <v>0</v>
      </c>
      <c r="K190" s="19">
        <f t="shared" si="9"/>
        <v>0</v>
      </c>
      <c r="L190" s="19">
        <f t="shared" si="10"/>
        <v>0</v>
      </c>
      <c r="M190" s="19">
        <f t="shared" si="11"/>
        <v>0</v>
      </c>
      <c r="N190">
        <v>15</v>
      </c>
    </row>
    <row r="191" spans="1:14" ht="15" customHeight="1" x14ac:dyDescent="0.2">
      <c r="A191" t="s">
        <v>100</v>
      </c>
      <c r="B191" s="18">
        <v>0</v>
      </c>
      <c r="C191" s="18">
        <v>0</v>
      </c>
      <c r="D191" s="18">
        <v>0</v>
      </c>
      <c r="E191" s="59">
        <v>0</v>
      </c>
      <c r="F191" s="18">
        <v>0</v>
      </c>
      <c r="G191" s="18">
        <v>0</v>
      </c>
      <c r="H191" s="59">
        <v>0</v>
      </c>
      <c r="I191" s="18">
        <v>0</v>
      </c>
      <c r="J191" s="19">
        <f t="shared" si="8"/>
        <v>0</v>
      </c>
      <c r="K191" s="19">
        <f t="shared" si="9"/>
        <v>0</v>
      </c>
      <c r="L191" s="19">
        <f t="shared" si="10"/>
        <v>0</v>
      </c>
      <c r="M191" s="19">
        <f t="shared" si="11"/>
        <v>0</v>
      </c>
      <c r="N191">
        <v>15</v>
      </c>
    </row>
    <row r="192" spans="1:14" ht="15" customHeight="1" x14ac:dyDescent="0.2">
      <c r="A192" t="s">
        <v>101</v>
      </c>
      <c r="B192" s="18">
        <v>0</v>
      </c>
      <c r="C192" s="18">
        <v>0</v>
      </c>
      <c r="D192" s="18">
        <v>0</v>
      </c>
      <c r="E192" s="59">
        <v>0</v>
      </c>
      <c r="F192" s="18">
        <v>1</v>
      </c>
      <c r="G192" s="18">
        <v>0</v>
      </c>
      <c r="H192" s="59">
        <v>0</v>
      </c>
      <c r="I192" s="18">
        <v>0</v>
      </c>
      <c r="J192" s="19">
        <f t="shared" si="8"/>
        <v>1</v>
      </c>
      <c r="K192" s="19">
        <f t="shared" si="9"/>
        <v>0</v>
      </c>
      <c r="L192" s="19">
        <f t="shared" si="10"/>
        <v>0</v>
      </c>
      <c r="M192" s="19">
        <f t="shared" si="11"/>
        <v>0</v>
      </c>
      <c r="N192">
        <v>15</v>
      </c>
    </row>
    <row r="193" spans="1:14" ht="15" customHeight="1" x14ac:dyDescent="0.2">
      <c r="A193" t="s">
        <v>102</v>
      </c>
      <c r="B193" s="18">
        <v>0</v>
      </c>
      <c r="C193" s="18">
        <v>0</v>
      </c>
      <c r="D193" s="18">
        <v>0</v>
      </c>
      <c r="E193" s="59">
        <v>0</v>
      </c>
      <c r="F193" s="18">
        <v>0</v>
      </c>
      <c r="G193" s="18">
        <v>0</v>
      </c>
      <c r="H193" s="59">
        <v>1</v>
      </c>
      <c r="I193" s="18">
        <v>0</v>
      </c>
      <c r="J193" s="19">
        <f t="shared" si="8"/>
        <v>0</v>
      </c>
      <c r="K193" s="19">
        <f t="shared" si="9"/>
        <v>0</v>
      </c>
      <c r="L193" s="19">
        <f t="shared" si="10"/>
        <v>1</v>
      </c>
      <c r="M193" s="19">
        <f t="shared" si="11"/>
        <v>0</v>
      </c>
      <c r="N193">
        <v>15</v>
      </c>
    </row>
    <row r="194" spans="1:14" ht="15" customHeight="1" x14ac:dyDescent="0.2">
      <c r="A194" t="s">
        <v>103</v>
      </c>
      <c r="B194" s="18">
        <v>0</v>
      </c>
      <c r="C194" s="18">
        <v>0</v>
      </c>
      <c r="D194" s="18">
        <v>0</v>
      </c>
      <c r="E194" s="59">
        <v>1</v>
      </c>
      <c r="F194" s="18">
        <v>0</v>
      </c>
      <c r="G194" s="18">
        <v>0</v>
      </c>
      <c r="H194" s="59">
        <v>0</v>
      </c>
      <c r="I194" s="18">
        <v>0</v>
      </c>
      <c r="J194" s="19">
        <f t="shared" si="8"/>
        <v>0</v>
      </c>
      <c r="K194" s="19">
        <f t="shared" si="9"/>
        <v>0</v>
      </c>
      <c r="L194" s="19">
        <f t="shared" si="10"/>
        <v>1</v>
      </c>
      <c r="M194" s="19">
        <f t="shared" si="11"/>
        <v>0</v>
      </c>
      <c r="N194">
        <v>15</v>
      </c>
    </row>
    <row r="195" spans="1:14" ht="15" customHeight="1" x14ac:dyDescent="0.2">
      <c r="A195" t="s">
        <v>104</v>
      </c>
      <c r="B195" s="18">
        <v>0</v>
      </c>
      <c r="C195" s="18">
        <v>0</v>
      </c>
      <c r="D195" s="18">
        <v>0</v>
      </c>
      <c r="E195" s="59">
        <v>0</v>
      </c>
      <c r="F195" s="18">
        <v>0</v>
      </c>
      <c r="G195" s="18">
        <v>0</v>
      </c>
      <c r="H195" s="59">
        <v>0</v>
      </c>
      <c r="I195" s="18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  <c r="N195">
        <v>15</v>
      </c>
    </row>
    <row r="196" spans="1:14" ht="15" customHeight="1" x14ac:dyDescent="0.2">
      <c r="A196" t="s">
        <v>105</v>
      </c>
      <c r="B196" s="18">
        <v>0</v>
      </c>
      <c r="C196" s="18">
        <v>0</v>
      </c>
      <c r="D196" s="18">
        <v>0</v>
      </c>
      <c r="E196" s="59">
        <v>0</v>
      </c>
      <c r="F196" s="18">
        <v>0</v>
      </c>
      <c r="G196" s="18">
        <v>0</v>
      </c>
      <c r="H196" s="59">
        <v>0</v>
      </c>
      <c r="I196" s="18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  <c r="N196">
        <v>15</v>
      </c>
    </row>
    <row r="197" spans="1:14" ht="15" customHeight="1" x14ac:dyDescent="0.2">
      <c r="A197" t="s">
        <v>106</v>
      </c>
      <c r="B197" s="18">
        <v>0</v>
      </c>
      <c r="C197" s="18">
        <v>0</v>
      </c>
      <c r="D197" s="18">
        <v>0</v>
      </c>
      <c r="E197" s="59">
        <v>0</v>
      </c>
      <c r="F197" s="18">
        <v>0</v>
      </c>
      <c r="G197" s="18">
        <v>0</v>
      </c>
      <c r="H197" s="59">
        <v>0</v>
      </c>
      <c r="I197" s="18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  <c r="N197">
        <v>15</v>
      </c>
    </row>
    <row r="198" spans="1:14" ht="15" customHeight="1" x14ac:dyDescent="0.2">
      <c r="A198" t="s">
        <v>107</v>
      </c>
      <c r="B198" s="18">
        <v>0</v>
      </c>
      <c r="C198" s="18">
        <v>0</v>
      </c>
      <c r="D198" s="18">
        <v>0</v>
      </c>
      <c r="E198" s="59">
        <v>0</v>
      </c>
      <c r="F198" s="18">
        <v>0</v>
      </c>
      <c r="G198" s="18">
        <v>0</v>
      </c>
      <c r="H198" s="59">
        <v>0</v>
      </c>
      <c r="I198" s="18">
        <v>0</v>
      </c>
      <c r="J198" s="19">
        <f t="shared" si="8"/>
        <v>0</v>
      </c>
      <c r="K198" s="19">
        <f t="shared" si="9"/>
        <v>0</v>
      </c>
      <c r="L198" s="19">
        <f t="shared" si="10"/>
        <v>0</v>
      </c>
      <c r="M198" s="19">
        <f t="shared" si="11"/>
        <v>0</v>
      </c>
      <c r="N198">
        <v>15</v>
      </c>
    </row>
    <row r="199" spans="1:14" ht="15" customHeight="1" x14ac:dyDescent="0.2">
      <c r="A199" t="s">
        <v>108</v>
      </c>
      <c r="B199" s="18">
        <v>0</v>
      </c>
      <c r="C199" s="18">
        <v>0</v>
      </c>
      <c r="D199" s="18">
        <v>0</v>
      </c>
      <c r="E199" s="59">
        <v>0</v>
      </c>
      <c r="F199" s="18">
        <v>0</v>
      </c>
      <c r="G199" s="18">
        <v>0</v>
      </c>
      <c r="H199" s="59">
        <v>0</v>
      </c>
      <c r="I199" s="18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  <c r="N199">
        <v>15</v>
      </c>
    </row>
    <row r="200" spans="1:14" ht="15" customHeight="1" x14ac:dyDescent="0.2">
      <c r="A200" t="s">
        <v>109</v>
      </c>
      <c r="B200" s="18">
        <v>0</v>
      </c>
      <c r="C200" s="18">
        <v>0</v>
      </c>
      <c r="D200" s="18">
        <v>0</v>
      </c>
      <c r="E200" s="59">
        <v>0</v>
      </c>
      <c r="F200" s="18">
        <v>0</v>
      </c>
      <c r="G200" s="18">
        <v>0</v>
      </c>
      <c r="H200" s="59">
        <v>0</v>
      </c>
      <c r="I200" s="18">
        <v>0</v>
      </c>
      <c r="J200" s="19">
        <f t="shared" si="8"/>
        <v>0</v>
      </c>
      <c r="K200" s="19">
        <f t="shared" si="9"/>
        <v>0</v>
      </c>
      <c r="L200" s="19">
        <f t="shared" si="10"/>
        <v>0</v>
      </c>
      <c r="M200" s="19">
        <f t="shared" si="11"/>
        <v>0</v>
      </c>
      <c r="N200">
        <v>15</v>
      </c>
    </row>
    <row r="201" spans="1:14" ht="15" customHeight="1" x14ac:dyDescent="0.2">
      <c r="A201" t="s">
        <v>110</v>
      </c>
      <c r="B201" s="18">
        <v>0</v>
      </c>
      <c r="C201" s="18">
        <v>0</v>
      </c>
      <c r="D201" s="18">
        <v>0</v>
      </c>
      <c r="E201" s="59">
        <v>0</v>
      </c>
      <c r="F201" s="18">
        <v>0</v>
      </c>
      <c r="G201" s="18">
        <v>0</v>
      </c>
      <c r="H201" s="59">
        <v>0</v>
      </c>
      <c r="I201" s="18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  <c r="N201">
        <v>15</v>
      </c>
    </row>
    <row r="202" spans="1:14" ht="15" customHeight="1" x14ac:dyDescent="0.2">
      <c r="B202" s="19">
        <f t="shared" ref="B202:N202" si="12">SUM(B10:B201)</f>
        <v>6</v>
      </c>
      <c r="C202" s="19">
        <f t="shared" si="12"/>
        <v>7</v>
      </c>
      <c r="D202" s="19">
        <f t="shared" si="12"/>
        <v>2</v>
      </c>
      <c r="E202" s="60">
        <f t="shared" si="12"/>
        <v>7</v>
      </c>
      <c r="F202" s="19">
        <f t="shared" si="12"/>
        <v>8</v>
      </c>
      <c r="G202" s="19">
        <f t="shared" si="12"/>
        <v>4</v>
      </c>
      <c r="H202" s="60">
        <f t="shared" si="12"/>
        <v>2</v>
      </c>
      <c r="I202" s="19">
        <f t="shared" si="12"/>
        <v>1</v>
      </c>
      <c r="J202" s="20">
        <f t="shared" si="12"/>
        <v>15</v>
      </c>
      <c r="K202" s="20">
        <f t="shared" si="12"/>
        <v>10</v>
      </c>
      <c r="L202" s="20">
        <f t="shared" si="12"/>
        <v>9</v>
      </c>
      <c r="M202" s="20">
        <f t="shared" si="12"/>
        <v>3</v>
      </c>
      <c r="N202" s="80">
        <f t="shared" si="12"/>
        <v>2880</v>
      </c>
    </row>
    <row r="204" spans="1:14" ht="15" customHeight="1" x14ac:dyDescent="0.2">
      <c r="K204" s="88" t="s">
        <v>212</v>
      </c>
      <c r="L204" s="6">
        <f>SUM(L36:L91,L132:L187)</f>
        <v>2</v>
      </c>
      <c r="N204" s="28">
        <f>SUM(N36:N91,N132:N187)/60</f>
        <v>28</v>
      </c>
    </row>
    <row r="205" spans="1:14" ht="15" customHeight="1" x14ac:dyDescent="0.2">
      <c r="K205" s="88" t="s">
        <v>213</v>
      </c>
      <c r="L205" s="6">
        <f>L202-L204</f>
        <v>7</v>
      </c>
      <c r="N205" s="28">
        <f>48-N204</f>
        <v>20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pane xSplit="1" ySplit="9" topLeftCell="B193" activePane="bottomRight" state="frozen"/>
      <selection pane="topRight" activeCell="B1" sqref="B1"/>
      <selection pane="bottomLeft" activeCell="A10" sqref="A10"/>
      <selection pane="bottomRight" activeCell="L132" sqref="L132"/>
    </sheetView>
  </sheetViews>
  <sheetFormatPr defaultColWidth="12.140625" defaultRowHeight="15" customHeight="1" x14ac:dyDescent="0.2"/>
  <cols>
    <col min="1" max="1" width="12.140625" bestFit="1" customWidth="1"/>
    <col min="2" max="5" width="10.42578125" customWidth="1"/>
    <col min="6" max="9" width="9.85546875" customWidth="1"/>
    <col min="10" max="10" width="10.42578125" customWidth="1"/>
    <col min="11" max="11" width="10.7109375" customWidth="1"/>
  </cols>
  <sheetData>
    <row r="1" spans="1:13" ht="15" customHeight="1" x14ac:dyDescent="0.3">
      <c r="A1" s="111" t="s">
        <v>0</v>
      </c>
      <c r="B1" s="111"/>
      <c r="C1" s="112" t="s">
        <v>137</v>
      </c>
      <c r="D1" s="112"/>
      <c r="E1" s="112"/>
      <c r="F1" s="112"/>
      <c r="G1" s="112"/>
      <c r="H1" s="112"/>
      <c r="I1" s="112"/>
    </row>
    <row r="2" spans="1:13" ht="15" customHeight="1" x14ac:dyDescent="0.3">
      <c r="A2" s="111" t="s">
        <v>2</v>
      </c>
      <c r="B2" s="111"/>
      <c r="C2" s="112" t="s">
        <v>132</v>
      </c>
      <c r="D2" s="112"/>
      <c r="E2" s="112"/>
      <c r="F2" s="112"/>
      <c r="G2" s="112"/>
      <c r="H2" s="112"/>
      <c r="I2" s="112"/>
    </row>
    <row r="3" spans="1:13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0" customHeight="1" x14ac:dyDescent="0.3">
      <c r="A7" s="2" t="s">
        <v>8</v>
      </c>
      <c r="B7" s="3" t="s">
        <v>138</v>
      </c>
      <c r="C7" s="3" t="s">
        <v>139</v>
      </c>
      <c r="D7" s="3" t="s">
        <v>133</v>
      </c>
      <c r="E7" s="3" t="s">
        <v>134</v>
      </c>
      <c r="F7" s="3" t="s">
        <v>138</v>
      </c>
      <c r="G7" s="3" t="s">
        <v>139</v>
      </c>
      <c r="H7" s="3" t="s">
        <v>133</v>
      </c>
      <c r="I7" s="3" t="s">
        <v>134</v>
      </c>
    </row>
    <row r="8" spans="1:13" s="1" customFormat="1" ht="15" customHeight="1" x14ac:dyDescent="0.3">
      <c r="A8" s="2" t="s">
        <v>13</v>
      </c>
      <c r="B8" s="4" t="s">
        <v>128</v>
      </c>
      <c r="C8" s="4" t="s">
        <v>128</v>
      </c>
      <c r="D8" s="4" t="s">
        <v>128</v>
      </c>
      <c r="E8" s="4" t="s">
        <v>128</v>
      </c>
      <c r="F8" s="4" t="s">
        <v>129</v>
      </c>
      <c r="G8" s="4" t="s">
        <v>129</v>
      </c>
      <c r="H8" s="4" t="s">
        <v>129</v>
      </c>
      <c r="I8" s="4" t="s">
        <v>129</v>
      </c>
    </row>
    <row r="9" spans="1:13" s="1" customFormat="1" ht="30.75" customHeight="1" x14ac:dyDescent="0.2">
      <c r="B9" s="16" t="s">
        <v>120</v>
      </c>
      <c r="C9" s="16" t="s">
        <v>121</v>
      </c>
      <c r="D9" s="16" t="s">
        <v>111</v>
      </c>
      <c r="E9" s="16" t="s">
        <v>113</v>
      </c>
      <c r="F9" s="16" t="s">
        <v>121</v>
      </c>
      <c r="G9" s="16" t="s">
        <v>120</v>
      </c>
      <c r="H9" s="16" t="s">
        <v>113</v>
      </c>
      <c r="I9" s="16" t="s">
        <v>111</v>
      </c>
      <c r="J9" s="17" t="s">
        <v>113</v>
      </c>
      <c r="K9" s="17" t="s">
        <v>111</v>
      </c>
      <c r="L9" s="92" t="s">
        <v>121</v>
      </c>
      <c r="M9" s="16" t="s">
        <v>120</v>
      </c>
    </row>
    <row r="10" spans="1:13" ht="15" customHeight="1" x14ac:dyDescent="0.2">
      <c r="A10" t="s">
        <v>5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9">
        <f>SUM(E10,H10)</f>
        <v>0</v>
      </c>
      <c r="K10" s="19">
        <f>SUM(D10,I10)</f>
        <v>0</v>
      </c>
      <c r="L10" s="19">
        <f>SUM(C10,F10)</f>
        <v>0</v>
      </c>
      <c r="M10" s="19">
        <f>SUM(B10,G10)</f>
        <v>0</v>
      </c>
    </row>
    <row r="11" spans="1:13" ht="15" customHeight="1" x14ac:dyDescent="0.2">
      <c r="A11" t="s">
        <v>16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9">
        <f t="shared" ref="J11:J74" si="0">SUM(E11,H11)</f>
        <v>0</v>
      </c>
      <c r="K11" s="19">
        <f t="shared" ref="K11:K74" si="1">SUM(D11,I11)</f>
        <v>0</v>
      </c>
      <c r="L11" s="19">
        <f t="shared" ref="L11:L74" si="2">SUM(C11,F11)</f>
        <v>0</v>
      </c>
      <c r="M11" s="19">
        <f t="shared" ref="M11:M74" si="3">SUM(B11,G11)</f>
        <v>0</v>
      </c>
    </row>
    <row r="12" spans="1:13" ht="15" customHeight="1" x14ac:dyDescent="0.2">
      <c r="A12" t="s">
        <v>17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">
      <c r="A13" t="s">
        <v>18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">
      <c r="A14" t="s">
        <v>19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">
      <c r="A15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0</v>
      </c>
    </row>
    <row r="16" spans="1:13" ht="15" customHeight="1" x14ac:dyDescent="0.2">
      <c r="A16" t="s">
        <v>21</v>
      </c>
      <c r="B16" s="18">
        <v>0</v>
      </c>
      <c r="C16" s="18">
        <v>1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>
        <f t="shared" si="0"/>
        <v>0</v>
      </c>
      <c r="K16" s="19">
        <f t="shared" si="1"/>
        <v>0</v>
      </c>
      <c r="L16" s="19">
        <f t="shared" si="2"/>
        <v>1</v>
      </c>
      <c r="M16" s="19">
        <f t="shared" si="3"/>
        <v>0</v>
      </c>
    </row>
    <row r="17" spans="1:13" ht="15" customHeight="1" x14ac:dyDescent="0.2">
      <c r="A17" t="s">
        <v>22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">
      <c r="A18" t="s">
        <v>23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">
      <c r="A19" t="s">
        <v>24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">
      <c r="A20" t="s">
        <v>25</v>
      </c>
      <c r="B20" s="18">
        <v>0</v>
      </c>
      <c r="C20" s="18">
        <v>0</v>
      </c>
      <c r="D20" s="18">
        <v>0</v>
      </c>
      <c r="E20" s="18">
        <v>0</v>
      </c>
      <c r="F20" s="18">
        <v>1</v>
      </c>
      <c r="G20" s="18">
        <v>0</v>
      </c>
      <c r="H20" s="18">
        <v>0</v>
      </c>
      <c r="I20" s="18">
        <v>0</v>
      </c>
      <c r="J20" s="19">
        <f t="shared" si="0"/>
        <v>0</v>
      </c>
      <c r="K20" s="19">
        <f t="shared" si="1"/>
        <v>0</v>
      </c>
      <c r="L20" s="19">
        <f t="shared" si="2"/>
        <v>1</v>
      </c>
      <c r="M20" s="19">
        <f t="shared" si="3"/>
        <v>0</v>
      </c>
    </row>
    <row r="21" spans="1:13" ht="15" customHeight="1" x14ac:dyDescent="0.2">
      <c r="A21" t="s">
        <v>26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">
      <c r="A22" t="s">
        <v>27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">
      <c r="A23" t="s">
        <v>28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">
      <c r="A24" t="s">
        <v>29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">
      <c r="A25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">
      <c r="A26" t="s">
        <v>31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">
      <c r="A2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">
      <c r="A28" t="s">
        <v>33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">
      <c r="A29" t="s">
        <v>34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">
      <c r="A30" t="s">
        <v>35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9">
        <f t="shared" si="0"/>
        <v>0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">
      <c r="A31" t="s">
        <v>36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">
      <c r="A32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9">
        <f t="shared" si="0"/>
        <v>0</v>
      </c>
      <c r="K32" s="19">
        <f t="shared" si="1"/>
        <v>0</v>
      </c>
      <c r="L32" s="19">
        <f t="shared" si="2"/>
        <v>1</v>
      </c>
      <c r="M32" s="19">
        <f t="shared" si="3"/>
        <v>0</v>
      </c>
    </row>
    <row r="33" spans="1:13" ht="15" customHeight="1" x14ac:dyDescent="0.2">
      <c r="A33" t="s">
        <v>38</v>
      </c>
      <c r="B33" s="18">
        <v>0</v>
      </c>
      <c r="C33" s="18">
        <v>0</v>
      </c>
      <c r="D33" s="18">
        <v>0</v>
      </c>
      <c r="E33" s="18">
        <v>0</v>
      </c>
      <c r="F33" s="18">
        <v>1</v>
      </c>
      <c r="G33" s="18">
        <v>0</v>
      </c>
      <c r="H33" s="18">
        <v>0</v>
      </c>
      <c r="I33" s="18">
        <v>0</v>
      </c>
      <c r="J33" s="19">
        <f t="shared" si="0"/>
        <v>0</v>
      </c>
      <c r="K33" s="19">
        <f t="shared" si="1"/>
        <v>0</v>
      </c>
      <c r="L33" s="19">
        <f t="shared" si="2"/>
        <v>1</v>
      </c>
      <c r="M33" s="19">
        <f t="shared" si="3"/>
        <v>0</v>
      </c>
    </row>
    <row r="34" spans="1:13" ht="15" customHeight="1" x14ac:dyDescent="0.2">
      <c r="A34" t="s">
        <v>39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">
      <c r="A35" t="s">
        <v>40</v>
      </c>
      <c r="B35" s="18">
        <v>0</v>
      </c>
      <c r="C35" s="18">
        <v>0</v>
      </c>
      <c r="D35" s="18">
        <v>0</v>
      </c>
      <c r="E35" s="18">
        <v>0</v>
      </c>
      <c r="F35" s="18">
        <v>2</v>
      </c>
      <c r="G35" s="18">
        <v>0</v>
      </c>
      <c r="H35" s="18">
        <v>1</v>
      </c>
      <c r="I35" s="18">
        <v>0</v>
      </c>
      <c r="J35" s="19">
        <f t="shared" si="0"/>
        <v>1</v>
      </c>
      <c r="K35" s="19">
        <f t="shared" si="1"/>
        <v>0</v>
      </c>
      <c r="L35" s="19">
        <f t="shared" si="2"/>
        <v>2</v>
      </c>
      <c r="M35" s="19">
        <f t="shared" si="3"/>
        <v>0</v>
      </c>
    </row>
    <row r="36" spans="1:13" ht="15" customHeight="1" x14ac:dyDescent="0.2">
      <c r="A36" t="s">
        <v>41</v>
      </c>
      <c r="B36" s="18">
        <v>0</v>
      </c>
      <c r="C36" s="18">
        <v>0</v>
      </c>
      <c r="D36" s="18">
        <v>0</v>
      </c>
      <c r="E36" s="18">
        <v>1</v>
      </c>
      <c r="F36" s="18">
        <v>0</v>
      </c>
      <c r="G36" s="18">
        <v>0</v>
      </c>
      <c r="H36" s="18">
        <v>0</v>
      </c>
      <c r="I36" s="18">
        <v>1</v>
      </c>
      <c r="J36" s="19">
        <f t="shared" si="0"/>
        <v>1</v>
      </c>
      <c r="K36" s="19">
        <f t="shared" si="1"/>
        <v>1</v>
      </c>
      <c r="L36" s="19">
        <f t="shared" si="2"/>
        <v>0</v>
      </c>
      <c r="M36" s="19">
        <f t="shared" si="3"/>
        <v>0</v>
      </c>
    </row>
    <row r="37" spans="1:13" ht="15" customHeight="1" x14ac:dyDescent="0.2">
      <c r="A37" t="s">
        <v>42</v>
      </c>
      <c r="B37" s="18">
        <v>0</v>
      </c>
      <c r="C37" s="18">
        <v>2</v>
      </c>
      <c r="D37" s="18">
        <v>0</v>
      </c>
      <c r="E37" s="18">
        <v>0</v>
      </c>
      <c r="F37" s="18">
        <v>3</v>
      </c>
      <c r="G37" s="18">
        <v>0</v>
      </c>
      <c r="H37" s="18">
        <v>0</v>
      </c>
      <c r="I37" s="18">
        <v>0</v>
      </c>
      <c r="J37" s="19">
        <f t="shared" si="0"/>
        <v>0</v>
      </c>
      <c r="K37" s="19">
        <f t="shared" si="1"/>
        <v>0</v>
      </c>
      <c r="L37" s="19">
        <f t="shared" si="2"/>
        <v>5</v>
      </c>
      <c r="M37" s="19">
        <f t="shared" si="3"/>
        <v>0</v>
      </c>
    </row>
    <row r="38" spans="1:13" ht="15" customHeight="1" x14ac:dyDescent="0.2">
      <c r="A38" t="s">
        <v>43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">
      <c r="A39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">
      <c r="A40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1</v>
      </c>
      <c r="J40" s="19">
        <f t="shared" si="0"/>
        <v>0</v>
      </c>
      <c r="K40" s="19">
        <f t="shared" si="1"/>
        <v>1</v>
      </c>
      <c r="L40" s="19">
        <f t="shared" si="2"/>
        <v>0</v>
      </c>
      <c r="M40" s="19">
        <f t="shared" si="3"/>
        <v>0</v>
      </c>
    </row>
    <row r="41" spans="1:13" ht="15" customHeight="1" x14ac:dyDescent="0.2">
      <c r="A41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9">
        <f t="shared" si="0"/>
        <v>0</v>
      </c>
      <c r="K41" s="19">
        <f t="shared" si="1"/>
        <v>0</v>
      </c>
      <c r="L41" s="19">
        <f t="shared" si="2"/>
        <v>0</v>
      </c>
      <c r="M41" s="19">
        <f t="shared" si="3"/>
        <v>0</v>
      </c>
    </row>
    <row r="42" spans="1:13" ht="15" customHeight="1" x14ac:dyDescent="0.2">
      <c r="A42" t="s">
        <v>47</v>
      </c>
      <c r="B42" s="18">
        <v>0</v>
      </c>
      <c r="C42" s="18">
        <v>0</v>
      </c>
      <c r="D42" s="18">
        <v>0</v>
      </c>
      <c r="E42" s="18">
        <v>1</v>
      </c>
      <c r="F42" s="18">
        <v>0</v>
      </c>
      <c r="G42" s="18">
        <v>0</v>
      </c>
      <c r="H42" s="18">
        <v>0</v>
      </c>
      <c r="I42" s="18">
        <v>0</v>
      </c>
      <c r="J42" s="19">
        <f t="shared" si="0"/>
        <v>1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">
      <c r="A43" t="s">
        <v>48</v>
      </c>
      <c r="B43" s="18">
        <v>0</v>
      </c>
      <c r="C43" s="18">
        <v>1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9">
        <f t="shared" si="0"/>
        <v>0</v>
      </c>
      <c r="K43" s="19">
        <f t="shared" si="1"/>
        <v>0</v>
      </c>
      <c r="L43" s="19">
        <f t="shared" si="2"/>
        <v>1</v>
      </c>
      <c r="M43" s="19">
        <f t="shared" si="3"/>
        <v>0</v>
      </c>
    </row>
    <row r="44" spans="1:13" ht="15" customHeight="1" x14ac:dyDescent="0.2">
      <c r="A44" t="s">
        <v>49</v>
      </c>
      <c r="B44" s="18">
        <v>0</v>
      </c>
      <c r="C44" s="18">
        <v>1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2</v>
      </c>
      <c r="J44" s="19">
        <f t="shared" si="0"/>
        <v>0</v>
      </c>
      <c r="K44" s="19">
        <f t="shared" si="1"/>
        <v>2</v>
      </c>
      <c r="L44" s="19">
        <f t="shared" si="2"/>
        <v>1</v>
      </c>
      <c r="M44" s="19">
        <f t="shared" si="3"/>
        <v>0</v>
      </c>
    </row>
    <row r="45" spans="1:13" ht="15" customHeight="1" x14ac:dyDescent="0.2">
      <c r="A45" t="s">
        <v>50</v>
      </c>
      <c r="B45" s="18">
        <v>0</v>
      </c>
      <c r="C45" s="18">
        <v>4</v>
      </c>
      <c r="D45" s="18">
        <v>0</v>
      </c>
      <c r="E45" s="18">
        <v>3</v>
      </c>
      <c r="F45" s="18">
        <v>0</v>
      </c>
      <c r="G45" s="18">
        <v>0</v>
      </c>
      <c r="H45" s="18">
        <v>0</v>
      </c>
      <c r="I45" s="18">
        <v>0</v>
      </c>
      <c r="J45" s="19">
        <f t="shared" si="0"/>
        <v>3</v>
      </c>
      <c r="K45" s="19">
        <f t="shared" si="1"/>
        <v>0</v>
      </c>
      <c r="L45" s="19">
        <f t="shared" si="2"/>
        <v>4</v>
      </c>
      <c r="M45" s="19">
        <f t="shared" si="3"/>
        <v>0</v>
      </c>
    </row>
    <row r="46" spans="1:13" ht="15" customHeight="1" x14ac:dyDescent="0.2">
      <c r="A46" t="s">
        <v>51</v>
      </c>
      <c r="B46" s="18">
        <v>0</v>
      </c>
      <c r="C46" s="18">
        <v>0</v>
      </c>
      <c r="D46" s="18">
        <v>0</v>
      </c>
      <c r="E46" s="18">
        <v>1</v>
      </c>
      <c r="F46" s="18">
        <v>0</v>
      </c>
      <c r="G46" s="18">
        <v>0</v>
      </c>
      <c r="H46" s="18">
        <v>0</v>
      </c>
      <c r="I46" s="18">
        <v>0</v>
      </c>
      <c r="J46" s="19">
        <f t="shared" si="0"/>
        <v>1</v>
      </c>
      <c r="K46" s="19">
        <f t="shared" si="1"/>
        <v>0</v>
      </c>
      <c r="L46" s="19">
        <f t="shared" si="2"/>
        <v>0</v>
      </c>
      <c r="M46" s="19">
        <f t="shared" si="3"/>
        <v>0</v>
      </c>
    </row>
    <row r="47" spans="1:13" ht="15" customHeight="1" x14ac:dyDescent="0.2">
      <c r="A47" t="s">
        <v>52</v>
      </c>
      <c r="B47" s="18">
        <v>0</v>
      </c>
      <c r="C47" s="18">
        <v>0</v>
      </c>
      <c r="D47" s="18">
        <v>0</v>
      </c>
      <c r="E47" s="18">
        <v>0</v>
      </c>
      <c r="F47" s="18">
        <v>1</v>
      </c>
      <c r="G47" s="18">
        <v>0</v>
      </c>
      <c r="H47" s="18">
        <v>0</v>
      </c>
      <c r="I47" s="18">
        <v>0</v>
      </c>
      <c r="J47" s="19">
        <f t="shared" si="0"/>
        <v>0</v>
      </c>
      <c r="K47" s="19">
        <f t="shared" si="1"/>
        <v>0</v>
      </c>
      <c r="L47" s="19">
        <f t="shared" si="2"/>
        <v>1</v>
      </c>
      <c r="M47" s="19">
        <f t="shared" si="3"/>
        <v>0</v>
      </c>
    </row>
    <row r="48" spans="1:13" ht="15" customHeight="1" x14ac:dyDescent="0.2">
      <c r="A48" t="s">
        <v>53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2</v>
      </c>
      <c r="J48" s="19">
        <f t="shared" si="0"/>
        <v>0</v>
      </c>
      <c r="K48" s="19">
        <f t="shared" si="1"/>
        <v>2</v>
      </c>
      <c r="L48" s="19">
        <f t="shared" si="2"/>
        <v>0</v>
      </c>
      <c r="M48" s="19">
        <f t="shared" si="3"/>
        <v>0</v>
      </c>
    </row>
    <row r="49" spans="1:13" ht="15" customHeight="1" x14ac:dyDescent="0.2">
      <c r="A49" t="s">
        <v>54</v>
      </c>
      <c r="B49" s="18">
        <v>0</v>
      </c>
      <c r="C49" s="18">
        <v>0</v>
      </c>
      <c r="D49" s="18">
        <v>0</v>
      </c>
      <c r="E49" s="18">
        <v>0</v>
      </c>
      <c r="F49" s="18">
        <v>1</v>
      </c>
      <c r="G49" s="18">
        <v>0</v>
      </c>
      <c r="H49" s="18">
        <v>0</v>
      </c>
      <c r="I49" s="18">
        <v>0</v>
      </c>
      <c r="J49" s="19">
        <f t="shared" si="0"/>
        <v>0</v>
      </c>
      <c r="K49" s="19">
        <f t="shared" si="1"/>
        <v>0</v>
      </c>
      <c r="L49" s="19">
        <f t="shared" si="2"/>
        <v>1</v>
      </c>
      <c r="M49" s="19">
        <f t="shared" si="3"/>
        <v>0</v>
      </c>
    </row>
    <row r="50" spans="1:13" ht="15" customHeight="1" x14ac:dyDescent="0.2">
      <c r="A50" t="s">
        <v>55</v>
      </c>
      <c r="B50" s="18">
        <v>0</v>
      </c>
      <c r="C50" s="18">
        <v>1</v>
      </c>
      <c r="D50" s="18">
        <v>0</v>
      </c>
      <c r="E50" s="18">
        <v>0</v>
      </c>
      <c r="F50" s="18">
        <v>0</v>
      </c>
      <c r="G50" s="18">
        <v>0</v>
      </c>
      <c r="H50" s="18">
        <v>1</v>
      </c>
      <c r="I50" s="18">
        <v>1</v>
      </c>
      <c r="J50" s="19">
        <f t="shared" si="0"/>
        <v>1</v>
      </c>
      <c r="K50" s="19">
        <f t="shared" si="1"/>
        <v>1</v>
      </c>
      <c r="L50" s="19">
        <f t="shared" si="2"/>
        <v>1</v>
      </c>
      <c r="M50" s="19">
        <f t="shared" si="3"/>
        <v>0</v>
      </c>
    </row>
    <row r="51" spans="1:13" ht="15" customHeight="1" x14ac:dyDescent="0.2">
      <c r="A51" t="s">
        <v>56</v>
      </c>
      <c r="B51" s="18">
        <v>0</v>
      </c>
      <c r="C51" s="18">
        <v>1</v>
      </c>
      <c r="D51" s="18">
        <v>0</v>
      </c>
      <c r="E51" s="18">
        <v>1</v>
      </c>
      <c r="F51" s="18">
        <v>0</v>
      </c>
      <c r="G51" s="18">
        <v>0</v>
      </c>
      <c r="H51" s="18">
        <v>0</v>
      </c>
      <c r="I51" s="18">
        <v>1</v>
      </c>
      <c r="J51" s="19">
        <f t="shared" si="0"/>
        <v>1</v>
      </c>
      <c r="K51" s="19">
        <f t="shared" si="1"/>
        <v>1</v>
      </c>
      <c r="L51" s="19">
        <f t="shared" si="2"/>
        <v>1</v>
      </c>
      <c r="M51" s="19">
        <f t="shared" si="3"/>
        <v>0</v>
      </c>
    </row>
    <row r="52" spans="1:13" ht="15" customHeight="1" x14ac:dyDescent="0.2">
      <c r="A52" t="s">
        <v>57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9">
        <f t="shared" si="0"/>
        <v>0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">
      <c r="A53" t="s">
        <v>58</v>
      </c>
      <c r="B53" s="18">
        <v>0</v>
      </c>
      <c r="C53" s="18">
        <v>1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9">
        <f t="shared" si="0"/>
        <v>0</v>
      </c>
      <c r="K53" s="19">
        <f t="shared" si="1"/>
        <v>0</v>
      </c>
      <c r="L53" s="19">
        <f t="shared" si="2"/>
        <v>1</v>
      </c>
      <c r="M53" s="19">
        <f t="shared" si="3"/>
        <v>0</v>
      </c>
    </row>
    <row r="54" spans="1:13" ht="15" customHeight="1" x14ac:dyDescent="0.2">
      <c r="A54" t="s">
        <v>59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9">
        <f t="shared" si="0"/>
        <v>0</v>
      </c>
      <c r="K54" s="19">
        <f t="shared" si="1"/>
        <v>0</v>
      </c>
      <c r="L54" s="19">
        <f t="shared" si="2"/>
        <v>0</v>
      </c>
      <c r="M54" s="19">
        <f t="shared" si="3"/>
        <v>0</v>
      </c>
    </row>
    <row r="55" spans="1:13" ht="15" customHeight="1" x14ac:dyDescent="0.2">
      <c r="A55" t="s">
        <v>60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9">
        <f t="shared" si="0"/>
        <v>0</v>
      </c>
      <c r="K55" s="19">
        <f t="shared" si="1"/>
        <v>0</v>
      </c>
      <c r="L55" s="19">
        <f t="shared" si="2"/>
        <v>0</v>
      </c>
      <c r="M55" s="19">
        <f t="shared" si="3"/>
        <v>0</v>
      </c>
    </row>
    <row r="56" spans="1:13" ht="15" customHeight="1" x14ac:dyDescent="0.2">
      <c r="A56" t="s">
        <v>61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9">
        <f t="shared" si="0"/>
        <v>0</v>
      </c>
      <c r="K56" s="19">
        <f t="shared" si="1"/>
        <v>0</v>
      </c>
      <c r="L56" s="19">
        <f t="shared" si="2"/>
        <v>0</v>
      </c>
      <c r="M56" s="19">
        <f t="shared" si="3"/>
        <v>0</v>
      </c>
    </row>
    <row r="57" spans="1:13" ht="15" customHeight="1" x14ac:dyDescent="0.2">
      <c r="A57" t="s">
        <v>62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9">
        <f t="shared" si="0"/>
        <v>0</v>
      </c>
      <c r="K57" s="19">
        <f t="shared" si="1"/>
        <v>0</v>
      </c>
      <c r="L57" s="19">
        <f t="shared" si="2"/>
        <v>0</v>
      </c>
      <c r="M57" s="19">
        <f t="shared" si="3"/>
        <v>0</v>
      </c>
    </row>
    <row r="58" spans="1:13" ht="15" customHeight="1" x14ac:dyDescent="0.2">
      <c r="A58" t="s">
        <v>63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9">
        <f t="shared" si="0"/>
        <v>0</v>
      </c>
      <c r="K58" s="19">
        <f t="shared" si="1"/>
        <v>0</v>
      </c>
      <c r="L58" s="19">
        <f t="shared" si="2"/>
        <v>0</v>
      </c>
      <c r="M58" s="19">
        <f t="shared" si="3"/>
        <v>0</v>
      </c>
    </row>
    <row r="59" spans="1:13" ht="15" customHeight="1" x14ac:dyDescent="0.2">
      <c r="A59" t="s">
        <v>64</v>
      </c>
      <c r="B59" s="18">
        <v>0</v>
      </c>
      <c r="C59" s="18">
        <v>0</v>
      </c>
      <c r="D59" s="18">
        <v>0</v>
      </c>
      <c r="E59" s="18">
        <v>1</v>
      </c>
      <c r="F59" s="18">
        <v>0</v>
      </c>
      <c r="G59" s="18">
        <v>0</v>
      </c>
      <c r="H59" s="18">
        <v>0</v>
      </c>
      <c r="I59" s="18">
        <v>0</v>
      </c>
      <c r="J59" s="19">
        <f t="shared" si="0"/>
        <v>1</v>
      </c>
      <c r="K59" s="19">
        <f t="shared" si="1"/>
        <v>0</v>
      </c>
      <c r="L59" s="19">
        <f t="shared" si="2"/>
        <v>0</v>
      </c>
      <c r="M59" s="19">
        <f t="shared" si="3"/>
        <v>0</v>
      </c>
    </row>
    <row r="60" spans="1:13" ht="15" customHeight="1" x14ac:dyDescent="0.2">
      <c r="A60" t="s">
        <v>65</v>
      </c>
      <c r="B60" s="18">
        <v>0</v>
      </c>
      <c r="C60" s="18">
        <v>0</v>
      </c>
      <c r="D60" s="18">
        <v>0</v>
      </c>
      <c r="E60" s="18">
        <v>0</v>
      </c>
      <c r="F60" s="18">
        <v>1</v>
      </c>
      <c r="G60" s="18">
        <v>1</v>
      </c>
      <c r="H60" s="18">
        <v>0</v>
      </c>
      <c r="I60" s="18">
        <v>1</v>
      </c>
      <c r="J60" s="19">
        <f t="shared" si="0"/>
        <v>0</v>
      </c>
      <c r="K60" s="19">
        <f t="shared" si="1"/>
        <v>1</v>
      </c>
      <c r="L60" s="19">
        <f t="shared" si="2"/>
        <v>1</v>
      </c>
      <c r="M60" s="19">
        <f t="shared" si="3"/>
        <v>1</v>
      </c>
    </row>
    <row r="61" spans="1:13" ht="15" customHeight="1" x14ac:dyDescent="0.2">
      <c r="A61" t="s">
        <v>66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3</v>
      </c>
      <c r="J61" s="19">
        <f t="shared" si="0"/>
        <v>0</v>
      </c>
      <c r="K61" s="19">
        <f t="shared" si="1"/>
        <v>3</v>
      </c>
      <c r="L61" s="19">
        <f t="shared" si="2"/>
        <v>0</v>
      </c>
      <c r="M61" s="19">
        <f t="shared" si="3"/>
        <v>0</v>
      </c>
    </row>
    <row r="62" spans="1:13" ht="15" customHeight="1" x14ac:dyDescent="0.2">
      <c r="A62" t="s">
        <v>67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">
      <c r="A63" t="s">
        <v>68</v>
      </c>
      <c r="B63" s="18">
        <v>0</v>
      </c>
      <c r="C63" s="18">
        <v>0</v>
      </c>
      <c r="D63" s="18">
        <v>0</v>
      </c>
      <c r="E63" s="18">
        <v>2</v>
      </c>
      <c r="F63" s="18">
        <v>0</v>
      </c>
      <c r="G63" s="18">
        <v>0</v>
      </c>
      <c r="H63" s="18">
        <v>0</v>
      </c>
      <c r="I63" s="18">
        <v>0</v>
      </c>
      <c r="J63" s="19">
        <f t="shared" si="0"/>
        <v>2</v>
      </c>
      <c r="K63" s="19">
        <f t="shared" si="1"/>
        <v>0</v>
      </c>
      <c r="L63" s="19">
        <f t="shared" si="2"/>
        <v>0</v>
      </c>
      <c r="M63" s="19">
        <f t="shared" si="3"/>
        <v>0</v>
      </c>
    </row>
    <row r="64" spans="1:13" ht="15" customHeight="1" x14ac:dyDescent="0.2">
      <c r="A64" t="s">
        <v>69</v>
      </c>
      <c r="B64" s="18">
        <v>0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9">
        <f t="shared" si="0"/>
        <v>0</v>
      </c>
      <c r="K64" s="19">
        <f t="shared" si="1"/>
        <v>0</v>
      </c>
      <c r="L64" s="19">
        <f t="shared" si="2"/>
        <v>0</v>
      </c>
      <c r="M64" s="19">
        <f t="shared" si="3"/>
        <v>0</v>
      </c>
    </row>
    <row r="65" spans="1:13" ht="15" customHeight="1" x14ac:dyDescent="0.2">
      <c r="A65" t="s">
        <v>70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9">
        <f t="shared" si="0"/>
        <v>0</v>
      </c>
      <c r="K65" s="19">
        <f t="shared" si="1"/>
        <v>0</v>
      </c>
      <c r="L65" s="19">
        <f t="shared" si="2"/>
        <v>0</v>
      </c>
      <c r="M65" s="19">
        <f t="shared" si="3"/>
        <v>0</v>
      </c>
    </row>
    <row r="66" spans="1:13" ht="15" customHeight="1" x14ac:dyDescent="0.2">
      <c r="A66" t="s">
        <v>71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9">
        <f t="shared" si="0"/>
        <v>0</v>
      </c>
      <c r="K66" s="19">
        <f t="shared" si="1"/>
        <v>0</v>
      </c>
      <c r="L66" s="19">
        <f t="shared" si="2"/>
        <v>0</v>
      </c>
      <c r="M66" s="19">
        <f t="shared" si="3"/>
        <v>0</v>
      </c>
    </row>
    <row r="67" spans="1:13" ht="15" customHeight="1" x14ac:dyDescent="0.2">
      <c r="A67" t="s">
        <v>72</v>
      </c>
      <c r="B67" s="18">
        <v>0</v>
      </c>
      <c r="C67" s="18">
        <v>0</v>
      </c>
      <c r="D67" s="18">
        <v>0</v>
      </c>
      <c r="E67" s="18">
        <v>3</v>
      </c>
      <c r="F67" s="18">
        <v>0</v>
      </c>
      <c r="G67" s="18">
        <v>0</v>
      </c>
      <c r="H67" s="18">
        <v>0</v>
      </c>
      <c r="I67" s="18">
        <v>1</v>
      </c>
      <c r="J67" s="19">
        <f t="shared" si="0"/>
        <v>3</v>
      </c>
      <c r="K67" s="19">
        <f t="shared" si="1"/>
        <v>1</v>
      </c>
      <c r="L67" s="19">
        <f t="shared" si="2"/>
        <v>0</v>
      </c>
      <c r="M67" s="19">
        <f t="shared" si="3"/>
        <v>0</v>
      </c>
    </row>
    <row r="68" spans="1:13" ht="15" customHeight="1" x14ac:dyDescent="0.2">
      <c r="A68" t="s">
        <v>73</v>
      </c>
      <c r="B68" s="18">
        <v>0</v>
      </c>
      <c r="C68" s="18">
        <v>1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>
        <f t="shared" si="0"/>
        <v>0</v>
      </c>
      <c r="K68" s="19">
        <f t="shared" si="1"/>
        <v>0</v>
      </c>
      <c r="L68" s="19">
        <f t="shared" si="2"/>
        <v>1</v>
      </c>
      <c r="M68" s="19">
        <f t="shared" si="3"/>
        <v>0</v>
      </c>
    </row>
    <row r="69" spans="1:13" ht="15" customHeight="1" x14ac:dyDescent="0.2">
      <c r="A69" t="s">
        <v>74</v>
      </c>
      <c r="B69" s="18">
        <v>0</v>
      </c>
      <c r="C69" s="18">
        <v>0</v>
      </c>
      <c r="D69" s="18">
        <v>0</v>
      </c>
      <c r="E69" s="18">
        <v>1</v>
      </c>
      <c r="F69" s="18">
        <v>0</v>
      </c>
      <c r="G69" s="18">
        <v>0</v>
      </c>
      <c r="H69" s="18">
        <v>0</v>
      </c>
      <c r="I69" s="18">
        <v>0</v>
      </c>
      <c r="J69" s="19">
        <f t="shared" si="0"/>
        <v>1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">
      <c r="A70" t="s">
        <v>75</v>
      </c>
      <c r="B70" s="18">
        <v>0</v>
      </c>
      <c r="C70" s="18">
        <v>0</v>
      </c>
      <c r="D70" s="18">
        <v>0</v>
      </c>
      <c r="E70" s="18">
        <v>1</v>
      </c>
      <c r="F70" s="18">
        <v>0</v>
      </c>
      <c r="G70" s="18">
        <v>0</v>
      </c>
      <c r="H70" s="18">
        <v>0</v>
      </c>
      <c r="I70" s="18">
        <v>0</v>
      </c>
      <c r="J70" s="19">
        <f t="shared" si="0"/>
        <v>1</v>
      </c>
      <c r="K70" s="19">
        <f t="shared" si="1"/>
        <v>0</v>
      </c>
      <c r="L70" s="19">
        <f t="shared" si="2"/>
        <v>0</v>
      </c>
      <c r="M70" s="19">
        <f t="shared" si="3"/>
        <v>0</v>
      </c>
    </row>
    <row r="71" spans="1:13" ht="15" customHeight="1" x14ac:dyDescent="0.2">
      <c r="A71" t="s">
        <v>76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9">
        <f t="shared" si="0"/>
        <v>0</v>
      </c>
      <c r="K71" s="19">
        <f t="shared" si="1"/>
        <v>0</v>
      </c>
      <c r="L71" s="19">
        <f t="shared" si="2"/>
        <v>0</v>
      </c>
      <c r="M71" s="19">
        <f t="shared" si="3"/>
        <v>0</v>
      </c>
    </row>
    <row r="72" spans="1:13" ht="15" customHeight="1" x14ac:dyDescent="0.2">
      <c r="A72" t="s">
        <v>77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9">
        <f t="shared" si="0"/>
        <v>0</v>
      </c>
      <c r="K72" s="19">
        <f t="shared" si="1"/>
        <v>0</v>
      </c>
      <c r="L72" s="19">
        <f t="shared" si="2"/>
        <v>0</v>
      </c>
      <c r="M72" s="19">
        <f t="shared" si="3"/>
        <v>0</v>
      </c>
    </row>
    <row r="73" spans="1:13" ht="15" customHeight="1" x14ac:dyDescent="0.2">
      <c r="A73" t="s">
        <v>78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9">
        <f t="shared" si="0"/>
        <v>0</v>
      </c>
      <c r="K73" s="19">
        <f t="shared" si="1"/>
        <v>0</v>
      </c>
      <c r="L73" s="19">
        <f t="shared" si="2"/>
        <v>0</v>
      </c>
      <c r="M73" s="19">
        <f t="shared" si="3"/>
        <v>0</v>
      </c>
    </row>
    <row r="74" spans="1:13" ht="15" customHeight="1" x14ac:dyDescent="0.2">
      <c r="A74" t="s">
        <v>79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9">
        <f t="shared" si="0"/>
        <v>0</v>
      </c>
      <c r="K74" s="19">
        <f t="shared" si="1"/>
        <v>0</v>
      </c>
      <c r="L74" s="19">
        <f t="shared" si="2"/>
        <v>0</v>
      </c>
      <c r="M74" s="19">
        <f t="shared" si="3"/>
        <v>0</v>
      </c>
    </row>
    <row r="75" spans="1:13" ht="15" customHeight="1" x14ac:dyDescent="0.2">
      <c r="A75" t="s">
        <v>80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9">
        <f t="shared" ref="J75:J138" si="4">SUM(E75,H75)</f>
        <v>0</v>
      </c>
      <c r="K75" s="19">
        <f t="shared" ref="K75:K138" si="5">SUM(D75,I75)</f>
        <v>0</v>
      </c>
      <c r="L75" s="19">
        <f t="shared" ref="L75:L138" si="6">SUM(C75,F75)</f>
        <v>0</v>
      </c>
      <c r="M75" s="19">
        <f t="shared" ref="M75:M138" si="7">SUM(B75,G75)</f>
        <v>0</v>
      </c>
    </row>
    <row r="76" spans="1:13" ht="15" customHeight="1" x14ac:dyDescent="0.2">
      <c r="A76" t="s">
        <v>81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9">
        <f t="shared" si="4"/>
        <v>0</v>
      </c>
      <c r="K76" s="19">
        <f t="shared" si="5"/>
        <v>0</v>
      </c>
      <c r="L76" s="19">
        <f t="shared" si="6"/>
        <v>0</v>
      </c>
      <c r="M76" s="19">
        <f t="shared" si="7"/>
        <v>0</v>
      </c>
    </row>
    <row r="77" spans="1:13" ht="15" customHeight="1" x14ac:dyDescent="0.2">
      <c r="A77" t="s">
        <v>82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1</v>
      </c>
      <c r="I77" s="18">
        <v>0</v>
      </c>
      <c r="J77" s="19">
        <f t="shared" si="4"/>
        <v>1</v>
      </c>
      <c r="K77" s="19">
        <f t="shared" si="5"/>
        <v>0</v>
      </c>
      <c r="L77" s="19">
        <f t="shared" si="6"/>
        <v>0</v>
      </c>
      <c r="M77" s="19">
        <f t="shared" si="7"/>
        <v>0</v>
      </c>
    </row>
    <row r="78" spans="1:13" ht="15" customHeight="1" x14ac:dyDescent="0.2">
      <c r="A78" t="s">
        <v>83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9">
        <f t="shared" si="4"/>
        <v>0</v>
      </c>
      <c r="K78" s="19">
        <f t="shared" si="5"/>
        <v>0</v>
      </c>
      <c r="L78" s="19">
        <f t="shared" si="6"/>
        <v>0</v>
      </c>
      <c r="M78" s="19">
        <f t="shared" si="7"/>
        <v>0</v>
      </c>
    </row>
    <row r="79" spans="1:13" ht="15" customHeight="1" x14ac:dyDescent="0.2">
      <c r="A79" t="s">
        <v>84</v>
      </c>
      <c r="B79" s="18">
        <v>0</v>
      </c>
      <c r="C79" s="18">
        <v>0</v>
      </c>
      <c r="D79" s="18">
        <v>0</v>
      </c>
      <c r="E79" s="18">
        <v>0</v>
      </c>
      <c r="F79" s="18">
        <v>1</v>
      </c>
      <c r="G79" s="18">
        <v>0</v>
      </c>
      <c r="H79" s="18">
        <v>0</v>
      </c>
      <c r="I79" s="18">
        <v>0</v>
      </c>
      <c r="J79" s="19">
        <f t="shared" si="4"/>
        <v>0</v>
      </c>
      <c r="K79" s="19">
        <f t="shared" si="5"/>
        <v>0</v>
      </c>
      <c r="L79" s="19">
        <f t="shared" si="6"/>
        <v>1</v>
      </c>
      <c r="M79" s="19">
        <f t="shared" si="7"/>
        <v>0</v>
      </c>
    </row>
    <row r="80" spans="1:13" ht="15" customHeight="1" x14ac:dyDescent="0.2">
      <c r="A80" t="s">
        <v>85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9">
        <f t="shared" si="4"/>
        <v>0</v>
      </c>
      <c r="K80" s="19">
        <f t="shared" si="5"/>
        <v>0</v>
      </c>
      <c r="L80" s="19">
        <f t="shared" si="6"/>
        <v>0</v>
      </c>
      <c r="M80" s="19">
        <f t="shared" si="7"/>
        <v>0</v>
      </c>
    </row>
    <row r="81" spans="1:13" ht="15" customHeight="1" x14ac:dyDescent="0.2">
      <c r="A81" t="s">
        <v>86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9">
        <f t="shared" si="4"/>
        <v>0</v>
      </c>
      <c r="K81" s="19">
        <f t="shared" si="5"/>
        <v>0</v>
      </c>
      <c r="L81" s="19">
        <f t="shared" si="6"/>
        <v>0</v>
      </c>
      <c r="M81" s="19">
        <f t="shared" si="7"/>
        <v>0</v>
      </c>
    </row>
    <row r="82" spans="1:13" ht="15" customHeight="1" x14ac:dyDescent="0.2">
      <c r="A82" t="s">
        <v>87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9">
        <f t="shared" si="4"/>
        <v>0</v>
      </c>
      <c r="K82" s="19">
        <f t="shared" si="5"/>
        <v>0</v>
      </c>
      <c r="L82" s="19">
        <f t="shared" si="6"/>
        <v>0</v>
      </c>
      <c r="M82" s="19">
        <f t="shared" si="7"/>
        <v>0</v>
      </c>
    </row>
    <row r="83" spans="1:13" ht="15" customHeight="1" x14ac:dyDescent="0.2">
      <c r="A83" t="s">
        <v>88</v>
      </c>
      <c r="B83" s="18">
        <v>0</v>
      </c>
      <c r="C83" s="18">
        <v>0</v>
      </c>
      <c r="D83" s="18">
        <v>1</v>
      </c>
      <c r="E83" s="18">
        <v>0</v>
      </c>
      <c r="F83" s="18">
        <v>1</v>
      </c>
      <c r="G83" s="18">
        <v>0</v>
      </c>
      <c r="H83" s="18">
        <v>0</v>
      </c>
      <c r="I83" s="18">
        <v>0</v>
      </c>
      <c r="J83" s="19">
        <f t="shared" si="4"/>
        <v>0</v>
      </c>
      <c r="K83" s="19">
        <f t="shared" si="5"/>
        <v>1</v>
      </c>
      <c r="L83" s="19">
        <f t="shared" si="6"/>
        <v>1</v>
      </c>
      <c r="M83" s="19">
        <f t="shared" si="7"/>
        <v>0</v>
      </c>
    </row>
    <row r="84" spans="1:13" ht="15" customHeight="1" x14ac:dyDescent="0.2">
      <c r="A84" t="s">
        <v>89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9">
        <f t="shared" si="4"/>
        <v>0</v>
      </c>
      <c r="K84" s="19">
        <f t="shared" si="5"/>
        <v>0</v>
      </c>
      <c r="L84" s="19">
        <f t="shared" si="6"/>
        <v>0</v>
      </c>
      <c r="M84" s="19">
        <f t="shared" si="7"/>
        <v>0</v>
      </c>
    </row>
    <row r="85" spans="1:13" ht="15" customHeight="1" x14ac:dyDescent="0.2">
      <c r="A85" t="s">
        <v>90</v>
      </c>
      <c r="B85" s="18">
        <v>0</v>
      </c>
      <c r="C85" s="18">
        <v>0</v>
      </c>
      <c r="D85" s="18">
        <v>0</v>
      </c>
      <c r="E85" s="18">
        <v>0</v>
      </c>
      <c r="F85" s="18">
        <v>2</v>
      </c>
      <c r="G85" s="18">
        <v>0</v>
      </c>
      <c r="H85" s="18">
        <v>0</v>
      </c>
      <c r="I85" s="18">
        <v>0</v>
      </c>
      <c r="J85" s="19">
        <f t="shared" si="4"/>
        <v>0</v>
      </c>
      <c r="K85" s="19">
        <f t="shared" si="5"/>
        <v>0</v>
      </c>
      <c r="L85" s="19">
        <f t="shared" si="6"/>
        <v>2</v>
      </c>
      <c r="M85" s="19">
        <f t="shared" si="7"/>
        <v>0</v>
      </c>
    </row>
    <row r="86" spans="1:13" ht="15" customHeight="1" x14ac:dyDescent="0.2">
      <c r="A86" t="s">
        <v>91</v>
      </c>
      <c r="B86" s="18">
        <v>0</v>
      </c>
      <c r="C86" s="18">
        <v>0</v>
      </c>
      <c r="D86" s="18">
        <v>1</v>
      </c>
      <c r="E86" s="18">
        <v>3</v>
      </c>
      <c r="F86" s="18">
        <v>1</v>
      </c>
      <c r="G86" s="18">
        <v>0</v>
      </c>
      <c r="H86" s="18">
        <v>0</v>
      </c>
      <c r="I86" s="18">
        <v>0</v>
      </c>
      <c r="J86" s="19">
        <f t="shared" si="4"/>
        <v>3</v>
      </c>
      <c r="K86" s="19">
        <f t="shared" si="5"/>
        <v>1</v>
      </c>
      <c r="L86" s="19">
        <f t="shared" si="6"/>
        <v>1</v>
      </c>
      <c r="M86" s="19">
        <f t="shared" si="7"/>
        <v>0</v>
      </c>
    </row>
    <row r="87" spans="1:13" ht="15" customHeight="1" x14ac:dyDescent="0.2">
      <c r="A87" t="s">
        <v>92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9">
        <f t="shared" si="4"/>
        <v>0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ht="15" customHeight="1" x14ac:dyDescent="0.2">
      <c r="A88" t="s">
        <v>93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9">
        <f t="shared" si="4"/>
        <v>0</v>
      </c>
      <c r="K88" s="19">
        <f t="shared" si="5"/>
        <v>0</v>
      </c>
      <c r="L88" s="19">
        <f t="shared" si="6"/>
        <v>0</v>
      </c>
      <c r="M88" s="19">
        <f t="shared" si="7"/>
        <v>0</v>
      </c>
    </row>
    <row r="89" spans="1:13" ht="15" customHeight="1" x14ac:dyDescent="0.2">
      <c r="A89" t="s">
        <v>94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9">
        <f t="shared" si="4"/>
        <v>0</v>
      </c>
      <c r="K89" s="19">
        <f t="shared" si="5"/>
        <v>0</v>
      </c>
      <c r="L89" s="19">
        <f t="shared" si="6"/>
        <v>0</v>
      </c>
      <c r="M89" s="19">
        <f t="shared" si="7"/>
        <v>0</v>
      </c>
    </row>
    <row r="90" spans="1:13" ht="15" customHeight="1" x14ac:dyDescent="0.2">
      <c r="A90" t="s">
        <v>95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9">
        <f t="shared" si="4"/>
        <v>0</v>
      </c>
      <c r="K90" s="19">
        <f t="shared" si="5"/>
        <v>0</v>
      </c>
      <c r="L90" s="19">
        <f t="shared" si="6"/>
        <v>0</v>
      </c>
      <c r="M90" s="19">
        <f t="shared" si="7"/>
        <v>0</v>
      </c>
    </row>
    <row r="91" spans="1:13" ht="15" customHeight="1" x14ac:dyDescent="0.2">
      <c r="A91" t="s">
        <v>96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9">
        <f t="shared" si="4"/>
        <v>0</v>
      </c>
      <c r="K91" s="19">
        <f t="shared" si="5"/>
        <v>0</v>
      </c>
      <c r="L91" s="19">
        <f t="shared" si="6"/>
        <v>0</v>
      </c>
      <c r="M91" s="19">
        <f t="shared" si="7"/>
        <v>0</v>
      </c>
    </row>
    <row r="92" spans="1:13" ht="15" customHeight="1" x14ac:dyDescent="0.2">
      <c r="A92" t="s">
        <v>97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9">
        <f t="shared" si="4"/>
        <v>0</v>
      </c>
      <c r="K92" s="19">
        <f t="shared" si="5"/>
        <v>0</v>
      </c>
      <c r="L92" s="19">
        <f t="shared" si="6"/>
        <v>0</v>
      </c>
      <c r="M92" s="19">
        <f t="shared" si="7"/>
        <v>0</v>
      </c>
    </row>
    <row r="93" spans="1:13" ht="15" customHeight="1" x14ac:dyDescent="0.2">
      <c r="A93" t="s">
        <v>98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9">
        <f t="shared" si="4"/>
        <v>0</v>
      </c>
      <c r="K93" s="19">
        <f t="shared" si="5"/>
        <v>0</v>
      </c>
      <c r="L93" s="19">
        <f t="shared" si="6"/>
        <v>0</v>
      </c>
      <c r="M93" s="19">
        <f t="shared" si="7"/>
        <v>0</v>
      </c>
    </row>
    <row r="94" spans="1:13" ht="15" customHeight="1" x14ac:dyDescent="0.2">
      <c r="A94" t="s">
        <v>99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9">
        <f t="shared" si="4"/>
        <v>0</v>
      </c>
      <c r="K94" s="19">
        <f t="shared" si="5"/>
        <v>0</v>
      </c>
      <c r="L94" s="19">
        <f t="shared" si="6"/>
        <v>0</v>
      </c>
      <c r="M94" s="19">
        <f t="shared" si="7"/>
        <v>0</v>
      </c>
    </row>
    <row r="95" spans="1:13" ht="15" customHeight="1" x14ac:dyDescent="0.2">
      <c r="A95" t="s">
        <v>100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</row>
    <row r="96" spans="1:13" ht="15" customHeight="1" x14ac:dyDescent="0.2">
      <c r="A96" t="s">
        <v>101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9">
        <f t="shared" si="4"/>
        <v>0</v>
      </c>
      <c r="K96" s="19">
        <f t="shared" si="5"/>
        <v>0</v>
      </c>
      <c r="L96" s="19">
        <f t="shared" si="6"/>
        <v>0</v>
      </c>
      <c r="M96" s="19">
        <f t="shared" si="7"/>
        <v>0</v>
      </c>
    </row>
    <row r="97" spans="1:13" ht="15" customHeight="1" x14ac:dyDescent="0.2">
      <c r="A97" t="s">
        <v>102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1</v>
      </c>
      <c r="I97" s="18">
        <v>0</v>
      </c>
      <c r="J97" s="19">
        <f t="shared" si="4"/>
        <v>1</v>
      </c>
      <c r="K97" s="19">
        <f t="shared" si="5"/>
        <v>0</v>
      </c>
      <c r="L97" s="19">
        <f t="shared" si="6"/>
        <v>0</v>
      </c>
      <c r="M97" s="19">
        <f t="shared" si="7"/>
        <v>0</v>
      </c>
    </row>
    <row r="98" spans="1:13" ht="15" customHeight="1" x14ac:dyDescent="0.2">
      <c r="A98" t="s">
        <v>103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9">
        <f t="shared" si="4"/>
        <v>0</v>
      </c>
      <c r="K98" s="19">
        <f t="shared" si="5"/>
        <v>0</v>
      </c>
      <c r="L98" s="19">
        <f t="shared" si="6"/>
        <v>0</v>
      </c>
      <c r="M98" s="19">
        <f t="shared" si="7"/>
        <v>0</v>
      </c>
    </row>
    <row r="99" spans="1:13" ht="15" customHeight="1" x14ac:dyDescent="0.2">
      <c r="A99" t="s">
        <v>104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9">
        <f t="shared" si="4"/>
        <v>0</v>
      </c>
      <c r="K99" s="19">
        <f t="shared" si="5"/>
        <v>0</v>
      </c>
      <c r="L99" s="19">
        <f t="shared" si="6"/>
        <v>0</v>
      </c>
      <c r="M99" s="19">
        <f t="shared" si="7"/>
        <v>0</v>
      </c>
    </row>
    <row r="100" spans="1:13" ht="15" customHeight="1" x14ac:dyDescent="0.2">
      <c r="A100" t="s">
        <v>105</v>
      </c>
      <c r="B100" s="18">
        <v>0</v>
      </c>
      <c r="C100" s="18">
        <v>1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9">
        <f t="shared" si="4"/>
        <v>0</v>
      </c>
      <c r="K100" s="19">
        <f t="shared" si="5"/>
        <v>0</v>
      </c>
      <c r="L100" s="19">
        <f t="shared" si="6"/>
        <v>1</v>
      </c>
      <c r="M100" s="19">
        <f t="shared" si="7"/>
        <v>0</v>
      </c>
    </row>
    <row r="101" spans="1:13" ht="15" customHeight="1" x14ac:dyDescent="0.2">
      <c r="A101" t="s">
        <v>106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9">
        <f t="shared" si="4"/>
        <v>0</v>
      </c>
      <c r="K101" s="19">
        <f t="shared" si="5"/>
        <v>0</v>
      </c>
      <c r="L101" s="19">
        <f t="shared" si="6"/>
        <v>0</v>
      </c>
      <c r="M101" s="19">
        <f t="shared" si="7"/>
        <v>0</v>
      </c>
    </row>
    <row r="102" spans="1:13" ht="15" customHeight="1" x14ac:dyDescent="0.2">
      <c r="A102" t="s">
        <v>107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9">
        <f t="shared" si="4"/>
        <v>0</v>
      </c>
      <c r="K102" s="19">
        <f t="shared" si="5"/>
        <v>0</v>
      </c>
      <c r="L102" s="19">
        <f t="shared" si="6"/>
        <v>0</v>
      </c>
      <c r="M102" s="19">
        <f t="shared" si="7"/>
        <v>0</v>
      </c>
    </row>
    <row r="103" spans="1:13" ht="15" customHeight="1" x14ac:dyDescent="0.2">
      <c r="A103" t="s">
        <v>108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9">
        <f t="shared" si="4"/>
        <v>0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">
      <c r="A104" t="s">
        <v>109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</row>
    <row r="105" spans="1:13" ht="15" customHeight="1" x14ac:dyDescent="0.2">
      <c r="A105" t="s">
        <v>110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9">
        <f t="shared" si="4"/>
        <v>0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">
      <c r="A106" t="s">
        <v>5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">
      <c r="A107" t="s">
        <v>16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">
      <c r="A108" t="s">
        <v>17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">
      <c r="A109" t="s">
        <v>18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9">
        <f t="shared" si="4"/>
        <v>0</v>
      </c>
      <c r="K109" s="19">
        <f t="shared" si="5"/>
        <v>0</v>
      </c>
      <c r="L109" s="19">
        <f t="shared" si="6"/>
        <v>0</v>
      </c>
      <c r="M109" s="19">
        <f t="shared" si="7"/>
        <v>0</v>
      </c>
    </row>
    <row r="110" spans="1:13" ht="15" customHeight="1" x14ac:dyDescent="0.2">
      <c r="A110" t="s">
        <v>19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9">
        <f t="shared" si="4"/>
        <v>0</v>
      </c>
      <c r="K110" s="19">
        <f t="shared" si="5"/>
        <v>0</v>
      </c>
      <c r="L110" s="19">
        <f t="shared" si="6"/>
        <v>0</v>
      </c>
      <c r="M110" s="19">
        <f t="shared" si="7"/>
        <v>0</v>
      </c>
    </row>
    <row r="111" spans="1:13" ht="15" customHeight="1" x14ac:dyDescent="0.2">
      <c r="A111" t="s">
        <v>20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</row>
    <row r="112" spans="1:13" ht="15" customHeight="1" x14ac:dyDescent="0.2">
      <c r="A112" t="s">
        <v>21</v>
      </c>
      <c r="B112" s="18">
        <v>0</v>
      </c>
      <c r="C112" s="18">
        <v>0</v>
      </c>
      <c r="D112" s="18">
        <v>0</v>
      </c>
      <c r="E112" s="18">
        <v>1</v>
      </c>
      <c r="F112" s="18">
        <v>0</v>
      </c>
      <c r="G112" s="18">
        <v>0</v>
      </c>
      <c r="H112" s="18">
        <v>0</v>
      </c>
      <c r="I112" s="18">
        <v>0</v>
      </c>
      <c r="J112" s="19">
        <f t="shared" si="4"/>
        <v>1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">
      <c r="A113" t="s">
        <v>22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">
      <c r="A114" t="s">
        <v>23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">
      <c r="A115" t="s">
        <v>24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">
      <c r="A116" t="s">
        <v>25</v>
      </c>
      <c r="B116" s="18">
        <v>0</v>
      </c>
      <c r="C116" s="18">
        <v>0</v>
      </c>
      <c r="D116" s="18">
        <v>0</v>
      </c>
      <c r="E116" s="18">
        <v>0</v>
      </c>
      <c r="F116" s="18">
        <v>1</v>
      </c>
      <c r="G116" s="18">
        <v>0</v>
      </c>
      <c r="H116" s="18">
        <v>0</v>
      </c>
      <c r="I116" s="18">
        <v>0</v>
      </c>
      <c r="J116" s="19">
        <f t="shared" si="4"/>
        <v>0</v>
      </c>
      <c r="K116" s="19">
        <f t="shared" si="5"/>
        <v>0</v>
      </c>
      <c r="L116" s="19">
        <f t="shared" si="6"/>
        <v>1</v>
      </c>
      <c r="M116" s="19">
        <f t="shared" si="7"/>
        <v>0</v>
      </c>
    </row>
    <row r="117" spans="1:13" ht="15" customHeight="1" x14ac:dyDescent="0.2">
      <c r="A117" t="s">
        <v>26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">
      <c r="A118" t="s">
        <v>27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">
      <c r="A119" t="s">
        <v>28</v>
      </c>
      <c r="B119" s="18">
        <v>0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</row>
    <row r="120" spans="1:13" ht="15" customHeight="1" x14ac:dyDescent="0.2">
      <c r="A120" t="s">
        <v>29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">
      <c r="A121" t="s">
        <v>30</v>
      </c>
      <c r="B121" s="18">
        <v>0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">
      <c r="A122" t="s">
        <v>31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">
      <c r="A123" t="s">
        <v>32</v>
      </c>
      <c r="B123" s="18">
        <v>0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">
      <c r="A124" t="s">
        <v>33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">
      <c r="A125" t="s">
        <v>34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">
      <c r="A126" t="s">
        <v>35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2</v>
      </c>
      <c r="J126" s="19">
        <f t="shared" si="4"/>
        <v>0</v>
      </c>
      <c r="K126" s="19">
        <f t="shared" si="5"/>
        <v>2</v>
      </c>
      <c r="L126" s="19">
        <f t="shared" si="6"/>
        <v>0</v>
      </c>
      <c r="M126" s="19">
        <f t="shared" si="7"/>
        <v>0</v>
      </c>
    </row>
    <row r="127" spans="1:13" ht="15" customHeight="1" x14ac:dyDescent="0.2">
      <c r="A127" t="s">
        <v>36</v>
      </c>
      <c r="B127" s="18">
        <v>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">
      <c r="A128" t="s">
        <v>37</v>
      </c>
      <c r="B128" s="18">
        <v>0</v>
      </c>
      <c r="C128" s="18">
        <v>0</v>
      </c>
      <c r="D128" s="18">
        <v>0</v>
      </c>
      <c r="E128" s="18">
        <v>0</v>
      </c>
      <c r="F128" s="18">
        <v>1</v>
      </c>
      <c r="G128" s="18">
        <v>0</v>
      </c>
      <c r="H128" s="18">
        <v>0</v>
      </c>
      <c r="I128" s="18">
        <v>0</v>
      </c>
      <c r="J128" s="19">
        <f t="shared" si="4"/>
        <v>0</v>
      </c>
      <c r="K128" s="19">
        <f t="shared" si="5"/>
        <v>0</v>
      </c>
      <c r="L128" s="19">
        <f t="shared" si="6"/>
        <v>1</v>
      </c>
      <c r="M128" s="19">
        <f t="shared" si="7"/>
        <v>0</v>
      </c>
    </row>
    <row r="129" spans="1:13" ht="15" customHeight="1" x14ac:dyDescent="0.2">
      <c r="A129" t="s">
        <v>38</v>
      </c>
      <c r="B129" s="18">
        <v>0</v>
      </c>
      <c r="C129" s="18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">
      <c r="A130" t="s">
        <v>39</v>
      </c>
      <c r="B130" s="18">
        <v>0</v>
      </c>
      <c r="C130" s="18">
        <v>2</v>
      </c>
      <c r="D130" s="18">
        <v>0</v>
      </c>
      <c r="E130" s="18">
        <v>3</v>
      </c>
      <c r="F130" s="18">
        <v>0</v>
      </c>
      <c r="G130" s="18">
        <v>0</v>
      </c>
      <c r="H130" s="18">
        <v>0</v>
      </c>
      <c r="I130" s="18">
        <v>0</v>
      </c>
      <c r="J130" s="19">
        <f t="shared" si="4"/>
        <v>3</v>
      </c>
      <c r="K130" s="19">
        <f t="shared" si="5"/>
        <v>0</v>
      </c>
      <c r="L130" s="19">
        <f t="shared" si="6"/>
        <v>2</v>
      </c>
      <c r="M130" s="19">
        <f t="shared" si="7"/>
        <v>0</v>
      </c>
    </row>
    <row r="131" spans="1:13" ht="15" customHeight="1" x14ac:dyDescent="0.2">
      <c r="A131" t="s">
        <v>40</v>
      </c>
      <c r="B131" s="18">
        <v>0</v>
      </c>
      <c r="C131" s="18">
        <v>1</v>
      </c>
      <c r="D131" s="18">
        <v>0</v>
      </c>
      <c r="E131" s="18">
        <v>0</v>
      </c>
      <c r="F131" s="18">
        <v>16</v>
      </c>
      <c r="G131" s="18">
        <v>0</v>
      </c>
      <c r="H131" s="18">
        <v>0</v>
      </c>
      <c r="I131" s="18">
        <v>0</v>
      </c>
      <c r="J131" s="19">
        <f t="shared" si="4"/>
        <v>0</v>
      </c>
      <c r="K131" s="19">
        <f t="shared" si="5"/>
        <v>0</v>
      </c>
      <c r="L131" s="19">
        <v>1</v>
      </c>
      <c r="M131" s="19">
        <f t="shared" si="7"/>
        <v>0</v>
      </c>
    </row>
    <row r="132" spans="1:13" ht="15" customHeight="1" x14ac:dyDescent="0.2">
      <c r="A132" t="s">
        <v>41</v>
      </c>
      <c r="B132" s="18">
        <v>0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9">
        <f t="shared" si="4"/>
        <v>0</v>
      </c>
      <c r="K132" s="19">
        <f t="shared" si="5"/>
        <v>0</v>
      </c>
      <c r="L132" s="19">
        <f t="shared" si="6"/>
        <v>0</v>
      </c>
      <c r="M132" s="19">
        <f t="shared" si="7"/>
        <v>0</v>
      </c>
    </row>
    <row r="133" spans="1:13" ht="15" customHeight="1" x14ac:dyDescent="0.2">
      <c r="A133" t="s">
        <v>42</v>
      </c>
      <c r="B133" s="18">
        <v>0</v>
      </c>
      <c r="C133" s="18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9">
        <f t="shared" si="4"/>
        <v>0</v>
      </c>
      <c r="K133" s="19">
        <f t="shared" si="5"/>
        <v>0</v>
      </c>
      <c r="L133" s="19">
        <f t="shared" si="6"/>
        <v>0</v>
      </c>
      <c r="M133" s="19">
        <f t="shared" si="7"/>
        <v>0</v>
      </c>
    </row>
    <row r="134" spans="1:13" ht="15" customHeight="1" x14ac:dyDescent="0.2">
      <c r="A134" t="s">
        <v>43</v>
      </c>
      <c r="B134" s="18">
        <v>0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9">
        <f t="shared" si="4"/>
        <v>0</v>
      </c>
      <c r="K134" s="19">
        <f t="shared" si="5"/>
        <v>0</v>
      </c>
      <c r="L134" s="19">
        <f t="shared" si="6"/>
        <v>0</v>
      </c>
      <c r="M134" s="19">
        <f t="shared" si="7"/>
        <v>0</v>
      </c>
    </row>
    <row r="135" spans="1:13" ht="15" customHeight="1" x14ac:dyDescent="0.2">
      <c r="A135" t="s">
        <v>44</v>
      </c>
      <c r="B135" s="18">
        <v>0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</row>
    <row r="136" spans="1:13" ht="15" customHeight="1" x14ac:dyDescent="0.2">
      <c r="A136" t="s">
        <v>45</v>
      </c>
      <c r="B136" s="18">
        <v>0</v>
      </c>
      <c r="C136" s="18">
        <v>0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9">
        <f t="shared" si="4"/>
        <v>0</v>
      </c>
      <c r="K136" s="19">
        <f t="shared" si="5"/>
        <v>0</v>
      </c>
      <c r="L136" s="19">
        <f t="shared" si="6"/>
        <v>0</v>
      </c>
      <c r="M136" s="19">
        <f t="shared" si="7"/>
        <v>0</v>
      </c>
    </row>
    <row r="137" spans="1:13" ht="15" customHeight="1" x14ac:dyDescent="0.2">
      <c r="A137" t="s">
        <v>46</v>
      </c>
      <c r="B137" s="18">
        <v>0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9">
        <f t="shared" si="4"/>
        <v>0</v>
      </c>
      <c r="K137" s="19">
        <f t="shared" si="5"/>
        <v>0</v>
      </c>
      <c r="L137" s="19">
        <f t="shared" si="6"/>
        <v>0</v>
      </c>
      <c r="M137" s="19">
        <f t="shared" si="7"/>
        <v>0</v>
      </c>
    </row>
    <row r="138" spans="1:13" ht="15" customHeight="1" x14ac:dyDescent="0.2">
      <c r="A138" t="s">
        <v>47</v>
      </c>
      <c r="B138" s="18">
        <v>0</v>
      </c>
      <c r="C138" s="18">
        <v>5</v>
      </c>
      <c r="D138" s="18">
        <v>0</v>
      </c>
      <c r="E138" s="18">
        <v>0</v>
      </c>
      <c r="F138" s="18">
        <v>1</v>
      </c>
      <c r="G138" s="18">
        <v>0</v>
      </c>
      <c r="H138" s="18">
        <v>0</v>
      </c>
      <c r="I138" s="18">
        <v>0</v>
      </c>
      <c r="J138" s="19">
        <f t="shared" si="4"/>
        <v>0</v>
      </c>
      <c r="K138" s="19">
        <f t="shared" si="5"/>
        <v>0</v>
      </c>
      <c r="L138" s="19">
        <f t="shared" si="6"/>
        <v>6</v>
      </c>
      <c r="M138" s="19">
        <f t="shared" si="7"/>
        <v>0</v>
      </c>
    </row>
    <row r="139" spans="1:13" ht="15" customHeight="1" x14ac:dyDescent="0.2">
      <c r="A139" t="s">
        <v>48</v>
      </c>
      <c r="B139" s="18">
        <v>0</v>
      </c>
      <c r="C139" s="18">
        <v>2</v>
      </c>
      <c r="D139" s="18">
        <v>0</v>
      </c>
      <c r="E139" s="18">
        <v>0</v>
      </c>
      <c r="F139" s="18">
        <v>1</v>
      </c>
      <c r="G139" s="18">
        <v>0</v>
      </c>
      <c r="H139" s="18">
        <v>0</v>
      </c>
      <c r="I139" s="18">
        <v>0</v>
      </c>
      <c r="J139" s="19">
        <f t="shared" ref="J139:J201" si="8">SUM(E139,H139)</f>
        <v>0</v>
      </c>
      <c r="K139" s="19">
        <f t="shared" ref="K139:K201" si="9">SUM(D139,I139)</f>
        <v>0</v>
      </c>
      <c r="L139" s="19">
        <f t="shared" ref="L139:L201" si="10">SUM(C139,F139)</f>
        <v>3</v>
      </c>
      <c r="M139" s="19">
        <f t="shared" ref="M139:M201" si="11">SUM(B139,G139)</f>
        <v>0</v>
      </c>
    </row>
    <row r="140" spans="1:13" ht="15" customHeight="1" x14ac:dyDescent="0.2">
      <c r="A140" t="s">
        <v>49</v>
      </c>
      <c r="B140" s="18">
        <v>0</v>
      </c>
      <c r="C140" s="18">
        <v>0</v>
      </c>
      <c r="D140" s="18">
        <v>0</v>
      </c>
      <c r="E140" s="18">
        <v>0</v>
      </c>
      <c r="F140" s="18">
        <v>10</v>
      </c>
      <c r="G140" s="18">
        <v>0</v>
      </c>
      <c r="H140" s="18">
        <v>0</v>
      </c>
      <c r="I140" s="18">
        <v>2</v>
      </c>
      <c r="J140" s="19">
        <f t="shared" si="8"/>
        <v>0</v>
      </c>
      <c r="K140" s="19">
        <f t="shared" si="9"/>
        <v>2</v>
      </c>
      <c r="L140" s="19">
        <f t="shared" si="10"/>
        <v>10</v>
      </c>
      <c r="M140" s="19">
        <f t="shared" si="11"/>
        <v>0</v>
      </c>
    </row>
    <row r="141" spans="1:13" ht="15" customHeight="1" x14ac:dyDescent="0.2">
      <c r="A141" t="s">
        <v>50</v>
      </c>
      <c r="B141" s="18">
        <v>0</v>
      </c>
      <c r="C141" s="18">
        <v>1</v>
      </c>
      <c r="D141" s="18">
        <v>0</v>
      </c>
      <c r="E141" s="18">
        <v>1</v>
      </c>
      <c r="F141" s="18">
        <v>0</v>
      </c>
      <c r="G141" s="18">
        <v>0</v>
      </c>
      <c r="H141" s="18">
        <v>0</v>
      </c>
      <c r="I141" s="18">
        <v>1</v>
      </c>
      <c r="J141" s="19">
        <f t="shared" si="8"/>
        <v>1</v>
      </c>
      <c r="K141" s="19">
        <f t="shared" si="9"/>
        <v>1</v>
      </c>
      <c r="L141" s="19">
        <f t="shared" si="10"/>
        <v>1</v>
      </c>
      <c r="M141" s="19">
        <f t="shared" si="11"/>
        <v>0</v>
      </c>
    </row>
    <row r="142" spans="1:13" ht="15" customHeight="1" x14ac:dyDescent="0.2">
      <c r="A142" t="s">
        <v>51</v>
      </c>
      <c r="B142" s="18">
        <v>0</v>
      </c>
      <c r="C142" s="18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2</v>
      </c>
      <c r="J142" s="19">
        <f t="shared" si="8"/>
        <v>0</v>
      </c>
      <c r="K142" s="19">
        <f t="shared" si="9"/>
        <v>2</v>
      </c>
      <c r="L142" s="19">
        <f t="shared" si="10"/>
        <v>0</v>
      </c>
      <c r="M142" s="19">
        <f t="shared" si="11"/>
        <v>0</v>
      </c>
    </row>
    <row r="143" spans="1:13" ht="15" customHeight="1" x14ac:dyDescent="0.2">
      <c r="A143" t="s">
        <v>52</v>
      </c>
      <c r="B143" s="18">
        <v>0</v>
      </c>
      <c r="C143" s="18">
        <v>0</v>
      </c>
      <c r="D143" s="18">
        <v>0</v>
      </c>
      <c r="E143" s="18">
        <v>0</v>
      </c>
      <c r="F143" s="18">
        <v>1</v>
      </c>
      <c r="G143" s="18">
        <v>0</v>
      </c>
      <c r="H143" s="18">
        <v>0</v>
      </c>
      <c r="I143" s="18">
        <v>0</v>
      </c>
      <c r="J143" s="19">
        <f t="shared" si="8"/>
        <v>0</v>
      </c>
      <c r="K143" s="19">
        <f t="shared" si="9"/>
        <v>0</v>
      </c>
      <c r="L143" s="19">
        <f t="shared" si="10"/>
        <v>1</v>
      </c>
      <c r="M143" s="19">
        <f t="shared" si="11"/>
        <v>0</v>
      </c>
    </row>
    <row r="144" spans="1:13" ht="15" customHeight="1" x14ac:dyDescent="0.2">
      <c r="A144" t="s">
        <v>53</v>
      </c>
      <c r="B144" s="18">
        <v>0</v>
      </c>
      <c r="C144" s="18">
        <v>0</v>
      </c>
      <c r="D144" s="18">
        <v>0</v>
      </c>
      <c r="E144" s="18">
        <v>0</v>
      </c>
      <c r="F144" s="18">
        <v>1</v>
      </c>
      <c r="G144" s="18">
        <v>0</v>
      </c>
      <c r="H144" s="18">
        <v>0</v>
      </c>
      <c r="I144" s="18">
        <v>0</v>
      </c>
      <c r="J144" s="19">
        <f t="shared" si="8"/>
        <v>0</v>
      </c>
      <c r="K144" s="19">
        <f t="shared" si="9"/>
        <v>0</v>
      </c>
      <c r="L144" s="19">
        <f t="shared" si="10"/>
        <v>1</v>
      </c>
      <c r="M144" s="19">
        <f t="shared" si="11"/>
        <v>0</v>
      </c>
    </row>
    <row r="145" spans="1:13" ht="15" customHeight="1" x14ac:dyDescent="0.2">
      <c r="A145" t="s">
        <v>54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18">
        <v>4</v>
      </c>
      <c r="J145" s="19">
        <f t="shared" si="8"/>
        <v>0</v>
      </c>
      <c r="K145" s="19">
        <f t="shared" si="9"/>
        <v>4</v>
      </c>
      <c r="L145" s="19">
        <f t="shared" si="10"/>
        <v>0</v>
      </c>
      <c r="M145" s="19">
        <f t="shared" si="11"/>
        <v>0</v>
      </c>
    </row>
    <row r="146" spans="1:13" ht="15" customHeight="1" x14ac:dyDescent="0.2">
      <c r="A146" t="s">
        <v>55</v>
      </c>
      <c r="B146" s="18">
        <v>0</v>
      </c>
      <c r="C146" s="18">
        <v>1</v>
      </c>
      <c r="D146" s="18">
        <v>0</v>
      </c>
      <c r="E146" s="18">
        <v>1</v>
      </c>
      <c r="F146" s="18">
        <v>0</v>
      </c>
      <c r="G146" s="18">
        <v>0</v>
      </c>
      <c r="H146" s="18">
        <v>0</v>
      </c>
      <c r="I146" s="18">
        <v>1</v>
      </c>
      <c r="J146" s="19">
        <f t="shared" si="8"/>
        <v>1</v>
      </c>
      <c r="K146" s="19">
        <f t="shared" si="9"/>
        <v>1</v>
      </c>
      <c r="L146" s="19">
        <f t="shared" si="10"/>
        <v>1</v>
      </c>
      <c r="M146" s="19">
        <f t="shared" si="11"/>
        <v>0</v>
      </c>
    </row>
    <row r="147" spans="1:13" ht="15" customHeight="1" x14ac:dyDescent="0.2">
      <c r="A147" t="s">
        <v>56</v>
      </c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9">
        <f t="shared" si="8"/>
        <v>0</v>
      </c>
      <c r="K147" s="19">
        <f t="shared" si="9"/>
        <v>0</v>
      </c>
      <c r="L147" s="19">
        <f t="shared" si="10"/>
        <v>0</v>
      </c>
      <c r="M147" s="19">
        <f t="shared" si="11"/>
        <v>0</v>
      </c>
    </row>
    <row r="148" spans="1:13" ht="15" customHeight="1" x14ac:dyDescent="0.2">
      <c r="A148" t="s">
        <v>57</v>
      </c>
      <c r="B148" s="18">
        <v>0</v>
      </c>
      <c r="C148" s="18">
        <v>0</v>
      </c>
      <c r="D148" s="18">
        <v>0</v>
      </c>
      <c r="E148" s="18">
        <v>1</v>
      </c>
      <c r="F148" s="18">
        <v>0</v>
      </c>
      <c r="G148" s="18">
        <v>0</v>
      </c>
      <c r="H148" s="18">
        <v>0</v>
      </c>
      <c r="I148" s="18">
        <v>0</v>
      </c>
      <c r="J148" s="19">
        <f t="shared" si="8"/>
        <v>1</v>
      </c>
      <c r="K148" s="19">
        <f t="shared" si="9"/>
        <v>0</v>
      </c>
      <c r="L148" s="19">
        <f t="shared" si="10"/>
        <v>0</v>
      </c>
      <c r="M148" s="19">
        <f t="shared" si="11"/>
        <v>0</v>
      </c>
    </row>
    <row r="149" spans="1:13" ht="15" customHeight="1" x14ac:dyDescent="0.2">
      <c r="A149" t="s">
        <v>58</v>
      </c>
      <c r="B149" s="18">
        <v>0</v>
      </c>
      <c r="C149" s="18">
        <v>0</v>
      </c>
      <c r="D149" s="18">
        <v>0</v>
      </c>
      <c r="E149" s="18">
        <v>1</v>
      </c>
      <c r="F149" s="18">
        <v>0</v>
      </c>
      <c r="G149" s="18">
        <v>0</v>
      </c>
      <c r="H149" s="18">
        <v>0</v>
      </c>
      <c r="I149" s="18">
        <v>0</v>
      </c>
      <c r="J149" s="19">
        <f t="shared" si="8"/>
        <v>1</v>
      </c>
      <c r="K149" s="19">
        <f t="shared" si="9"/>
        <v>0</v>
      </c>
      <c r="L149" s="19">
        <f t="shared" si="10"/>
        <v>0</v>
      </c>
      <c r="M149" s="19">
        <f t="shared" si="11"/>
        <v>0</v>
      </c>
    </row>
    <row r="150" spans="1:13" ht="15" customHeight="1" x14ac:dyDescent="0.2">
      <c r="A150" t="s">
        <v>59</v>
      </c>
      <c r="B150" s="18">
        <v>0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9">
        <f t="shared" si="8"/>
        <v>0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">
      <c r="A151" t="s">
        <v>60</v>
      </c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9">
        <f t="shared" si="8"/>
        <v>0</v>
      </c>
      <c r="K151" s="19">
        <f t="shared" si="9"/>
        <v>0</v>
      </c>
      <c r="L151" s="19">
        <f t="shared" si="10"/>
        <v>0</v>
      </c>
      <c r="M151" s="19">
        <f t="shared" si="11"/>
        <v>0</v>
      </c>
    </row>
    <row r="152" spans="1:13" ht="15" customHeight="1" x14ac:dyDescent="0.2">
      <c r="A152" t="s">
        <v>61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9">
        <f t="shared" si="8"/>
        <v>0</v>
      </c>
      <c r="K152" s="19">
        <f t="shared" si="9"/>
        <v>0</v>
      </c>
      <c r="L152" s="19">
        <f t="shared" si="10"/>
        <v>0</v>
      </c>
      <c r="M152" s="19">
        <f t="shared" si="11"/>
        <v>0</v>
      </c>
    </row>
    <row r="153" spans="1:13" ht="15" customHeight="1" x14ac:dyDescent="0.2">
      <c r="A153" t="s">
        <v>62</v>
      </c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9">
        <f t="shared" si="8"/>
        <v>0</v>
      </c>
      <c r="K153" s="19">
        <f t="shared" si="9"/>
        <v>0</v>
      </c>
      <c r="L153" s="19">
        <f t="shared" si="10"/>
        <v>0</v>
      </c>
      <c r="M153" s="19">
        <f t="shared" si="11"/>
        <v>0</v>
      </c>
    </row>
    <row r="154" spans="1:13" ht="15" customHeight="1" x14ac:dyDescent="0.2">
      <c r="A154" t="s">
        <v>63</v>
      </c>
      <c r="B154" s="18">
        <v>0</v>
      </c>
      <c r="C154" s="18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1</v>
      </c>
      <c r="J154" s="19">
        <f t="shared" si="8"/>
        <v>0</v>
      </c>
      <c r="K154" s="19">
        <f t="shared" si="9"/>
        <v>1</v>
      </c>
      <c r="L154" s="19">
        <f t="shared" si="10"/>
        <v>0</v>
      </c>
      <c r="M154" s="19">
        <f t="shared" si="11"/>
        <v>0</v>
      </c>
    </row>
    <row r="155" spans="1:13" ht="15" customHeight="1" x14ac:dyDescent="0.2">
      <c r="A155" t="s">
        <v>64</v>
      </c>
      <c r="B155" s="18">
        <v>0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1</v>
      </c>
      <c r="J155" s="19">
        <f t="shared" si="8"/>
        <v>0</v>
      </c>
      <c r="K155" s="19">
        <f t="shared" si="9"/>
        <v>1</v>
      </c>
      <c r="L155" s="19">
        <f t="shared" si="10"/>
        <v>0</v>
      </c>
      <c r="M155" s="19">
        <f t="shared" si="11"/>
        <v>0</v>
      </c>
    </row>
    <row r="156" spans="1:13" ht="15" customHeight="1" x14ac:dyDescent="0.2">
      <c r="A156" t="s">
        <v>65</v>
      </c>
      <c r="B156" s="18">
        <v>0</v>
      </c>
      <c r="C156" s="18">
        <v>0</v>
      </c>
      <c r="D156" s="18">
        <v>0</v>
      </c>
      <c r="E156" s="18">
        <v>1</v>
      </c>
      <c r="F156" s="18">
        <v>0</v>
      </c>
      <c r="G156" s="18">
        <v>0</v>
      </c>
      <c r="H156" s="18">
        <v>0</v>
      </c>
      <c r="I156" s="18">
        <v>0</v>
      </c>
      <c r="J156" s="19">
        <f t="shared" si="8"/>
        <v>1</v>
      </c>
      <c r="K156" s="19">
        <f t="shared" si="9"/>
        <v>0</v>
      </c>
      <c r="L156" s="19">
        <f t="shared" si="10"/>
        <v>0</v>
      </c>
      <c r="M156" s="19">
        <f t="shared" si="11"/>
        <v>0</v>
      </c>
    </row>
    <row r="157" spans="1:13" ht="15" customHeight="1" x14ac:dyDescent="0.2">
      <c r="A157" t="s">
        <v>66</v>
      </c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9">
        <f t="shared" si="8"/>
        <v>0</v>
      </c>
      <c r="K157" s="19">
        <f t="shared" si="9"/>
        <v>0</v>
      </c>
      <c r="L157" s="19">
        <f t="shared" si="10"/>
        <v>0</v>
      </c>
      <c r="M157" s="19">
        <f t="shared" si="11"/>
        <v>0</v>
      </c>
    </row>
    <row r="158" spans="1:13" ht="15" customHeight="1" x14ac:dyDescent="0.2">
      <c r="A158" t="s">
        <v>67</v>
      </c>
      <c r="B158" s="18">
        <v>0</v>
      </c>
      <c r="C158" s="18">
        <v>1</v>
      </c>
      <c r="D158" s="18">
        <v>0</v>
      </c>
      <c r="E158" s="18">
        <v>0</v>
      </c>
      <c r="F158" s="18">
        <v>1</v>
      </c>
      <c r="G158" s="18">
        <v>0</v>
      </c>
      <c r="H158" s="18">
        <v>0</v>
      </c>
      <c r="I158" s="18">
        <v>0</v>
      </c>
      <c r="J158" s="19">
        <f t="shared" si="8"/>
        <v>0</v>
      </c>
      <c r="K158" s="19">
        <f t="shared" si="9"/>
        <v>0</v>
      </c>
      <c r="L158" s="19">
        <f t="shared" si="10"/>
        <v>2</v>
      </c>
      <c r="M158" s="19">
        <f t="shared" si="11"/>
        <v>0</v>
      </c>
    </row>
    <row r="159" spans="1:13" ht="15" customHeight="1" x14ac:dyDescent="0.2">
      <c r="A159" t="s">
        <v>68</v>
      </c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</row>
    <row r="160" spans="1:13" ht="15" customHeight="1" x14ac:dyDescent="0.2">
      <c r="A160" t="s">
        <v>69</v>
      </c>
      <c r="B160" s="18">
        <v>0</v>
      </c>
      <c r="C160" s="18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">
      <c r="A161" t="s">
        <v>70</v>
      </c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9">
        <f t="shared" si="8"/>
        <v>0</v>
      </c>
      <c r="K161" s="19">
        <f t="shared" si="9"/>
        <v>0</v>
      </c>
      <c r="L161" s="19">
        <f t="shared" si="10"/>
        <v>0</v>
      </c>
      <c r="M161" s="19">
        <f t="shared" si="11"/>
        <v>0</v>
      </c>
    </row>
    <row r="162" spans="1:13" ht="15" customHeight="1" x14ac:dyDescent="0.2">
      <c r="A162" t="s">
        <v>71</v>
      </c>
      <c r="B162" s="18">
        <v>0</v>
      </c>
      <c r="C162" s="18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">
      <c r="A163" t="s">
        <v>72</v>
      </c>
      <c r="B163" s="18">
        <v>0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9">
        <f t="shared" si="8"/>
        <v>0</v>
      </c>
      <c r="K163" s="19">
        <f t="shared" si="9"/>
        <v>0</v>
      </c>
      <c r="L163" s="19">
        <f t="shared" si="10"/>
        <v>0</v>
      </c>
      <c r="M163" s="19">
        <f t="shared" si="11"/>
        <v>0</v>
      </c>
    </row>
    <row r="164" spans="1:13" ht="15" customHeight="1" x14ac:dyDescent="0.2">
      <c r="A164" t="s">
        <v>73</v>
      </c>
      <c r="B164" s="18">
        <v>0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9">
        <f t="shared" si="8"/>
        <v>0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">
      <c r="A165" t="s">
        <v>74</v>
      </c>
      <c r="B165" s="18">
        <v>0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9">
        <f t="shared" si="8"/>
        <v>0</v>
      </c>
      <c r="K165" s="19">
        <f t="shared" si="9"/>
        <v>0</v>
      </c>
      <c r="L165" s="19">
        <f t="shared" si="10"/>
        <v>0</v>
      </c>
      <c r="M165" s="19">
        <f t="shared" si="11"/>
        <v>0</v>
      </c>
    </row>
    <row r="166" spans="1:13" ht="15" customHeight="1" x14ac:dyDescent="0.2">
      <c r="A166" t="s">
        <v>75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9">
        <f t="shared" si="8"/>
        <v>0</v>
      </c>
      <c r="K166" s="19">
        <f t="shared" si="9"/>
        <v>0</v>
      </c>
      <c r="L166" s="19">
        <f t="shared" si="10"/>
        <v>0</v>
      </c>
      <c r="M166" s="19">
        <f t="shared" si="11"/>
        <v>0</v>
      </c>
    </row>
    <row r="167" spans="1:13" ht="15" customHeight="1" x14ac:dyDescent="0.2">
      <c r="A167" t="s">
        <v>76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9">
        <f t="shared" si="8"/>
        <v>0</v>
      </c>
      <c r="K167" s="19">
        <f t="shared" si="9"/>
        <v>0</v>
      </c>
      <c r="L167" s="19">
        <f t="shared" si="10"/>
        <v>0</v>
      </c>
      <c r="M167" s="19">
        <f t="shared" si="11"/>
        <v>0</v>
      </c>
    </row>
    <row r="168" spans="1:13" ht="15" customHeight="1" x14ac:dyDescent="0.2">
      <c r="A168" t="s">
        <v>77</v>
      </c>
      <c r="B168" s="18">
        <v>0</v>
      </c>
      <c r="C168" s="18">
        <v>0</v>
      </c>
      <c r="D168" s="18">
        <v>0</v>
      </c>
      <c r="E168" s="18">
        <v>1</v>
      </c>
      <c r="F168" s="18">
        <v>0</v>
      </c>
      <c r="G168" s="18">
        <v>0</v>
      </c>
      <c r="H168" s="18">
        <v>0</v>
      </c>
      <c r="I168" s="18">
        <v>0</v>
      </c>
      <c r="J168" s="19">
        <f t="shared" si="8"/>
        <v>1</v>
      </c>
      <c r="K168" s="19">
        <f t="shared" si="9"/>
        <v>0</v>
      </c>
      <c r="L168" s="19">
        <f t="shared" si="10"/>
        <v>0</v>
      </c>
      <c r="M168" s="19">
        <f t="shared" si="11"/>
        <v>0</v>
      </c>
    </row>
    <row r="169" spans="1:13" ht="15" customHeight="1" x14ac:dyDescent="0.2">
      <c r="A169" t="s">
        <v>78</v>
      </c>
      <c r="B169" s="18">
        <v>0</v>
      </c>
      <c r="C169" s="18">
        <v>0</v>
      </c>
      <c r="D169" s="18">
        <v>0</v>
      </c>
      <c r="E169" s="18">
        <v>1</v>
      </c>
      <c r="F169" s="18">
        <v>0</v>
      </c>
      <c r="G169" s="18">
        <v>0</v>
      </c>
      <c r="H169" s="18">
        <v>0</v>
      </c>
      <c r="I169" s="18">
        <v>1</v>
      </c>
      <c r="J169" s="19">
        <f t="shared" si="8"/>
        <v>1</v>
      </c>
      <c r="K169" s="19">
        <f t="shared" si="9"/>
        <v>1</v>
      </c>
      <c r="L169" s="19">
        <f t="shared" si="10"/>
        <v>0</v>
      </c>
      <c r="M169" s="19">
        <f t="shared" si="11"/>
        <v>0</v>
      </c>
    </row>
    <row r="170" spans="1:13" ht="15" customHeight="1" x14ac:dyDescent="0.2">
      <c r="A170" t="s">
        <v>79</v>
      </c>
      <c r="B170" s="18">
        <v>0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2</v>
      </c>
      <c r="J170" s="19">
        <f t="shared" si="8"/>
        <v>0</v>
      </c>
      <c r="K170" s="19">
        <f t="shared" si="9"/>
        <v>2</v>
      </c>
      <c r="L170" s="19">
        <f t="shared" si="10"/>
        <v>0</v>
      </c>
      <c r="M170" s="19">
        <f t="shared" si="11"/>
        <v>0</v>
      </c>
    </row>
    <row r="171" spans="1:13" ht="15" customHeight="1" x14ac:dyDescent="0.2">
      <c r="A171" t="s">
        <v>80</v>
      </c>
      <c r="B171" s="18">
        <v>0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9">
        <f t="shared" si="8"/>
        <v>0</v>
      </c>
      <c r="K171" s="19">
        <f t="shared" si="9"/>
        <v>0</v>
      </c>
      <c r="L171" s="19">
        <f t="shared" si="10"/>
        <v>0</v>
      </c>
      <c r="M171" s="19">
        <f t="shared" si="11"/>
        <v>0</v>
      </c>
    </row>
    <row r="172" spans="1:13" ht="15" customHeight="1" x14ac:dyDescent="0.2">
      <c r="A172" t="s">
        <v>81</v>
      </c>
      <c r="B172" s="18">
        <v>0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9">
        <f t="shared" si="8"/>
        <v>0</v>
      </c>
      <c r="K172" s="19">
        <f t="shared" si="9"/>
        <v>0</v>
      </c>
      <c r="L172" s="19">
        <f t="shared" si="10"/>
        <v>0</v>
      </c>
      <c r="M172" s="19">
        <f t="shared" si="11"/>
        <v>0</v>
      </c>
    </row>
    <row r="173" spans="1:13" ht="15" customHeight="1" x14ac:dyDescent="0.2">
      <c r="A173" t="s">
        <v>82</v>
      </c>
      <c r="B173" s="18">
        <v>0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9">
        <f t="shared" si="8"/>
        <v>0</v>
      </c>
      <c r="K173" s="19">
        <f t="shared" si="9"/>
        <v>0</v>
      </c>
      <c r="L173" s="19">
        <f t="shared" si="10"/>
        <v>0</v>
      </c>
      <c r="M173" s="19">
        <f t="shared" si="11"/>
        <v>0</v>
      </c>
    </row>
    <row r="174" spans="1:13" ht="15" customHeight="1" x14ac:dyDescent="0.2">
      <c r="A174" t="s">
        <v>83</v>
      </c>
      <c r="B174" s="18">
        <v>0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9">
        <f t="shared" si="8"/>
        <v>0</v>
      </c>
      <c r="K174" s="19">
        <f t="shared" si="9"/>
        <v>0</v>
      </c>
      <c r="L174" s="19">
        <f t="shared" si="10"/>
        <v>0</v>
      </c>
      <c r="M174" s="19">
        <f t="shared" si="11"/>
        <v>0</v>
      </c>
    </row>
    <row r="175" spans="1:13" ht="15" customHeight="1" x14ac:dyDescent="0.2">
      <c r="A175" t="s">
        <v>84</v>
      </c>
      <c r="B175" s="18">
        <v>0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9">
        <f t="shared" si="8"/>
        <v>0</v>
      </c>
      <c r="K175" s="19">
        <f t="shared" si="9"/>
        <v>0</v>
      </c>
      <c r="L175" s="19">
        <f t="shared" si="10"/>
        <v>0</v>
      </c>
      <c r="M175" s="19">
        <f t="shared" si="11"/>
        <v>0</v>
      </c>
    </row>
    <row r="176" spans="1:13" ht="15" customHeight="1" x14ac:dyDescent="0.2">
      <c r="A176" t="s">
        <v>85</v>
      </c>
      <c r="B176" s="18">
        <v>0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9">
        <f t="shared" si="8"/>
        <v>0</v>
      </c>
      <c r="K176" s="19">
        <f t="shared" si="9"/>
        <v>0</v>
      </c>
      <c r="L176" s="19">
        <f t="shared" si="10"/>
        <v>0</v>
      </c>
      <c r="M176" s="19">
        <f t="shared" si="11"/>
        <v>0</v>
      </c>
    </row>
    <row r="177" spans="1:13" ht="15" customHeight="1" x14ac:dyDescent="0.2">
      <c r="A177" t="s">
        <v>86</v>
      </c>
      <c r="B177" s="18">
        <v>0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9">
        <f t="shared" si="8"/>
        <v>0</v>
      </c>
      <c r="K177" s="19">
        <f t="shared" si="9"/>
        <v>0</v>
      </c>
      <c r="L177" s="19">
        <f t="shared" si="10"/>
        <v>0</v>
      </c>
      <c r="M177" s="19">
        <f t="shared" si="11"/>
        <v>0</v>
      </c>
    </row>
    <row r="178" spans="1:13" ht="15" customHeight="1" x14ac:dyDescent="0.2">
      <c r="A178" t="s">
        <v>87</v>
      </c>
      <c r="B178" s="18">
        <v>0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9">
        <f t="shared" si="8"/>
        <v>0</v>
      </c>
      <c r="K178" s="19">
        <f t="shared" si="9"/>
        <v>0</v>
      </c>
      <c r="L178" s="19">
        <f t="shared" si="10"/>
        <v>0</v>
      </c>
      <c r="M178" s="19">
        <f t="shared" si="11"/>
        <v>0</v>
      </c>
    </row>
    <row r="179" spans="1:13" ht="15" customHeight="1" x14ac:dyDescent="0.2">
      <c r="A179" t="s">
        <v>88</v>
      </c>
      <c r="B179" s="18">
        <v>0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9">
        <f t="shared" si="8"/>
        <v>0</v>
      </c>
      <c r="K179" s="19">
        <f t="shared" si="9"/>
        <v>0</v>
      </c>
      <c r="L179" s="19">
        <f t="shared" si="10"/>
        <v>0</v>
      </c>
      <c r="M179" s="19">
        <f t="shared" si="11"/>
        <v>0</v>
      </c>
    </row>
    <row r="180" spans="1:13" ht="15" customHeight="1" x14ac:dyDescent="0.2">
      <c r="A180" t="s">
        <v>89</v>
      </c>
      <c r="B180" s="18">
        <v>0</v>
      </c>
      <c r="C180" s="18">
        <v>0</v>
      </c>
      <c r="D180" s="18">
        <v>0</v>
      </c>
      <c r="E180" s="18">
        <v>0</v>
      </c>
      <c r="F180" s="18">
        <v>1</v>
      </c>
      <c r="G180" s="18">
        <v>0</v>
      </c>
      <c r="H180" s="18">
        <v>0</v>
      </c>
      <c r="I180" s="18">
        <v>0</v>
      </c>
      <c r="J180" s="19">
        <f t="shared" si="8"/>
        <v>0</v>
      </c>
      <c r="K180" s="19">
        <f t="shared" si="9"/>
        <v>0</v>
      </c>
      <c r="L180" s="19">
        <f t="shared" si="10"/>
        <v>1</v>
      </c>
      <c r="M180" s="19">
        <f t="shared" si="11"/>
        <v>0</v>
      </c>
    </row>
    <row r="181" spans="1:13" ht="15" customHeight="1" x14ac:dyDescent="0.2">
      <c r="A181" t="s">
        <v>90</v>
      </c>
      <c r="B181" s="18">
        <v>0</v>
      </c>
      <c r="C181" s="18">
        <v>0</v>
      </c>
      <c r="D181" s="18">
        <v>0</v>
      </c>
      <c r="E181" s="18">
        <v>1</v>
      </c>
      <c r="F181" s="18">
        <v>0</v>
      </c>
      <c r="G181" s="18">
        <v>0</v>
      </c>
      <c r="H181" s="18">
        <v>0</v>
      </c>
      <c r="I181" s="18">
        <v>1</v>
      </c>
      <c r="J181" s="19">
        <f t="shared" si="8"/>
        <v>1</v>
      </c>
      <c r="K181" s="19">
        <f t="shared" si="9"/>
        <v>1</v>
      </c>
      <c r="L181" s="19">
        <f t="shared" si="10"/>
        <v>0</v>
      </c>
      <c r="M181" s="19">
        <f t="shared" si="11"/>
        <v>0</v>
      </c>
    </row>
    <row r="182" spans="1:13" ht="15" customHeight="1" x14ac:dyDescent="0.2">
      <c r="A182" t="s">
        <v>91</v>
      </c>
      <c r="B182" s="18">
        <v>0</v>
      </c>
      <c r="C182" s="18">
        <v>0</v>
      </c>
      <c r="D182" s="18">
        <v>0</v>
      </c>
      <c r="E182" s="18">
        <v>0</v>
      </c>
      <c r="F182" s="18">
        <v>1</v>
      </c>
      <c r="G182" s="18">
        <v>0</v>
      </c>
      <c r="H182" s="18">
        <v>0</v>
      </c>
      <c r="I182" s="18">
        <v>0</v>
      </c>
      <c r="J182" s="19">
        <f t="shared" si="8"/>
        <v>0</v>
      </c>
      <c r="K182" s="19">
        <f t="shared" si="9"/>
        <v>0</v>
      </c>
      <c r="L182" s="19">
        <f t="shared" si="10"/>
        <v>1</v>
      </c>
      <c r="M182" s="19">
        <f t="shared" si="11"/>
        <v>0</v>
      </c>
    </row>
    <row r="183" spans="1:13" ht="15" customHeight="1" x14ac:dyDescent="0.2">
      <c r="A183" t="s">
        <v>92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">
      <c r="A184" t="s">
        <v>93</v>
      </c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9">
        <f t="shared" si="8"/>
        <v>0</v>
      </c>
      <c r="K184" s="19">
        <f t="shared" si="9"/>
        <v>0</v>
      </c>
      <c r="L184" s="19">
        <f t="shared" si="10"/>
        <v>0</v>
      </c>
      <c r="M184" s="19">
        <f t="shared" si="11"/>
        <v>0</v>
      </c>
    </row>
    <row r="185" spans="1:13" ht="15" customHeight="1" x14ac:dyDescent="0.2">
      <c r="A185" t="s">
        <v>94</v>
      </c>
      <c r="B185" s="18">
        <v>0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9">
        <f t="shared" si="8"/>
        <v>0</v>
      </c>
      <c r="K185" s="19">
        <f t="shared" si="9"/>
        <v>0</v>
      </c>
      <c r="L185" s="19">
        <f t="shared" si="10"/>
        <v>0</v>
      </c>
      <c r="M185" s="19">
        <f t="shared" si="11"/>
        <v>0</v>
      </c>
    </row>
    <row r="186" spans="1:13" ht="15" customHeight="1" x14ac:dyDescent="0.2">
      <c r="A186" t="s">
        <v>95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9">
        <f t="shared" si="8"/>
        <v>0</v>
      </c>
      <c r="K186" s="19">
        <f t="shared" si="9"/>
        <v>0</v>
      </c>
      <c r="L186" s="19">
        <f t="shared" si="10"/>
        <v>0</v>
      </c>
      <c r="M186" s="19">
        <f t="shared" si="11"/>
        <v>0</v>
      </c>
    </row>
    <row r="187" spans="1:13" ht="15" customHeight="1" x14ac:dyDescent="0.2">
      <c r="A187" t="s">
        <v>96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9">
        <f t="shared" si="8"/>
        <v>0</v>
      </c>
      <c r="K187" s="19">
        <f t="shared" si="9"/>
        <v>0</v>
      </c>
      <c r="L187" s="19">
        <f t="shared" si="10"/>
        <v>0</v>
      </c>
      <c r="M187" s="19">
        <f t="shared" si="11"/>
        <v>0</v>
      </c>
    </row>
    <row r="188" spans="1:13" ht="15" customHeight="1" x14ac:dyDescent="0.2">
      <c r="A188" t="s">
        <v>97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9">
        <f t="shared" si="8"/>
        <v>0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">
      <c r="A189" t="s">
        <v>98</v>
      </c>
      <c r="B189" s="18">
        <v>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9">
        <f t="shared" si="8"/>
        <v>0</v>
      </c>
      <c r="K189" s="19">
        <f t="shared" si="9"/>
        <v>0</v>
      </c>
      <c r="L189" s="19">
        <f t="shared" si="10"/>
        <v>0</v>
      </c>
      <c r="M189" s="19">
        <f t="shared" si="11"/>
        <v>0</v>
      </c>
    </row>
    <row r="190" spans="1:13" ht="15" customHeight="1" x14ac:dyDescent="0.2">
      <c r="A190" t="s">
        <v>99</v>
      </c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9">
        <f t="shared" si="8"/>
        <v>0</v>
      </c>
      <c r="K190" s="19">
        <f t="shared" si="9"/>
        <v>0</v>
      </c>
      <c r="L190" s="19">
        <f t="shared" si="10"/>
        <v>0</v>
      </c>
      <c r="M190" s="19">
        <f t="shared" si="11"/>
        <v>0</v>
      </c>
    </row>
    <row r="191" spans="1:13" ht="15" customHeight="1" x14ac:dyDescent="0.2">
      <c r="A191" t="s">
        <v>100</v>
      </c>
      <c r="B191" s="18">
        <v>0</v>
      </c>
      <c r="C191" s="18">
        <v>0</v>
      </c>
      <c r="D191" s="18">
        <v>0</v>
      </c>
      <c r="E191" s="18">
        <v>2</v>
      </c>
      <c r="F191" s="18">
        <v>0</v>
      </c>
      <c r="G191" s="18">
        <v>0</v>
      </c>
      <c r="H191" s="18">
        <v>0</v>
      </c>
      <c r="I191" s="18">
        <v>0</v>
      </c>
      <c r="J191" s="19">
        <f t="shared" si="8"/>
        <v>2</v>
      </c>
      <c r="K191" s="19">
        <f t="shared" si="9"/>
        <v>0</v>
      </c>
      <c r="L191" s="19">
        <f t="shared" si="10"/>
        <v>0</v>
      </c>
      <c r="M191" s="19">
        <f t="shared" si="11"/>
        <v>0</v>
      </c>
    </row>
    <row r="192" spans="1:13" ht="15" customHeight="1" x14ac:dyDescent="0.2">
      <c r="A192" t="s">
        <v>101</v>
      </c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9">
        <f t="shared" si="8"/>
        <v>0</v>
      </c>
      <c r="K192" s="19">
        <f t="shared" si="9"/>
        <v>0</v>
      </c>
      <c r="L192" s="19">
        <f t="shared" si="10"/>
        <v>0</v>
      </c>
      <c r="M192" s="19">
        <f t="shared" si="11"/>
        <v>0</v>
      </c>
    </row>
    <row r="193" spans="1:13" ht="15" customHeight="1" x14ac:dyDescent="0.2">
      <c r="A193" t="s">
        <v>102</v>
      </c>
      <c r="B193" s="18">
        <v>0</v>
      </c>
      <c r="C193" s="18">
        <v>0</v>
      </c>
      <c r="D193" s="18">
        <v>0</v>
      </c>
      <c r="E193" s="18">
        <v>1</v>
      </c>
      <c r="F193" s="18">
        <v>0</v>
      </c>
      <c r="G193" s="18">
        <v>0</v>
      </c>
      <c r="H193" s="18">
        <v>0</v>
      </c>
      <c r="I193" s="18">
        <v>0</v>
      </c>
      <c r="J193" s="19">
        <f t="shared" si="8"/>
        <v>1</v>
      </c>
      <c r="K193" s="19">
        <f t="shared" si="9"/>
        <v>0</v>
      </c>
      <c r="L193" s="19">
        <f t="shared" si="10"/>
        <v>0</v>
      </c>
      <c r="M193" s="19">
        <f t="shared" si="11"/>
        <v>0</v>
      </c>
    </row>
    <row r="194" spans="1:13" ht="15" customHeight="1" x14ac:dyDescent="0.2">
      <c r="A194" t="s">
        <v>103</v>
      </c>
      <c r="B194" s="18">
        <v>0</v>
      </c>
      <c r="C194" s="18">
        <v>0</v>
      </c>
      <c r="D194" s="18">
        <v>0</v>
      </c>
      <c r="E194" s="18">
        <v>2</v>
      </c>
      <c r="F194" s="18">
        <v>0</v>
      </c>
      <c r="G194" s="18">
        <v>0</v>
      </c>
      <c r="H194" s="18">
        <v>0</v>
      </c>
      <c r="I194" s="18">
        <v>0</v>
      </c>
      <c r="J194" s="19">
        <f t="shared" si="8"/>
        <v>2</v>
      </c>
      <c r="K194" s="19">
        <f t="shared" si="9"/>
        <v>0</v>
      </c>
      <c r="L194" s="19">
        <f t="shared" si="10"/>
        <v>0</v>
      </c>
      <c r="M194" s="19">
        <f t="shared" si="11"/>
        <v>0</v>
      </c>
    </row>
    <row r="195" spans="1:13" ht="15" customHeight="1" x14ac:dyDescent="0.2">
      <c r="A195" t="s">
        <v>104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3" ht="15" customHeight="1" x14ac:dyDescent="0.2">
      <c r="A196" t="s">
        <v>105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3" ht="15" customHeight="1" x14ac:dyDescent="0.2">
      <c r="A197" t="s">
        <v>106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</row>
    <row r="198" spans="1:13" ht="15" customHeight="1" x14ac:dyDescent="0.2">
      <c r="A198" t="s">
        <v>107</v>
      </c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9">
        <f t="shared" si="8"/>
        <v>0</v>
      </c>
      <c r="K198" s="19">
        <f t="shared" si="9"/>
        <v>0</v>
      </c>
      <c r="L198" s="19">
        <f t="shared" si="10"/>
        <v>0</v>
      </c>
      <c r="M198" s="19">
        <f t="shared" si="11"/>
        <v>0</v>
      </c>
    </row>
    <row r="199" spans="1:13" ht="15" customHeight="1" x14ac:dyDescent="0.2">
      <c r="A199" t="s">
        <v>108</v>
      </c>
      <c r="B199" s="18">
        <v>0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3" ht="15" customHeight="1" x14ac:dyDescent="0.2">
      <c r="A200" t="s">
        <v>109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9">
        <f t="shared" si="8"/>
        <v>0</v>
      </c>
      <c r="K200" s="19">
        <f t="shared" si="9"/>
        <v>0</v>
      </c>
      <c r="L200" s="19">
        <f t="shared" si="10"/>
        <v>0</v>
      </c>
      <c r="M200" s="19">
        <f t="shared" si="11"/>
        <v>0</v>
      </c>
    </row>
    <row r="201" spans="1:13" ht="15" customHeight="1" x14ac:dyDescent="0.2">
      <c r="A201" t="s">
        <v>110</v>
      </c>
      <c r="B201" s="18">
        <v>0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</row>
    <row r="202" spans="1:13" ht="15" customHeight="1" x14ac:dyDescent="0.2">
      <c r="B202" s="19">
        <f t="shared" ref="B202:M202" si="12">SUM(B10:B201)</f>
        <v>0</v>
      </c>
      <c r="C202" s="19">
        <f t="shared" si="12"/>
        <v>27</v>
      </c>
      <c r="D202" s="19">
        <f t="shared" si="12"/>
        <v>2</v>
      </c>
      <c r="E202" s="19">
        <f t="shared" si="12"/>
        <v>35</v>
      </c>
      <c r="F202" s="19">
        <f t="shared" si="12"/>
        <v>51</v>
      </c>
      <c r="G202" s="19">
        <f t="shared" si="12"/>
        <v>1</v>
      </c>
      <c r="H202" s="19">
        <f t="shared" si="12"/>
        <v>4</v>
      </c>
      <c r="I202" s="19">
        <f t="shared" si="12"/>
        <v>31</v>
      </c>
      <c r="J202" s="20">
        <f t="shared" si="12"/>
        <v>39</v>
      </c>
      <c r="K202" s="20">
        <f t="shared" si="12"/>
        <v>33</v>
      </c>
      <c r="L202" s="20">
        <f t="shared" si="12"/>
        <v>62</v>
      </c>
      <c r="M202" s="20">
        <f t="shared" si="12"/>
        <v>1</v>
      </c>
    </row>
    <row r="204" spans="1:13" ht="15" customHeight="1" x14ac:dyDescent="0.2">
      <c r="K204" s="88" t="s">
        <v>212</v>
      </c>
      <c r="L204" s="6">
        <f>SUM(L36:L91,L132:L187)</f>
        <v>50</v>
      </c>
    </row>
    <row r="205" spans="1:13" ht="15" customHeight="1" x14ac:dyDescent="0.2">
      <c r="K205" s="88" t="s">
        <v>213</v>
      </c>
      <c r="L205" s="6">
        <f>L202-L204</f>
        <v>12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5"/>
  <sheetViews>
    <sheetView workbookViewId="0">
      <pane xSplit="1" ySplit="9" topLeftCell="B191" activePane="bottomRight" state="frozen"/>
      <selection pane="topRight" activeCell="B1" sqref="B1"/>
      <selection pane="bottomLeft" activeCell="A10" sqref="A10"/>
      <selection pane="bottomRight" activeCell="N1" sqref="N1:N1048576"/>
    </sheetView>
  </sheetViews>
  <sheetFormatPr defaultColWidth="12.140625" defaultRowHeight="15" customHeight="1" x14ac:dyDescent="0.2"/>
  <cols>
    <col min="1" max="1" width="12.140625" bestFit="1" customWidth="1"/>
    <col min="2" max="2" width="10.42578125" customWidth="1"/>
    <col min="3" max="3" width="10.42578125" style="45" customWidth="1"/>
    <col min="4" max="4" width="9.85546875" customWidth="1"/>
    <col min="5" max="5" width="10.5703125" customWidth="1"/>
    <col min="6" max="7" width="10.42578125" customWidth="1"/>
    <col min="8" max="8" width="9.85546875" customWidth="1"/>
    <col min="9" max="9" width="9.85546875" style="45" customWidth="1"/>
    <col min="10" max="10" width="10.42578125" customWidth="1"/>
    <col min="11" max="11" width="11" customWidth="1"/>
    <col min="12" max="12" width="11.42578125" customWidth="1"/>
    <col min="13" max="13" width="10.85546875" customWidth="1"/>
  </cols>
  <sheetData>
    <row r="1" spans="1:14" ht="15" customHeight="1" x14ac:dyDescent="0.3">
      <c r="A1" s="111" t="s">
        <v>0</v>
      </c>
      <c r="B1" s="111"/>
      <c r="C1" s="112" t="s">
        <v>140</v>
      </c>
      <c r="D1" s="112"/>
      <c r="E1" s="112"/>
      <c r="F1" s="112"/>
    </row>
    <row r="2" spans="1:14" ht="15" customHeight="1" x14ac:dyDescent="0.3">
      <c r="A2" s="111" t="s">
        <v>2</v>
      </c>
      <c r="B2" s="111"/>
      <c r="C2" s="112" t="s">
        <v>141</v>
      </c>
      <c r="D2" s="112"/>
      <c r="E2" s="112"/>
      <c r="F2" s="112"/>
    </row>
    <row r="3" spans="1:14" ht="15" customHeight="1" x14ac:dyDescent="0.3">
      <c r="A3" s="111" t="s">
        <v>4</v>
      </c>
      <c r="B3" s="111"/>
      <c r="C3" s="112" t="s">
        <v>5</v>
      </c>
      <c r="D3" s="112"/>
      <c r="E3" s="112"/>
      <c r="F3" s="112"/>
    </row>
    <row r="4" spans="1:14" ht="15" customHeight="1" x14ac:dyDescent="0.3">
      <c r="A4" s="111" t="s">
        <v>6</v>
      </c>
      <c r="B4" s="111"/>
      <c r="C4" s="112" t="s">
        <v>7</v>
      </c>
      <c r="D4" s="112"/>
      <c r="E4" s="112"/>
      <c r="F4" s="112"/>
    </row>
    <row r="7" spans="1:14" s="1" customFormat="1" ht="47.25" customHeight="1" x14ac:dyDescent="0.3">
      <c r="A7" s="2" t="s">
        <v>8</v>
      </c>
      <c r="B7" s="3" t="s">
        <v>142</v>
      </c>
      <c r="C7" s="43" t="s">
        <v>143</v>
      </c>
      <c r="D7" s="3" t="s">
        <v>142</v>
      </c>
      <c r="E7" s="3" t="s">
        <v>143</v>
      </c>
      <c r="F7" s="3" t="s">
        <v>144</v>
      </c>
      <c r="G7" s="3" t="s">
        <v>145</v>
      </c>
      <c r="H7" s="3" t="s">
        <v>144</v>
      </c>
      <c r="I7" s="43" t="s">
        <v>145</v>
      </c>
    </row>
    <row r="8" spans="1:14" s="1" customFormat="1" ht="15" customHeight="1" x14ac:dyDescent="0.3">
      <c r="A8" s="2" t="s">
        <v>13</v>
      </c>
      <c r="B8" s="4" t="s">
        <v>128</v>
      </c>
      <c r="C8" s="44" t="s">
        <v>128</v>
      </c>
      <c r="D8" s="4" t="s">
        <v>129</v>
      </c>
      <c r="E8" s="4" t="s">
        <v>129</v>
      </c>
      <c r="F8" s="4" t="s">
        <v>128</v>
      </c>
      <c r="G8" s="4" t="s">
        <v>128</v>
      </c>
      <c r="H8" s="4" t="s">
        <v>129</v>
      </c>
      <c r="I8" s="44" t="s">
        <v>129</v>
      </c>
    </row>
    <row r="9" spans="1:14" s="1" customFormat="1" ht="30.75" customHeight="1" x14ac:dyDescent="0.2">
      <c r="B9" s="16" t="s">
        <v>113</v>
      </c>
      <c r="C9" s="55" t="s">
        <v>114</v>
      </c>
      <c r="D9" s="16" t="s">
        <v>111</v>
      </c>
      <c r="E9" s="16" t="s">
        <v>112</v>
      </c>
      <c r="F9" s="16" t="s">
        <v>111</v>
      </c>
      <c r="G9" s="16" t="s">
        <v>112</v>
      </c>
      <c r="H9" s="16" t="s">
        <v>113</v>
      </c>
      <c r="I9" s="55" t="s">
        <v>114</v>
      </c>
      <c r="J9" s="17" t="s">
        <v>113</v>
      </c>
      <c r="K9" s="17" t="s">
        <v>111</v>
      </c>
      <c r="L9" s="16" t="s">
        <v>114</v>
      </c>
      <c r="M9" s="16" t="s">
        <v>112</v>
      </c>
    </row>
    <row r="10" spans="1:14" ht="15" customHeight="1" x14ac:dyDescent="0.2">
      <c r="A10" t="s">
        <v>5</v>
      </c>
      <c r="B10" s="18">
        <v>0</v>
      </c>
      <c r="C10" s="59">
        <v>0</v>
      </c>
      <c r="D10" s="18">
        <v>0</v>
      </c>
      <c r="E10" s="18">
        <v>0</v>
      </c>
      <c r="F10" s="18">
        <v>1</v>
      </c>
      <c r="G10" s="18">
        <v>0</v>
      </c>
      <c r="H10" s="18">
        <v>1</v>
      </c>
      <c r="I10" s="59">
        <v>0</v>
      </c>
      <c r="J10" s="19">
        <f>SUM(B10,H10)</f>
        <v>1</v>
      </c>
      <c r="K10" s="19">
        <f>SUM(D10,F10)</f>
        <v>1</v>
      </c>
      <c r="L10" s="19">
        <f>SUM(C10,I10)</f>
        <v>0</v>
      </c>
      <c r="M10" s="19">
        <f>SUM(E10,G10)</f>
        <v>0</v>
      </c>
      <c r="N10">
        <v>15</v>
      </c>
    </row>
    <row r="11" spans="1:14" ht="15" customHeight="1" x14ac:dyDescent="0.2">
      <c r="A11" t="s">
        <v>16</v>
      </c>
      <c r="B11" s="18">
        <v>0</v>
      </c>
      <c r="C11" s="59">
        <v>0</v>
      </c>
      <c r="D11" s="18">
        <v>0</v>
      </c>
      <c r="E11" s="18">
        <v>0</v>
      </c>
      <c r="F11" s="18">
        <v>0</v>
      </c>
      <c r="G11" s="18">
        <v>0</v>
      </c>
      <c r="H11" s="18">
        <v>1</v>
      </c>
      <c r="I11" s="59">
        <v>0</v>
      </c>
      <c r="J11" s="19">
        <f t="shared" ref="J11:J74" si="0">SUM(B11,H11)</f>
        <v>1</v>
      </c>
      <c r="K11" s="19">
        <f t="shared" ref="K11:K74" si="1">SUM(D11,F11)</f>
        <v>0</v>
      </c>
      <c r="L11" s="19">
        <f t="shared" ref="L11:L74" si="2">SUM(C11,I11)</f>
        <v>0</v>
      </c>
      <c r="M11" s="19">
        <f t="shared" ref="M11:M74" si="3">SUM(E11,G11)</f>
        <v>0</v>
      </c>
      <c r="N11">
        <v>15</v>
      </c>
    </row>
    <row r="12" spans="1:14" ht="15" customHeight="1" x14ac:dyDescent="0.2">
      <c r="A12" t="s">
        <v>17</v>
      </c>
      <c r="B12" s="18">
        <v>0</v>
      </c>
      <c r="C12" s="59">
        <v>0</v>
      </c>
      <c r="D12" s="18">
        <v>0</v>
      </c>
      <c r="E12" s="18">
        <v>0</v>
      </c>
      <c r="F12" s="18">
        <v>0</v>
      </c>
      <c r="G12" s="18">
        <v>0</v>
      </c>
      <c r="H12" s="18">
        <v>1</v>
      </c>
      <c r="I12" s="59">
        <v>0</v>
      </c>
      <c r="J12" s="19">
        <f t="shared" si="0"/>
        <v>1</v>
      </c>
      <c r="K12" s="19">
        <f t="shared" si="1"/>
        <v>0</v>
      </c>
      <c r="L12" s="19">
        <f t="shared" si="2"/>
        <v>0</v>
      </c>
      <c r="M12" s="19">
        <f t="shared" si="3"/>
        <v>0</v>
      </c>
      <c r="N12">
        <v>15</v>
      </c>
    </row>
    <row r="13" spans="1:14" ht="15" customHeight="1" x14ac:dyDescent="0.2">
      <c r="A13" t="s">
        <v>18</v>
      </c>
      <c r="B13" s="18">
        <v>0</v>
      </c>
      <c r="C13" s="59">
        <v>0</v>
      </c>
      <c r="D13" s="18">
        <v>0</v>
      </c>
      <c r="E13" s="18">
        <v>0</v>
      </c>
      <c r="F13" s="18">
        <v>0</v>
      </c>
      <c r="G13" s="18">
        <v>0</v>
      </c>
      <c r="H13" s="18">
        <v>1</v>
      </c>
      <c r="I13" s="59">
        <v>0</v>
      </c>
      <c r="J13" s="19">
        <f t="shared" si="0"/>
        <v>1</v>
      </c>
      <c r="K13" s="19">
        <f t="shared" si="1"/>
        <v>0</v>
      </c>
      <c r="L13" s="19">
        <f t="shared" si="2"/>
        <v>0</v>
      </c>
      <c r="M13" s="19">
        <f t="shared" si="3"/>
        <v>0</v>
      </c>
      <c r="N13">
        <v>15</v>
      </c>
    </row>
    <row r="14" spans="1:14" ht="15" customHeight="1" x14ac:dyDescent="0.2">
      <c r="A14" t="s">
        <v>19</v>
      </c>
      <c r="B14" s="18">
        <v>0</v>
      </c>
      <c r="C14" s="59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59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  <c r="N14">
        <v>15</v>
      </c>
    </row>
    <row r="15" spans="1:14" ht="15" customHeight="1" x14ac:dyDescent="0.2">
      <c r="A15" t="s">
        <v>20</v>
      </c>
      <c r="B15" s="18">
        <v>0</v>
      </c>
      <c r="C15" s="59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59">
        <v>0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0</v>
      </c>
      <c r="N15">
        <v>15</v>
      </c>
    </row>
    <row r="16" spans="1:14" ht="15" customHeight="1" x14ac:dyDescent="0.2">
      <c r="A16" t="s">
        <v>21</v>
      </c>
      <c r="B16" s="18">
        <v>0</v>
      </c>
      <c r="C16" s="59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59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  <c r="N16">
        <v>15</v>
      </c>
    </row>
    <row r="17" spans="1:14" ht="15" customHeight="1" x14ac:dyDescent="0.2">
      <c r="A17" t="s">
        <v>22</v>
      </c>
      <c r="B17" s="18">
        <v>0</v>
      </c>
      <c r="C17" s="59">
        <v>0</v>
      </c>
      <c r="D17" s="18">
        <v>1</v>
      </c>
      <c r="E17" s="18">
        <v>0</v>
      </c>
      <c r="F17" s="18">
        <v>0</v>
      </c>
      <c r="G17" s="18">
        <v>0</v>
      </c>
      <c r="H17" s="18">
        <v>0</v>
      </c>
      <c r="I17" s="59">
        <v>0</v>
      </c>
      <c r="J17" s="19">
        <f t="shared" si="0"/>
        <v>0</v>
      </c>
      <c r="K17" s="19">
        <f t="shared" si="1"/>
        <v>1</v>
      </c>
      <c r="L17" s="19">
        <f t="shared" si="2"/>
        <v>0</v>
      </c>
      <c r="M17" s="19">
        <f t="shared" si="3"/>
        <v>0</v>
      </c>
      <c r="N17">
        <v>15</v>
      </c>
    </row>
    <row r="18" spans="1:14" ht="15" customHeight="1" x14ac:dyDescent="0.2">
      <c r="A18" t="s">
        <v>23</v>
      </c>
      <c r="B18" s="18">
        <v>0</v>
      </c>
      <c r="C18" s="59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59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  <c r="N18">
        <v>15</v>
      </c>
    </row>
    <row r="19" spans="1:14" ht="15" customHeight="1" x14ac:dyDescent="0.2">
      <c r="A19" t="s">
        <v>24</v>
      </c>
      <c r="B19" s="18">
        <v>0</v>
      </c>
      <c r="C19" s="59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59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  <c r="N19">
        <v>15</v>
      </c>
    </row>
    <row r="20" spans="1:14" ht="15" customHeight="1" x14ac:dyDescent="0.2">
      <c r="A20" t="s">
        <v>25</v>
      </c>
      <c r="B20" s="18">
        <v>0</v>
      </c>
      <c r="C20" s="59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59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  <c r="N20">
        <v>15</v>
      </c>
    </row>
    <row r="21" spans="1:14" ht="15" customHeight="1" x14ac:dyDescent="0.2">
      <c r="A21" t="s">
        <v>26</v>
      </c>
      <c r="B21" s="18">
        <v>0</v>
      </c>
      <c r="C21" s="59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59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  <c r="N21">
        <v>15</v>
      </c>
    </row>
    <row r="22" spans="1:14" ht="15" customHeight="1" x14ac:dyDescent="0.2">
      <c r="A22" t="s">
        <v>27</v>
      </c>
      <c r="B22" s="18">
        <v>0</v>
      </c>
      <c r="C22" s="59">
        <v>0</v>
      </c>
      <c r="D22" s="18">
        <v>1</v>
      </c>
      <c r="E22" s="18">
        <v>0</v>
      </c>
      <c r="F22" s="18">
        <v>0</v>
      </c>
      <c r="G22" s="18">
        <v>0</v>
      </c>
      <c r="H22" s="18">
        <v>0</v>
      </c>
      <c r="I22" s="59">
        <v>0</v>
      </c>
      <c r="J22" s="19">
        <f t="shared" si="0"/>
        <v>0</v>
      </c>
      <c r="K22" s="19">
        <f t="shared" si="1"/>
        <v>1</v>
      </c>
      <c r="L22" s="19">
        <f t="shared" si="2"/>
        <v>0</v>
      </c>
      <c r="M22" s="19">
        <f t="shared" si="3"/>
        <v>0</v>
      </c>
      <c r="N22">
        <v>15</v>
      </c>
    </row>
    <row r="23" spans="1:14" ht="15" customHeight="1" x14ac:dyDescent="0.2">
      <c r="A23" t="s">
        <v>28</v>
      </c>
      <c r="B23" s="18">
        <v>0</v>
      </c>
      <c r="C23" s="59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59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  <c r="N23">
        <v>15</v>
      </c>
    </row>
    <row r="24" spans="1:14" ht="15" customHeight="1" x14ac:dyDescent="0.2">
      <c r="A24" t="s">
        <v>29</v>
      </c>
      <c r="B24" s="18">
        <v>0</v>
      </c>
      <c r="C24" s="59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59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  <c r="N24">
        <v>15</v>
      </c>
    </row>
    <row r="25" spans="1:14" ht="15" customHeight="1" x14ac:dyDescent="0.2">
      <c r="A25" t="s">
        <v>30</v>
      </c>
      <c r="B25" s="18">
        <v>0</v>
      </c>
      <c r="C25" s="59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59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  <c r="N25">
        <v>15</v>
      </c>
    </row>
    <row r="26" spans="1:14" ht="15" customHeight="1" x14ac:dyDescent="0.2">
      <c r="A26" t="s">
        <v>31</v>
      </c>
      <c r="B26" s="18">
        <v>0</v>
      </c>
      <c r="C26" s="59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59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  <c r="N26">
        <v>15</v>
      </c>
    </row>
    <row r="27" spans="1:14" ht="15" customHeight="1" x14ac:dyDescent="0.2">
      <c r="A27" t="s">
        <v>32</v>
      </c>
      <c r="B27" s="18">
        <v>0</v>
      </c>
      <c r="C27" s="59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59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  <c r="N27">
        <v>15</v>
      </c>
    </row>
    <row r="28" spans="1:14" ht="15" customHeight="1" x14ac:dyDescent="0.2">
      <c r="A28" t="s">
        <v>33</v>
      </c>
      <c r="B28" s="18">
        <v>0</v>
      </c>
      <c r="C28" s="59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59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  <c r="N28">
        <v>15</v>
      </c>
    </row>
    <row r="29" spans="1:14" ht="15" customHeight="1" x14ac:dyDescent="0.2">
      <c r="A29" t="s">
        <v>34</v>
      </c>
      <c r="B29" s="18">
        <v>0</v>
      </c>
      <c r="C29" s="59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59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  <c r="N29">
        <v>15</v>
      </c>
    </row>
    <row r="30" spans="1:14" ht="15" customHeight="1" x14ac:dyDescent="0.2">
      <c r="A30" t="s">
        <v>35</v>
      </c>
      <c r="B30" s="18">
        <v>0</v>
      </c>
      <c r="C30" s="59">
        <v>0</v>
      </c>
      <c r="D30" s="18">
        <v>1</v>
      </c>
      <c r="E30" s="18">
        <v>0</v>
      </c>
      <c r="F30" s="18">
        <v>0</v>
      </c>
      <c r="G30" s="18">
        <v>0</v>
      </c>
      <c r="H30" s="18">
        <v>0</v>
      </c>
      <c r="I30" s="59">
        <v>0</v>
      </c>
      <c r="J30" s="19">
        <f t="shared" si="0"/>
        <v>0</v>
      </c>
      <c r="K30" s="19">
        <f t="shared" si="1"/>
        <v>1</v>
      </c>
      <c r="L30" s="19">
        <f t="shared" si="2"/>
        <v>0</v>
      </c>
      <c r="M30" s="19">
        <f t="shared" si="3"/>
        <v>0</v>
      </c>
      <c r="N30">
        <v>15</v>
      </c>
    </row>
    <row r="31" spans="1:14" ht="15" customHeight="1" x14ac:dyDescent="0.2">
      <c r="A31" t="s">
        <v>36</v>
      </c>
      <c r="B31" s="18">
        <v>0</v>
      </c>
      <c r="C31" s="59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59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  <c r="N31">
        <v>15</v>
      </c>
    </row>
    <row r="32" spans="1:14" ht="15" customHeight="1" x14ac:dyDescent="0.2">
      <c r="A32" t="s">
        <v>37</v>
      </c>
      <c r="B32" s="18">
        <v>0</v>
      </c>
      <c r="C32" s="59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59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  <c r="N32">
        <v>15</v>
      </c>
    </row>
    <row r="33" spans="1:14" ht="15" customHeight="1" x14ac:dyDescent="0.2">
      <c r="A33" t="s">
        <v>38</v>
      </c>
      <c r="B33" s="18">
        <v>0</v>
      </c>
      <c r="C33" s="59">
        <v>0</v>
      </c>
      <c r="D33" s="18">
        <v>0</v>
      </c>
      <c r="E33" s="18">
        <v>0</v>
      </c>
      <c r="F33" s="18">
        <v>0</v>
      </c>
      <c r="G33" s="18">
        <v>0</v>
      </c>
      <c r="H33" s="18">
        <v>1</v>
      </c>
      <c r="I33" s="59">
        <v>0</v>
      </c>
      <c r="J33" s="19">
        <f t="shared" si="0"/>
        <v>1</v>
      </c>
      <c r="K33" s="19">
        <f t="shared" si="1"/>
        <v>0</v>
      </c>
      <c r="L33" s="19">
        <f t="shared" si="2"/>
        <v>0</v>
      </c>
      <c r="M33" s="19">
        <f t="shared" si="3"/>
        <v>0</v>
      </c>
      <c r="N33">
        <v>15</v>
      </c>
    </row>
    <row r="34" spans="1:14" ht="15" customHeight="1" x14ac:dyDescent="0.2">
      <c r="A34" t="s">
        <v>39</v>
      </c>
      <c r="B34" s="18">
        <v>0</v>
      </c>
      <c r="C34" s="59">
        <v>0</v>
      </c>
      <c r="D34" s="18">
        <v>0</v>
      </c>
      <c r="E34" s="18">
        <v>0</v>
      </c>
      <c r="F34" s="18">
        <v>1</v>
      </c>
      <c r="G34" s="18">
        <v>0</v>
      </c>
      <c r="H34" s="18">
        <v>0</v>
      </c>
      <c r="I34" s="59">
        <v>0</v>
      </c>
      <c r="J34" s="19">
        <f t="shared" si="0"/>
        <v>0</v>
      </c>
      <c r="K34" s="19">
        <f t="shared" si="1"/>
        <v>1</v>
      </c>
      <c r="L34" s="19">
        <f t="shared" si="2"/>
        <v>0</v>
      </c>
      <c r="M34" s="19">
        <f t="shared" si="3"/>
        <v>0</v>
      </c>
      <c r="N34">
        <v>15</v>
      </c>
    </row>
    <row r="35" spans="1:14" ht="15" customHeight="1" x14ac:dyDescent="0.2">
      <c r="A35" t="s">
        <v>40</v>
      </c>
      <c r="B35" s="18">
        <v>0</v>
      </c>
      <c r="C35" s="59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59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  <c r="N35">
        <v>15</v>
      </c>
    </row>
    <row r="36" spans="1:14" ht="15" customHeight="1" x14ac:dyDescent="0.2">
      <c r="A36" t="s">
        <v>41</v>
      </c>
      <c r="B36" s="18">
        <v>0</v>
      </c>
      <c r="C36" s="59">
        <v>0</v>
      </c>
      <c r="D36" s="18">
        <v>1</v>
      </c>
      <c r="E36" s="18">
        <v>0</v>
      </c>
      <c r="F36" s="18">
        <v>0</v>
      </c>
      <c r="G36" s="18">
        <v>0</v>
      </c>
      <c r="H36" s="18">
        <v>0</v>
      </c>
      <c r="I36" s="59">
        <v>0</v>
      </c>
      <c r="J36" s="19">
        <f t="shared" si="0"/>
        <v>0</v>
      </c>
      <c r="K36" s="19">
        <f t="shared" si="1"/>
        <v>1</v>
      </c>
      <c r="L36" s="19">
        <f t="shared" si="2"/>
        <v>0</v>
      </c>
      <c r="M36" s="19">
        <f t="shared" si="3"/>
        <v>0</v>
      </c>
      <c r="N36">
        <v>15</v>
      </c>
    </row>
    <row r="37" spans="1:14" ht="15" customHeight="1" x14ac:dyDescent="0.2">
      <c r="A37" t="s">
        <v>42</v>
      </c>
      <c r="B37" s="18">
        <v>1</v>
      </c>
      <c r="C37" s="59">
        <v>0</v>
      </c>
      <c r="D37" s="18">
        <v>0</v>
      </c>
      <c r="E37" s="18">
        <v>0</v>
      </c>
      <c r="F37" s="18">
        <v>1</v>
      </c>
      <c r="G37" s="18">
        <v>0</v>
      </c>
      <c r="H37" s="18">
        <v>0</v>
      </c>
      <c r="I37" s="59">
        <v>0</v>
      </c>
      <c r="J37" s="19">
        <f t="shared" si="0"/>
        <v>1</v>
      </c>
      <c r="K37" s="19">
        <f t="shared" si="1"/>
        <v>1</v>
      </c>
      <c r="L37" s="19">
        <f t="shared" si="2"/>
        <v>0</v>
      </c>
      <c r="M37" s="19">
        <f t="shared" si="3"/>
        <v>0</v>
      </c>
      <c r="N37">
        <v>15</v>
      </c>
    </row>
    <row r="38" spans="1:14" ht="15" customHeight="1" x14ac:dyDescent="0.2">
      <c r="A38" t="s">
        <v>43</v>
      </c>
      <c r="B38" s="18">
        <v>0</v>
      </c>
      <c r="C38" s="59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59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  <c r="N38">
        <v>15</v>
      </c>
    </row>
    <row r="39" spans="1:14" ht="15" customHeight="1" x14ac:dyDescent="0.2">
      <c r="A39" t="s">
        <v>44</v>
      </c>
      <c r="B39" s="18">
        <v>0</v>
      </c>
      <c r="C39" s="59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59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  <c r="N39">
        <v>15</v>
      </c>
    </row>
    <row r="40" spans="1:14" ht="15" customHeight="1" x14ac:dyDescent="0.2">
      <c r="A40" t="s">
        <v>45</v>
      </c>
      <c r="B40" s="18">
        <v>0</v>
      </c>
      <c r="C40" s="59">
        <v>0</v>
      </c>
      <c r="D40" s="18">
        <v>0</v>
      </c>
      <c r="E40" s="18">
        <v>0</v>
      </c>
      <c r="F40" s="18">
        <v>1</v>
      </c>
      <c r="G40" s="18">
        <v>0</v>
      </c>
      <c r="H40" s="18">
        <v>1</v>
      </c>
      <c r="I40" s="59">
        <v>0</v>
      </c>
      <c r="J40" s="19">
        <f t="shared" si="0"/>
        <v>1</v>
      </c>
      <c r="K40" s="19">
        <f t="shared" si="1"/>
        <v>1</v>
      </c>
      <c r="L40" s="19">
        <f t="shared" si="2"/>
        <v>0</v>
      </c>
      <c r="M40" s="19">
        <f t="shared" si="3"/>
        <v>0</v>
      </c>
      <c r="N40">
        <v>15</v>
      </c>
    </row>
    <row r="41" spans="1:14" ht="15" customHeight="1" x14ac:dyDescent="0.2">
      <c r="A41" t="s">
        <v>46</v>
      </c>
      <c r="B41" s="18">
        <v>0</v>
      </c>
      <c r="C41" s="59">
        <v>0</v>
      </c>
      <c r="D41" s="18">
        <v>0</v>
      </c>
      <c r="E41" s="18">
        <v>0</v>
      </c>
      <c r="F41" s="18">
        <v>1</v>
      </c>
      <c r="G41" s="18">
        <v>0</v>
      </c>
      <c r="H41" s="18">
        <v>0</v>
      </c>
      <c r="I41" s="59">
        <v>0</v>
      </c>
      <c r="J41" s="19">
        <f t="shared" si="0"/>
        <v>0</v>
      </c>
      <c r="K41" s="19">
        <f t="shared" si="1"/>
        <v>1</v>
      </c>
      <c r="L41" s="19">
        <f t="shared" si="2"/>
        <v>0</v>
      </c>
      <c r="M41" s="19">
        <f t="shared" si="3"/>
        <v>0</v>
      </c>
      <c r="N41">
        <v>15</v>
      </c>
    </row>
    <row r="42" spans="1:14" ht="15" customHeight="1" x14ac:dyDescent="0.2">
      <c r="A42" t="s">
        <v>47</v>
      </c>
      <c r="B42" s="18">
        <v>1</v>
      </c>
      <c r="C42" s="59">
        <v>0</v>
      </c>
      <c r="D42" s="18">
        <v>0</v>
      </c>
      <c r="E42" s="18">
        <v>0</v>
      </c>
      <c r="F42" s="18">
        <v>0</v>
      </c>
      <c r="G42" s="18">
        <v>0</v>
      </c>
      <c r="H42" s="18">
        <v>1</v>
      </c>
      <c r="I42" s="59">
        <v>0</v>
      </c>
      <c r="J42" s="19">
        <f t="shared" si="0"/>
        <v>2</v>
      </c>
      <c r="K42" s="19">
        <f t="shared" si="1"/>
        <v>0</v>
      </c>
      <c r="L42" s="19">
        <f t="shared" si="2"/>
        <v>0</v>
      </c>
      <c r="M42" s="19">
        <f t="shared" si="3"/>
        <v>0</v>
      </c>
      <c r="N42">
        <v>15</v>
      </c>
    </row>
    <row r="43" spans="1:14" ht="15" customHeight="1" x14ac:dyDescent="0.2">
      <c r="A43" t="s">
        <v>48</v>
      </c>
      <c r="B43" s="18">
        <v>0</v>
      </c>
      <c r="C43" s="59">
        <v>0</v>
      </c>
      <c r="D43" s="18">
        <v>0</v>
      </c>
      <c r="E43" s="18">
        <v>0</v>
      </c>
      <c r="F43" s="18">
        <v>1</v>
      </c>
      <c r="G43" s="18">
        <v>0</v>
      </c>
      <c r="H43" s="18">
        <v>0</v>
      </c>
      <c r="I43" s="59">
        <v>0</v>
      </c>
      <c r="J43" s="19">
        <f t="shared" si="0"/>
        <v>0</v>
      </c>
      <c r="K43" s="19">
        <f t="shared" si="1"/>
        <v>1</v>
      </c>
      <c r="L43" s="19">
        <f t="shared" si="2"/>
        <v>0</v>
      </c>
      <c r="M43" s="19">
        <f t="shared" si="3"/>
        <v>0</v>
      </c>
      <c r="N43">
        <v>15</v>
      </c>
    </row>
    <row r="44" spans="1:14" ht="15" customHeight="1" x14ac:dyDescent="0.2">
      <c r="A44" t="s">
        <v>49</v>
      </c>
      <c r="B44" s="18">
        <v>1</v>
      </c>
      <c r="C44" s="59">
        <v>0</v>
      </c>
      <c r="D44" s="18">
        <v>0</v>
      </c>
      <c r="E44" s="18">
        <v>0</v>
      </c>
      <c r="F44" s="18">
        <v>9</v>
      </c>
      <c r="G44" s="18">
        <v>0</v>
      </c>
      <c r="H44" s="18">
        <v>0</v>
      </c>
      <c r="I44" s="59">
        <v>0</v>
      </c>
      <c r="J44" s="19">
        <f t="shared" si="0"/>
        <v>1</v>
      </c>
      <c r="K44" s="19">
        <f t="shared" si="1"/>
        <v>9</v>
      </c>
      <c r="L44" s="19">
        <f t="shared" si="2"/>
        <v>0</v>
      </c>
      <c r="M44" s="19">
        <f t="shared" si="3"/>
        <v>0</v>
      </c>
      <c r="N44">
        <v>15</v>
      </c>
    </row>
    <row r="45" spans="1:14" ht="15" customHeight="1" x14ac:dyDescent="0.2">
      <c r="A45" t="s">
        <v>50</v>
      </c>
      <c r="B45" s="18">
        <v>0</v>
      </c>
      <c r="C45" s="59">
        <v>0</v>
      </c>
      <c r="D45" s="18">
        <v>0</v>
      </c>
      <c r="E45" s="18">
        <v>0</v>
      </c>
      <c r="F45" s="18">
        <v>1</v>
      </c>
      <c r="G45" s="18">
        <v>0</v>
      </c>
      <c r="H45" s="18">
        <v>1</v>
      </c>
      <c r="I45" s="59">
        <v>0</v>
      </c>
      <c r="J45" s="19">
        <f t="shared" si="0"/>
        <v>1</v>
      </c>
      <c r="K45" s="19">
        <f t="shared" si="1"/>
        <v>1</v>
      </c>
      <c r="L45" s="19">
        <f t="shared" si="2"/>
        <v>0</v>
      </c>
      <c r="M45" s="19">
        <f t="shared" si="3"/>
        <v>0</v>
      </c>
      <c r="N45">
        <v>15</v>
      </c>
    </row>
    <row r="46" spans="1:14" ht="15" customHeight="1" x14ac:dyDescent="0.2">
      <c r="A46" t="s">
        <v>51</v>
      </c>
      <c r="B46" s="18">
        <v>0</v>
      </c>
      <c r="C46" s="59">
        <v>0</v>
      </c>
      <c r="D46" s="18">
        <v>0</v>
      </c>
      <c r="E46" s="18">
        <v>0</v>
      </c>
      <c r="F46" s="18">
        <v>1</v>
      </c>
      <c r="G46" s="18">
        <v>1</v>
      </c>
      <c r="H46" s="18">
        <v>0</v>
      </c>
      <c r="I46" s="59">
        <v>0</v>
      </c>
      <c r="J46" s="19">
        <f t="shared" si="0"/>
        <v>0</v>
      </c>
      <c r="K46" s="19">
        <f t="shared" si="1"/>
        <v>1</v>
      </c>
      <c r="L46" s="19">
        <f t="shared" si="2"/>
        <v>0</v>
      </c>
      <c r="M46" s="19">
        <f t="shared" si="3"/>
        <v>1</v>
      </c>
      <c r="N46">
        <v>15</v>
      </c>
    </row>
    <row r="47" spans="1:14" ht="15" customHeight="1" x14ac:dyDescent="0.2">
      <c r="A47" t="s">
        <v>52</v>
      </c>
      <c r="B47" s="18">
        <v>0</v>
      </c>
      <c r="C47" s="59">
        <v>0</v>
      </c>
      <c r="D47" s="18">
        <v>1</v>
      </c>
      <c r="E47" s="18">
        <v>0</v>
      </c>
      <c r="F47" s="18">
        <v>0</v>
      </c>
      <c r="G47" s="18">
        <v>0</v>
      </c>
      <c r="H47" s="18">
        <v>0</v>
      </c>
      <c r="I47" s="59">
        <v>0</v>
      </c>
      <c r="J47" s="19">
        <f t="shared" si="0"/>
        <v>0</v>
      </c>
      <c r="K47" s="19">
        <f t="shared" si="1"/>
        <v>1</v>
      </c>
      <c r="L47" s="19">
        <f t="shared" si="2"/>
        <v>0</v>
      </c>
      <c r="M47" s="19">
        <f t="shared" si="3"/>
        <v>0</v>
      </c>
      <c r="N47">
        <v>15</v>
      </c>
    </row>
    <row r="48" spans="1:14" ht="15" customHeight="1" x14ac:dyDescent="0.2">
      <c r="A48" t="s">
        <v>53</v>
      </c>
      <c r="B48" s="18">
        <v>0</v>
      </c>
      <c r="C48" s="59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59">
        <v>0</v>
      </c>
      <c r="J48" s="19">
        <f t="shared" si="0"/>
        <v>0</v>
      </c>
      <c r="K48" s="19">
        <f t="shared" si="1"/>
        <v>0</v>
      </c>
      <c r="L48" s="19">
        <f t="shared" si="2"/>
        <v>0</v>
      </c>
      <c r="M48" s="19">
        <f t="shared" si="3"/>
        <v>0</v>
      </c>
      <c r="N48">
        <v>15</v>
      </c>
    </row>
    <row r="49" spans="1:14" ht="15" customHeight="1" x14ac:dyDescent="0.2">
      <c r="A49" t="s">
        <v>54</v>
      </c>
      <c r="B49" s="18">
        <v>0</v>
      </c>
      <c r="C49" s="59">
        <v>0</v>
      </c>
      <c r="D49" s="18">
        <v>1</v>
      </c>
      <c r="E49" s="18">
        <v>0</v>
      </c>
      <c r="F49" s="18">
        <v>0</v>
      </c>
      <c r="G49" s="18">
        <v>0</v>
      </c>
      <c r="H49" s="18">
        <v>0</v>
      </c>
      <c r="I49" s="59">
        <v>0</v>
      </c>
      <c r="J49" s="19">
        <f t="shared" si="0"/>
        <v>0</v>
      </c>
      <c r="K49" s="19">
        <f t="shared" si="1"/>
        <v>1</v>
      </c>
      <c r="L49" s="19">
        <f t="shared" si="2"/>
        <v>0</v>
      </c>
      <c r="M49" s="19">
        <f t="shared" si="3"/>
        <v>0</v>
      </c>
      <c r="N49">
        <v>15</v>
      </c>
    </row>
    <row r="50" spans="1:14" ht="15" customHeight="1" x14ac:dyDescent="0.2">
      <c r="A50" t="s">
        <v>55</v>
      </c>
      <c r="B50" s="18">
        <v>0</v>
      </c>
      <c r="C50" s="59">
        <v>0</v>
      </c>
      <c r="D50" s="18">
        <v>0</v>
      </c>
      <c r="E50" s="18">
        <v>0</v>
      </c>
      <c r="F50" s="18">
        <v>1</v>
      </c>
      <c r="G50" s="18">
        <v>0</v>
      </c>
      <c r="H50" s="18">
        <v>1</v>
      </c>
      <c r="I50" s="59">
        <v>0</v>
      </c>
      <c r="J50" s="19">
        <f t="shared" si="0"/>
        <v>1</v>
      </c>
      <c r="K50" s="19">
        <f t="shared" si="1"/>
        <v>1</v>
      </c>
      <c r="L50" s="19">
        <f t="shared" si="2"/>
        <v>0</v>
      </c>
      <c r="M50" s="19">
        <f t="shared" si="3"/>
        <v>0</v>
      </c>
      <c r="N50">
        <v>15</v>
      </c>
    </row>
    <row r="51" spans="1:14" ht="15" customHeight="1" x14ac:dyDescent="0.2">
      <c r="A51" t="s">
        <v>56</v>
      </c>
      <c r="B51" s="18">
        <v>0</v>
      </c>
      <c r="C51" s="59">
        <v>0</v>
      </c>
      <c r="D51" s="18">
        <v>1</v>
      </c>
      <c r="E51" s="18">
        <v>1</v>
      </c>
      <c r="F51" s="18">
        <v>0</v>
      </c>
      <c r="G51" s="18">
        <v>0</v>
      </c>
      <c r="H51" s="18">
        <v>0</v>
      </c>
      <c r="I51" s="59">
        <v>0</v>
      </c>
      <c r="J51" s="19">
        <f t="shared" si="0"/>
        <v>0</v>
      </c>
      <c r="K51" s="19">
        <f t="shared" si="1"/>
        <v>1</v>
      </c>
      <c r="L51" s="19">
        <f t="shared" si="2"/>
        <v>0</v>
      </c>
      <c r="M51" s="19">
        <f t="shared" si="3"/>
        <v>1</v>
      </c>
      <c r="N51">
        <v>15</v>
      </c>
    </row>
    <row r="52" spans="1:14" ht="15" customHeight="1" x14ac:dyDescent="0.2">
      <c r="A52" t="s">
        <v>57</v>
      </c>
      <c r="B52" s="18">
        <v>0</v>
      </c>
      <c r="C52" s="59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59">
        <v>0</v>
      </c>
      <c r="J52" s="19">
        <f t="shared" si="0"/>
        <v>0</v>
      </c>
      <c r="K52" s="19">
        <f t="shared" si="1"/>
        <v>0</v>
      </c>
      <c r="L52" s="19">
        <f t="shared" si="2"/>
        <v>0</v>
      </c>
      <c r="M52" s="19">
        <f t="shared" si="3"/>
        <v>0</v>
      </c>
      <c r="N52">
        <v>15</v>
      </c>
    </row>
    <row r="53" spans="1:14" ht="15" customHeight="1" x14ac:dyDescent="0.2">
      <c r="A53" t="s">
        <v>58</v>
      </c>
      <c r="B53" s="18">
        <v>0</v>
      </c>
      <c r="C53" s="59">
        <v>0</v>
      </c>
      <c r="D53" s="18">
        <v>0</v>
      </c>
      <c r="E53" s="18">
        <v>0</v>
      </c>
      <c r="F53" s="18">
        <v>2</v>
      </c>
      <c r="G53" s="18">
        <v>0</v>
      </c>
      <c r="H53" s="18">
        <v>2</v>
      </c>
      <c r="I53" s="59">
        <v>0</v>
      </c>
      <c r="J53" s="19">
        <f t="shared" si="0"/>
        <v>2</v>
      </c>
      <c r="K53" s="19">
        <f t="shared" si="1"/>
        <v>2</v>
      </c>
      <c r="L53" s="19">
        <f t="shared" si="2"/>
        <v>0</v>
      </c>
      <c r="M53" s="19">
        <f t="shared" si="3"/>
        <v>0</v>
      </c>
      <c r="N53">
        <v>15</v>
      </c>
    </row>
    <row r="54" spans="1:14" ht="15" customHeight="1" x14ac:dyDescent="0.2">
      <c r="A54" t="s">
        <v>59</v>
      </c>
      <c r="B54" s="18">
        <v>0</v>
      </c>
      <c r="C54" s="59">
        <v>0</v>
      </c>
      <c r="D54" s="18">
        <v>0</v>
      </c>
      <c r="E54" s="18">
        <v>0</v>
      </c>
      <c r="F54" s="18">
        <v>2</v>
      </c>
      <c r="G54" s="18">
        <v>0</v>
      </c>
      <c r="H54" s="18">
        <v>0</v>
      </c>
      <c r="I54" s="59">
        <v>0</v>
      </c>
      <c r="J54" s="19">
        <f t="shared" si="0"/>
        <v>0</v>
      </c>
      <c r="K54" s="19">
        <f t="shared" si="1"/>
        <v>2</v>
      </c>
      <c r="L54" s="19">
        <f t="shared" si="2"/>
        <v>0</v>
      </c>
      <c r="M54" s="19">
        <f t="shared" si="3"/>
        <v>0</v>
      </c>
      <c r="N54">
        <v>15</v>
      </c>
    </row>
    <row r="55" spans="1:14" ht="15" customHeight="1" x14ac:dyDescent="0.2">
      <c r="A55" t="s">
        <v>60</v>
      </c>
      <c r="B55" s="18">
        <v>0</v>
      </c>
      <c r="C55" s="59">
        <v>0</v>
      </c>
      <c r="D55" s="18">
        <v>1</v>
      </c>
      <c r="E55" s="18">
        <v>0</v>
      </c>
      <c r="F55" s="18">
        <v>0</v>
      </c>
      <c r="G55" s="18">
        <v>0</v>
      </c>
      <c r="H55" s="18">
        <v>0</v>
      </c>
      <c r="I55" s="59">
        <v>0</v>
      </c>
      <c r="J55" s="19">
        <f t="shared" si="0"/>
        <v>0</v>
      </c>
      <c r="K55" s="19">
        <f t="shared" si="1"/>
        <v>1</v>
      </c>
      <c r="L55" s="19">
        <f t="shared" si="2"/>
        <v>0</v>
      </c>
      <c r="M55" s="19">
        <f t="shared" si="3"/>
        <v>0</v>
      </c>
      <c r="N55">
        <v>15</v>
      </c>
    </row>
    <row r="56" spans="1:14" ht="15" customHeight="1" x14ac:dyDescent="0.2">
      <c r="A56" t="s">
        <v>61</v>
      </c>
      <c r="B56" s="18">
        <v>0</v>
      </c>
      <c r="C56" s="59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59">
        <v>0</v>
      </c>
      <c r="J56" s="19">
        <f t="shared" si="0"/>
        <v>0</v>
      </c>
      <c r="K56" s="19">
        <f t="shared" si="1"/>
        <v>0</v>
      </c>
      <c r="L56" s="19">
        <f t="shared" si="2"/>
        <v>0</v>
      </c>
      <c r="M56" s="19">
        <f t="shared" si="3"/>
        <v>0</v>
      </c>
      <c r="N56">
        <v>15</v>
      </c>
    </row>
    <row r="57" spans="1:14" ht="15" customHeight="1" x14ac:dyDescent="0.2">
      <c r="A57" t="s">
        <v>62</v>
      </c>
      <c r="B57" s="18">
        <v>0</v>
      </c>
      <c r="C57" s="59">
        <v>0</v>
      </c>
      <c r="D57" s="18">
        <v>1</v>
      </c>
      <c r="E57" s="18">
        <v>0</v>
      </c>
      <c r="F57" s="18">
        <v>0</v>
      </c>
      <c r="G57" s="18">
        <v>0</v>
      </c>
      <c r="H57" s="18">
        <v>0</v>
      </c>
      <c r="I57" s="59">
        <v>0</v>
      </c>
      <c r="J57" s="19">
        <f t="shared" si="0"/>
        <v>0</v>
      </c>
      <c r="K57" s="19">
        <f t="shared" si="1"/>
        <v>1</v>
      </c>
      <c r="L57" s="19">
        <f t="shared" si="2"/>
        <v>0</v>
      </c>
      <c r="M57" s="19">
        <f t="shared" si="3"/>
        <v>0</v>
      </c>
      <c r="N57">
        <v>15</v>
      </c>
    </row>
    <row r="58" spans="1:14" ht="15" customHeight="1" x14ac:dyDescent="0.2">
      <c r="A58" t="s">
        <v>63</v>
      </c>
      <c r="B58" s="18">
        <v>1</v>
      </c>
      <c r="C58" s="59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59">
        <v>0</v>
      </c>
      <c r="J58" s="19">
        <f t="shared" si="0"/>
        <v>1</v>
      </c>
      <c r="K58" s="19">
        <f t="shared" si="1"/>
        <v>0</v>
      </c>
      <c r="L58" s="19">
        <f t="shared" si="2"/>
        <v>0</v>
      </c>
      <c r="M58" s="19">
        <f t="shared" si="3"/>
        <v>0</v>
      </c>
      <c r="N58">
        <v>15</v>
      </c>
    </row>
    <row r="59" spans="1:14" ht="15" customHeight="1" x14ac:dyDescent="0.2">
      <c r="A59" t="s">
        <v>64</v>
      </c>
      <c r="B59" s="18">
        <v>0</v>
      </c>
      <c r="C59" s="59">
        <v>0</v>
      </c>
      <c r="D59" s="18">
        <v>1</v>
      </c>
      <c r="E59" s="18">
        <v>0</v>
      </c>
      <c r="F59" s="18">
        <v>1</v>
      </c>
      <c r="G59" s="18">
        <v>1</v>
      </c>
      <c r="H59" s="18">
        <v>0</v>
      </c>
      <c r="I59" s="59">
        <v>0</v>
      </c>
      <c r="J59" s="19">
        <f t="shared" si="0"/>
        <v>0</v>
      </c>
      <c r="K59" s="19">
        <f t="shared" si="1"/>
        <v>2</v>
      </c>
      <c r="L59" s="19">
        <f t="shared" si="2"/>
        <v>0</v>
      </c>
      <c r="M59" s="19">
        <f t="shared" si="3"/>
        <v>1</v>
      </c>
      <c r="N59">
        <v>15</v>
      </c>
    </row>
    <row r="60" spans="1:14" s="33" customFormat="1" ht="15" customHeight="1" x14ac:dyDescent="0.2">
      <c r="A60" s="33" t="s">
        <v>65</v>
      </c>
      <c r="B60" s="61">
        <v>1</v>
      </c>
      <c r="C60" s="61">
        <v>0</v>
      </c>
      <c r="D60" s="61">
        <v>0</v>
      </c>
      <c r="E60" s="61">
        <v>0</v>
      </c>
      <c r="F60" s="61">
        <v>1</v>
      </c>
      <c r="G60" s="61">
        <v>1</v>
      </c>
      <c r="H60" s="61">
        <v>1</v>
      </c>
      <c r="I60" s="61">
        <v>1</v>
      </c>
      <c r="J60" s="62">
        <f t="shared" si="0"/>
        <v>2</v>
      </c>
      <c r="K60" s="62">
        <f t="shared" si="1"/>
        <v>1</v>
      </c>
      <c r="L60" s="62">
        <f t="shared" si="2"/>
        <v>1</v>
      </c>
      <c r="M60" s="62">
        <f t="shared" si="3"/>
        <v>1</v>
      </c>
      <c r="N60">
        <v>15</v>
      </c>
    </row>
    <row r="61" spans="1:14" s="33" customFormat="1" ht="15" customHeight="1" x14ac:dyDescent="0.2">
      <c r="A61" s="33" t="s">
        <v>66</v>
      </c>
      <c r="B61" s="61">
        <v>0</v>
      </c>
      <c r="C61" s="61">
        <v>0</v>
      </c>
      <c r="D61" s="61">
        <v>0</v>
      </c>
      <c r="E61" s="61">
        <v>0</v>
      </c>
      <c r="F61" s="61">
        <v>3</v>
      </c>
      <c r="G61" s="61">
        <v>3</v>
      </c>
      <c r="H61" s="61">
        <v>1</v>
      </c>
      <c r="I61" s="61">
        <v>1</v>
      </c>
      <c r="J61" s="62">
        <f t="shared" si="0"/>
        <v>1</v>
      </c>
      <c r="K61" s="62">
        <f t="shared" si="1"/>
        <v>3</v>
      </c>
      <c r="L61" s="62">
        <f t="shared" si="2"/>
        <v>1</v>
      </c>
      <c r="M61" s="62">
        <f t="shared" si="3"/>
        <v>3</v>
      </c>
      <c r="N61">
        <v>15</v>
      </c>
    </row>
    <row r="62" spans="1:14" ht="15" customHeight="1" x14ac:dyDescent="0.2">
      <c r="A62" t="s">
        <v>67</v>
      </c>
      <c r="B62" s="18">
        <v>0</v>
      </c>
      <c r="C62" s="59">
        <v>0</v>
      </c>
      <c r="D62" s="18">
        <v>2</v>
      </c>
      <c r="E62" s="18">
        <v>0</v>
      </c>
      <c r="F62" s="18">
        <v>1</v>
      </c>
      <c r="G62" s="18">
        <v>0</v>
      </c>
      <c r="H62" s="18">
        <v>2</v>
      </c>
      <c r="I62" s="59">
        <v>0</v>
      </c>
      <c r="J62" s="19">
        <f t="shared" si="0"/>
        <v>2</v>
      </c>
      <c r="K62" s="19">
        <f t="shared" si="1"/>
        <v>3</v>
      </c>
      <c r="L62" s="19">
        <f t="shared" si="2"/>
        <v>0</v>
      </c>
      <c r="M62" s="19">
        <f t="shared" si="3"/>
        <v>0</v>
      </c>
      <c r="N62">
        <v>15</v>
      </c>
    </row>
    <row r="63" spans="1:14" ht="15" customHeight="1" x14ac:dyDescent="0.2">
      <c r="A63" t="s">
        <v>68</v>
      </c>
      <c r="B63" s="18">
        <v>1</v>
      </c>
      <c r="C63" s="59">
        <v>0</v>
      </c>
      <c r="D63" s="18">
        <v>0</v>
      </c>
      <c r="E63" s="18">
        <v>0</v>
      </c>
      <c r="F63" s="18">
        <v>1</v>
      </c>
      <c r="G63" s="18">
        <v>0</v>
      </c>
      <c r="H63" s="18">
        <v>0</v>
      </c>
      <c r="I63" s="59">
        <v>0</v>
      </c>
      <c r="J63" s="19">
        <f t="shared" si="0"/>
        <v>1</v>
      </c>
      <c r="K63" s="19">
        <f t="shared" si="1"/>
        <v>1</v>
      </c>
      <c r="L63" s="19">
        <f t="shared" si="2"/>
        <v>0</v>
      </c>
      <c r="M63" s="19">
        <f t="shared" si="3"/>
        <v>0</v>
      </c>
      <c r="N63">
        <v>15</v>
      </c>
    </row>
    <row r="64" spans="1:14" ht="15" customHeight="1" x14ac:dyDescent="0.2">
      <c r="A64" t="s">
        <v>69</v>
      </c>
      <c r="B64" s="18">
        <v>0</v>
      </c>
      <c r="C64" s="59">
        <v>0</v>
      </c>
      <c r="D64" s="18">
        <v>1</v>
      </c>
      <c r="E64" s="18">
        <v>0</v>
      </c>
      <c r="F64" s="18">
        <v>2</v>
      </c>
      <c r="G64" s="18">
        <v>0</v>
      </c>
      <c r="H64" s="18">
        <v>0</v>
      </c>
      <c r="I64" s="59">
        <v>0</v>
      </c>
      <c r="J64" s="19">
        <f t="shared" si="0"/>
        <v>0</v>
      </c>
      <c r="K64" s="19">
        <f t="shared" si="1"/>
        <v>3</v>
      </c>
      <c r="L64" s="19">
        <f t="shared" si="2"/>
        <v>0</v>
      </c>
      <c r="M64" s="19">
        <f t="shared" si="3"/>
        <v>0</v>
      </c>
      <c r="N64">
        <v>15</v>
      </c>
    </row>
    <row r="65" spans="1:14" ht="15" customHeight="1" x14ac:dyDescent="0.2">
      <c r="A65" t="s">
        <v>70</v>
      </c>
      <c r="B65" s="18">
        <v>1</v>
      </c>
      <c r="C65" s="59">
        <v>0</v>
      </c>
      <c r="D65" s="18">
        <v>1</v>
      </c>
      <c r="E65" s="18">
        <v>0</v>
      </c>
      <c r="F65" s="18">
        <v>2</v>
      </c>
      <c r="G65" s="18">
        <v>0</v>
      </c>
      <c r="H65" s="18">
        <v>2</v>
      </c>
      <c r="I65" s="59">
        <v>0</v>
      </c>
      <c r="J65" s="19">
        <f t="shared" si="0"/>
        <v>3</v>
      </c>
      <c r="K65" s="19">
        <f t="shared" si="1"/>
        <v>3</v>
      </c>
      <c r="L65" s="19">
        <f t="shared" si="2"/>
        <v>0</v>
      </c>
      <c r="M65" s="19">
        <f t="shared" si="3"/>
        <v>0</v>
      </c>
      <c r="N65">
        <v>15</v>
      </c>
    </row>
    <row r="66" spans="1:14" ht="15" customHeight="1" x14ac:dyDescent="0.2">
      <c r="A66" t="s">
        <v>71</v>
      </c>
      <c r="B66" s="18">
        <v>0</v>
      </c>
      <c r="C66" s="59">
        <v>0</v>
      </c>
      <c r="D66" s="18">
        <v>0</v>
      </c>
      <c r="E66" s="18">
        <v>0</v>
      </c>
      <c r="F66" s="18">
        <v>1</v>
      </c>
      <c r="G66" s="18">
        <v>0</v>
      </c>
      <c r="H66" s="18">
        <v>0</v>
      </c>
      <c r="I66" s="59">
        <v>0</v>
      </c>
      <c r="J66" s="19">
        <f t="shared" si="0"/>
        <v>0</v>
      </c>
      <c r="K66" s="19">
        <f t="shared" si="1"/>
        <v>1</v>
      </c>
      <c r="L66" s="19">
        <f t="shared" si="2"/>
        <v>0</v>
      </c>
      <c r="M66" s="19">
        <f t="shared" si="3"/>
        <v>0</v>
      </c>
      <c r="N66">
        <v>15</v>
      </c>
    </row>
    <row r="67" spans="1:14" ht="15" customHeight="1" x14ac:dyDescent="0.2">
      <c r="A67" t="s">
        <v>72</v>
      </c>
      <c r="B67" s="18">
        <v>0</v>
      </c>
      <c r="C67" s="59">
        <v>0</v>
      </c>
      <c r="D67" s="18">
        <v>0</v>
      </c>
      <c r="E67" s="18">
        <v>0</v>
      </c>
      <c r="F67" s="18">
        <v>2</v>
      </c>
      <c r="G67" s="18">
        <v>0</v>
      </c>
      <c r="H67" s="18">
        <v>0</v>
      </c>
      <c r="I67" s="59">
        <v>0</v>
      </c>
      <c r="J67" s="19">
        <f t="shared" si="0"/>
        <v>0</v>
      </c>
      <c r="K67" s="19">
        <f t="shared" si="1"/>
        <v>2</v>
      </c>
      <c r="L67" s="19">
        <f t="shared" si="2"/>
        <v>0</v>
      </c>
      <c r="M67" s="19">
        <f t="shared" si="3"/>
        <v>0</v>
      </c>
      <c r="N67">
        <v>15</v>
      </c>
    </row>
    <row r="68" spans="1:14" ht="15" customHeight="1" x14ac:dyDescent="0.2">
      <c r="A68" t="s">
        <v>73</v>
      </c>
      <c r="B68" s="18">
        <v>0</v>
      </c>
      <c r="C68" s="59">
        <v>0</v>
      </c>
      <c r="D68" s="18">
        <v>0</v>
      </c>
      <c r="E68" s="18">
        <v>0</v>
      </c>
      <c r="F68" s="18">
        <v>0</v>
      </c>
      <c r="G68" s="18">
        <v>0</v>
      </c>
      <c r="H68" s="18">
        <v>2</v>
      </c>
      <c r="I68" s="59">
        <v>0</v>
      </c>
      <c r="J68" s="19">
        <f t="shared" si="0"/>
        <v>2</v>
      </c>
      <c r="K68" s="19">
        <f t="shared" si="1"/>
        <v>0</v>
      </c>
      <c r="L68" s="19">
        <f t="shared" si="2"/>
        <v>0</v>
      </c>
      <c r="M68" s="19">
        <f t="shared" si="3"/>
        <v>0</v>
      </c>
      <c r="N68">
        <v>15</v>
      </c>
    </row>
    <row r="69" spans="1:14" ht="15" customHeight="1" x14ac:dyDescent="0.2">
      <c r="A69" t="s">
        <v>74</v>
      </c>
      <c r="B69" s="18">
        <v>0</v>
      </c>
      <c r="C69" s="59">
        <v>0</v>
      </c>
      <c r="D69" s="18">
        <v>0</v>
      </c>
      <c r="E69" s="18">
        <v>0</v>
      </c>
      <c r="F69" s="18">
        <v>0</v>
      </c>
      <c r="G69" s="18">
        <v>0</v>
      </c>
      <c r="H69" s="18">
        <v>1</v>
      </c>
      <c r="I69" s="59">
        <v>0</v>
      </c>
      <c r="J69" s="19">
        <f t="shared" si="0"/>
        <v>1</v>
      </c>
      <c r="K69" s="19">
        <f t="shared" si="1"/>
        <v>0</v>
      </c>
      <c r="L69" s="19">
        <f t="shared" si="2"/>
        <v>0</v>
      </c>
      <c r="M69" s="19">
        <f t="shared" si="3"/>
        <v>0</v>
      </c>
      <c r="N69">
        <v>15</v>
      </c>
    </row>
    <row r="70" spans="1:14" ht="15" customHeight="1" x14ac:dyDescent="0.2">
      <c r="A70" t="s">
        <v>75</v>
      </c>
      <c r="B70" s="18">
        <v>1</v>
      </c>
      <c r="C70" s="59">
        <v>0</v>
      </c>
      <c r="D70" s="18">
        <v>1</v>
      </c>
      <c r="E70" s="18">
        <v>0</v>
      </c>
      <c r="F70" s="18">
        <v>3</v>
      </c>
      <c r="G70" s="18">
        <v>0</v>
      </c>
      <c r="H70" s="18">
        <v>1</v>
      </c>
      <c r="I70" s="59">
        <v>0</v>
      </c>
      <c r="J70" s="19">
        <f t="shared" si="0"/>
        <v>2</v>
      </c>
      <c r="K70" s="19">
        <f t="shared" si="1"/>
        <v>4</v>
      </c>
      <c r="L70" s="19">
        <f t="shared" si="2"/>
        <v>0</v>
      </c>
      <c r="M70" s="19">
        <f t="shared" si="3"/>
        <v>0</v>
      </c>
      <c r="N70">
        <v>15</v>
      </c>
    </row>
    <row r="71" spans="1:14" ht="15" customHeight="1" x14ac:dyDescent="0.2">
      <c r="A71" t="s">
        <v>76</v>
      </c>
      <c r="B71" s="18">
        <v>0</v>
      </c>
      <c r="C71" s="59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59">
        <v>0</v>
      </c>
      <c r="J71" s="19">
        <f t="shared" si="0"/>
        <v>0</v>
      </c>
      <c r="K71" s="19">
        <f t="shared" si="1"/>
        <v>0</v>
      </c>
      <c r="L71" s="19">
        <f t="shared" si="2"/>
        <v>0</v>
      </c>
      <c r="M71" s="19">
        <f t="shared" si="3"/>
        <v>0</v>
      </c>
      <c r="N71">
        <v>15</v>
      </c>
    </row>
    <row r="72" spans="1:14" ht="15" customHeight="1" x14ac:dyDescent="0.2">
      <c r="A72" t="s">
        <v>77</v>
      </c>
      <c r="B72" s="18">
        <v>1</v>
      </c>
      <c r="C72" s="59">
        <v>0</v>
      </c>
      <c r="D72" s="18">
        <v>1</v>
      </c>
      <c r="E72" s="18">
        <v>0</v>
      </c>
      <c r="F72" s="18">
        <v>0</v>
      </c>
      <c r="G72" s="18">
        <v>0</v>
      </c>
      <c r="H72" s="18">
        <v>1</v>
      </c>
      <c r="I72" s="59">
        <v>0</v>
      </c>
      <c r="J72" s="19">
        <f t="shared" si="0"/>
        <v>2</v>
      </c>
      <c r="K72" s="19">
        <f t="shared" si="1"/>
        <v>1</v>
      </c>
      <c r="L72" s="19">
        <f t="shared" si="2"/>
        <v>0</v>
      </c>
      <c r="M72" s="19">
        <f t="shared" si="3"/>
        <v>0</v>
      </c>
      <c r="N72">
        <v>15</v>
      </c>
    </row>
    <row r="73" spans="1:14" ht="15" customHeight="1" x14ac:dyDescent="0.2">
      <c r="A73" t="s">
        <v>78</v>
      </c>
      <c r="B73" s="18">
        <v>0</v>
      </c>
      <c r="C73" s="59">
        <v>0</v>
      </c>
      <c r="D73" s="18">
        <v>0</v>
      </c>
      <c r="E73" s="18">
        <v>0</v>
      </c>
      <c r="F73" s="18">
        <v>4</v>
      </c>
      <c r="G73" s="18">
        <v>0</v>
      </c>
      <c r="H73" s="18">
        <v>0</v>
      </c>
      <c r="I73" s="59">
        <v>0</v>
      </c>
      <c r="J73" s="19">
        <f t="shared" si="0"/>
        <v>0</v>
      </c>
      <c r="K73" s="19">
        <f t="shared" si="1"/>
        <v>4</v>
      </c>
      <c r="L73" s="19">
        <f t="shared" si="2"/>
        <v>0</v>
      </c>
      <c r="M73" s="19">
        <f t="shared" si="3"/>
        <v>0</v>
      </c>
      <c r="N73">
        <v>15</v>
      </c>
    </row>
    <row r="74" spans="1:14" ht="15" customHeight="1" x14ac:dyDescent="0.2">
      <c r="A74" t="s">
        <v>79</v>
      </c>
      <c r="B74" s="18">
        <v>0</v>
      </c>
      <c r="C74" s="59">
        <v>0</v>
      </c>
      <c r="D74" s="18">
        <v>0</v>
      </c>
      <c r="E74" s="18">
        <v>0</v>
      </c>
      <c r="F74" s="18">
        <v>1</v>
      </c>
      <c r="G74" s="18">
        <v>0</v>
      </c>
      <c r="H74" s="18">
        <v>3</v>
      </c>
      <c r="I74" s="59">
        <v>0</v>
      </c>
      <c r="J74" s="19">
        <f t="shared" si="0"/>
        <v>3</v>
      </c>
      <c r="K74" s="19">
        <f t="shared" si="1"/>
        <v>1</v>
      </c>
      <c r="L74" s="19">
        <f t="shared" si="2"/>
        <v>0</v>
      </c>
      <c r="M74" s="19">
        <f t="shared" si="3"/>
        <v>0</v>
      </c>
      <c r="N74">
        <v>15</v>
      </c>
    </row>
    <row r="75" spans="1:14" ht="15" customHeight="1" x14ac:dyDescent="0.2">
      <c r="A75" t="s">
        <v>80</v>
      </c>
      <c r="B75" s="18">
        <v>0</v>
      </c>
      <c r="C75" s="59">
        <v>0</v>
      </c>
      <c r="D75" s="18">
        <v>0</v>
      </c>
      <c r="E75" s="18">
        <v>0</v>
      </c>
      <c r="F75" s="18">
        <v>2</v>
      </c>
      <c r="G75" s="18">
        <v>0</v>
      </c>
      <c r="H75" s="18">
        <v>1</v>
      </c>
      <c r="I75" s="59">
        <v>0</v>
      </c>
      <c r="J75" s="19">
        <f t="shared" ref="J75:J138" si="4">SUM(B75,H75)</f>
        <v>1</v>
      </c>
      <c r="K75" s="19">
        <f t="shared" ref="K75:K138" si="5">SUM(D75,F75)</f>
        <v>2</v>
      </c>
      <c r="L75" s="19">
        <f t="shared" ref="L75:L138" si="6">SUM(C75,I75)</f>
        <v>0</v>
      </c>
      <c r="M75" s="19">
        <f t="shared" ref="M75:M138" si="7">SUM(E75,G75)</f>
        <v>0</v>
      </c>
      <c r="N75">
        <v>15</v>
      </c>
    </row>
    <row r="76" spans="1:14" ht="15" customHeight="1" x14ac:dyDescent="0.2">
      <c r="A76" t="s">
        <v>81</v>
      </c>
      <c r="B76" s="18">
        <v>0</v>
      </c>
      <c r="C76" s="59">
        <v>0</v>
      </c>
      <c r="D76" s="18">
        <v>0</v>
      </c>
      <c r="E76" s="18">
        <v>0</v>
      </c>
      <c r="F76" s="18">
        <v>1</v>
      </c>
      <c r="G76" s="18">
        <v>0</v>
      </c>
      <c r="H76" s="18">
        <v>2</v>
      </c>
      <c r="I76" s="59">
        <v>0</v>
      </c>
      <c r="J76" s="19">
        <f t="shared" si="4"/>
        <v>2</v>
      </c>
      <c r="K76" s="19">
        <f t="shared" si="5"/>
        <v>1</v>
      </c>
      <c r="L76" s="19">
        <f t="shared" si="6"/>
        <v>0</v>
      </c>
      <c r="M76" s="19">
        <f t="shared" si="7"/>
        <v>0</v>
      </c>
      <c r="N76">
        <v>15</v>
      </c>
    </row>
    <row r="77" spans="1:14" ht="15" customHeight="1" x14ac:dyDescent="0.2">
      <c r="A77" t="s">
        <v>82</v>
      </c>
      <c r="B77" s="18">
        <v>0</v>
      </c>
      <c r="C77" s="59">
        <v>0</v>
      </c>
      <c r="D77" s="18">
        <v>0</v>
      </c>
      <c r="E77" s="18">
        <v>0</v>
      </c>
      <c r="F77" s="18">
        <v>1</v>
      </c>
      <c r="G77" s="18">
        <v>0</v>
      </c>
      <c r="H77" s="18">
        <v>4</v>
      </c>
      <c r="I77" s="59">
        <v>0</v>
      </c>
      <c r="J77" s="19">
        <f t="shared" si="4"/>
        <v>4</v>
      </c>
      <c r="K77" s="19">
        <f t="shared" si="5"/>
        <v>1</v>
      </c>
      <c r="L77" s="19">
        <f t="shared" si="6"/>
        <v>0</v>
      </c>
      <c r="M77" s="19">
        <f t="shared" si="7"/>
        <v>0</v>
      </c>
      <c r="N77">
        <v>15</v>
      </c>
    </row>
    <row r="78" spans="1:14" ht="15" customHeight="1" x14ac:dyDescent="0.2">
      <c r="A78" t="s">
        <v>83</v>
      </c>
      <c r="B78" s="18">
        <v>2</v>
      </c>
      <c r="C78" s="59">
        <v>0</v>
      </c>
      <c r="D78" s="18">
        <v>0</v>
      </c>
      <c r="E78" s="18">
        <v>0</v>
      </c>
      <c r="F78" s="18">
        <v>2</v>
      </c>
      <c r="G78" s="18">
        <v>0</v>
      </c>
      <c r="H78" s="18">
        <v>6</v>
      </c>
      <c r="I78" s="59">
        <v>0</v>
      </c>
      <c r="J78" s="19">
        <f t="shared" si="4"/>
        <v>8</v>
      </c>
      <c r="K78" s="19">
        <f t="shared" si="5"/>
        <v>2</v>
      </c>
      <c r="L78" s="19">
        <f t="shared" si="6"/>
        <v>0</v>
      </c>
      <c r="M78" s="19">
        <f t="shared" si="7"/>
        <v>0</v>
      </c>
      <c r="N78">
        <v>15</v>
      </c>
    </row>
    <row r="79" spans="1:14" ht="15" customHeight="1" x14ac:dyDescent="0.2">
      <c r="A79" t="s">
        <v>84</v>
      </c>
      <c r="B79" s="18">
        <v>1</v>
      </c>
      <c r="C79" s="59">
        <v>0</v>
      </c>
      <c r="D79" s="18">
        <v>0</v>
      </c>
      <c r="E79" s="18">
        <v>0</v>
      </c>
      <c r="F79" s="18">
        <v>1</v>
      </c>
      <c r="G79" s="18">
        <v>0</v>
      </c>
      <c r="H79" s="18">
        <v>4</v>
      </c>
      <c r="I79" s="59">
        <v>0</v>
      </c>
      <c r="J79" s="19">
        <f t="shared" si="4"/>
        <v>5</v>
      </c>
      <c r="K79" s="19">
        <f t="shared" si="5"/>
        <v>1</v>
      </c>
      <c r="L79" s="19">
        <f t="shared" si="6"/>
        <v>0</v>
      </c>
      <c r="M79" s="19">
        <f t="shared" si="7"/>
        <v>0</v>
      </c>
      <c r="N79">
        <v>15</v>
      </c>
    </row>
    <row r="80" spans="1:14" ht="15" customHeight="1" x14ac:dyDescent="0.2">
      <c r="A80" t="s">
        <v>85</v>
      </c>
      <c r="B80" s="18">
        <v>0</v>
      </c>
      <c r="C80" s="59">
        <v>0</v>
      </c>
      <c r="D80" s="18">
        <v>0</v>
      </c>
      <c r="E80" s="18">
        <v>0</v>
      </c>
      <c r="F80" s="18">
        <v>0</v>
      </c>
      <c r="G80" s="18">
        <v>0</v>
      </c>
      <c r="H80" s="18">
        <v>1</v>
      </c>
      <c r="I80" s="59">
        <v>0</v>
      </c>
      <c r="J80" s="19">
        <f t="shared" si="4"/>
        <v>1</v>
      </c>
      <c r="K80" s="19">
        <f t="shared" si="5"/>
        <v>0</v>
      </c>
      <c r="L80" s="19">
        <f t="shared" si="6"/>
        <v>0</v>
      </c>
      <c r="M80" s="19">
        <f t="shared" si="7"/>
        <v>0</v>
      </c>
      <c r="N80">
        <v>15</v>
      </c>
    </row>
    <row r="81" spans="1:14" ht="15" customHeight="1" x14ac:dyDescent="0.2">
      <c r="A81" t="s">
        <v>86</v>
      </c>
      <c r="B81" s="18">
        <v>0</v>
      </c>
      <c r="C81" s="59">
        <v>0</v>
      </c>
      <c r="D81" s="18">
        <v>0</v>
      </c>
      <c r="E81" s="18">
        <v>0</v>
      </c>
      <c r="F81" s="18">
        <v>3</v>
      </c>
      <c r="G81" s="18">
        <v>0</v>
      </c>
      <c r="H81" s="18">
        <v>0</v>
      </c>
      <c r="I81" s="59">
        <v>0</v>
      </c>
      <c r="J81" s="19">
        <f t="shared" si="4"/>
        <v>0</v>
      </c>
      <c r="K81" s="19">
        <f t="shared" si="5"/>
        <v>3</v>
      </c>
      <c r="L81" s="19">
        <f t="shared" si="6"/>
        <v>0</v>
      </c>
      <c r="M81" s="19">
        <f t="shared" si="7"/>
        <v>0</v>
      </c>
      <c r="N81">
        <v>15</v>
      </c>
    </row>
    <row r="82" spans="1:14" ht="15" customHeight="1" x14ac:dyDescent="0.2">
      <c r="A82" t="s">
        <v>87</v>
      </c>
      <c r="B82" s="18">
        <v>2</v>
      </c>
      <c r="C82" s="59">
        <v>0</v>
      </c>
      <c r="D82" s="18">
        <v>1</v>
      </c>
      <c r="E82" s="18">
        <v>0</v>
      </c>
      <c r="F82" s="18">
        <v>1</v>
      </c>
      <c r="G82" s="18">
        <v>0</v>
      </c>
      <c r="H82" s="18">
        <v>0</v>
      </c>
      <c r="I82" s="59">
        <v>0</v>
      </c>
      <c r="J82" s="19">
        <f t="shared" si="4"/>
        <v>2</v>
      </c>
      <c r="K82" s="19">
        <f t="shared" si="5"/>
        <v>2</v>
      </c>
      <c r="L82" s="19">
        <f t="shared" si="6"/>
        <v>0</v>
      </c>
      <c r="M82" s="19">
        <f t="shared" si="7"/>
        <v>0</v>
      </c>
      <c r="N82">
        <v>15</v>
      </c>
    </row>
    <row r="83" spans="1:14" ht="15" customHeight="1" x14ac:dyDescent="0.2">
      <c r="A83" t="s">
        <v>88</v>
      </c>
      <c r="B83" s="18">
        <v>0</v>
      </c>
      <c r="C83" s="59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59">
        <v>0</v>
      </c>
      <c r="J83" s="19">
        <f t="shared" si="4"/>
        <v>0</v>
      </c>
      <c r="K83" s="19">
        <f t="shared" si="5"/>
        <v>0</v>
      </c>
      <c r="L83" s="19">
        <f t="shared" si="6"/>
        <v>0</v>
      </c>
      <c r="M83" s="19">
        <f t="shared" si="7"/>
        <v>0</v>
      </c>
      <c r="N83">
        <v>15</v>
      </c>
    </row>
    <row r="84" spans="1:14" ht="15" customHeight="1" x14ac:dyDescent="0.2">
      <c r="A84" t="s">
        <v>89</v>
      </c>
      <c r="B84" s="18">
        <v>1</v>
      </c>
      <c r="C84" s="59">
        <v>0</v>
      </c>
      <c r="D84" s="18">
        <v>2</v>
      </c>
      <c r="E84" s="18">
        <v>0</v>
      </c>
      <c r="F84" s="18">
        <v>0</v>
      </c>
      <c r="G84" s="18">
        <v>0</v>
      </c>
      <c r="H84" s="18">
        <v>0</v>
      </c>
      <c r="I84" s="59">
        <v>0</v>
      </c>
      <c r="J84" s="19">
        <f t="shared" si="4"/>
        <v>1</v>
      </c>
      <c r="K84" s="19">
        <f t="shared" si="5"/>
        <v>2</v>
      </c>
      <c r="L84" s="19">
        <f t="shared" si="6"/>
        <v>0</v>
      </c>
      <c r="M84" s="19">
        <f t="shared" si="7"/>
        <v>0</v>
      </c>
      <c r="N84">
        <v>15</v>
      </c>
    </row>
    <row r="85" spans="1:14" ht="15" customHeight="1" x14ac:dyDescent="0.2">
      <c r="A85" t="s">
        <v>90</v>
      </c>
      <c r="B85" s="18">
        <v>0</v>
      </c>
      <c r="C85" s="59">
        <v>0</v>
      </c>
      <c r="D85" s="18">
        <v>1</v>
      </c>
      <c r="E85" s="18">
        <v>0</v>
      </c>
      <c r="F85" s="18">
        <v>0</v>
      </c>
      <c r="G85" s="18">
        <v>0</v>
      </c>
      <c r="H85" s="18">
        <v>1</v>
      </c>
      <c r="I85" s="59">
        <v>0</v>
      </c>
      <c r="J85" s="19">
        <f t="shared" si="4"/>
        <v>1</v>
      </c>
      <c r="K85" s="19">
        <f t="shared" si="5"/>
        <v>1</v>
      </c>
      <c r="L85" s="19">
        <f t="shared" si="6"/>
        <v>0</v>
      </c>
      <c r="M85" s="19">
        <f t="shared" si="7"/>
        <v>0</v>
      </c>
      <c r="N85">
        <v>15</v>
      </c>
    </row>
    <row r="86" spans="1:14" ht="15" customHeight="1" x14ac:dyDescent="0.2">
      <c r="A86" t="s">
        <v>91</v>
      </c>
      <c r="B86" s="18">
        <v>0</v>
      </c>
      <c r="C86" s="59">
        <v>0</v>
      </c>
      <c r="D86" s="18">
        <v>0</v>
      </c>
      <c r="E86" s="18">
        <v>0</v>
      </c>
      <c r="F86" s="18">
        <v>1</v>
      </c>
      <c r="G86" s="18">
        <v>0</v>
      </c>
      <c r="H86" s="18">
        <v>0</v>
      </c>
      <c r="I86" s="59">
        <v>0</v>
      </c>
      <c r="J86" s="19">
        <f t="shared" si="4"/>
        <v>0</v>
      </c>
      <c r="K86" s="19">
        <f t="shared" si="5"/>
        <v>1</v>
      </c>
      <c r="L86" s="19">
        <f t="shared" si="6"/>
        <v>0</v>
      </c>
      <c r="M86" s="19">
        <f t="shared" si="7"/>
        <v>0</v>
      </c>
      <c r="N86">
        <v>15</v>
      </c>
    </row>
    <row r="87" spans="1:14" ht="15" customHeight="1" x14ac:dyDescent="0.2">
      <c r="A87" t="s">
        <v>92</v>
      </c>
      <c r="B87" s="18">
        <v>0</v>
      </c>
      <c r="C87" s="59">
        <v>0</v>
      </c>
      <c r="D87" s="18">
        <v>0</v>
      </c>
      <c r="E87" s="18">
        <v>0</v>
      </c>
      <c r="F87" s="18">
        <v>0</v>
      </c>
      <c r="G87" s="18">
        <v>0</v>
      </c>
      <c r="H87" s="18">
        <v>2</v>
      </c>
      <c r="I87" s="59">
        <v>0</v>
      </c>
      <c r="J87" s="19">
        <f t="shared" si="4"/>
        <v>2</v>
      </c>
      <c r="K87" s="19">
        <f t="shared" si="5"/>
        <v>0</v>
      </c>
      <c r="L87" s="19">
        <f t="shared" si="6"/>
        <v>0</v>
      </c>
      <c r="M87" s="19">
        <f t="shared" si="7"/>
        <v>0</v>
      </c>
      <c r="N87">
        <v>15</v>
      </c>
    </row>
    <row r="88" spans="1:14" ht="15" customHeight="1" x14ac:dyDescent="0.2">
      <c r="A88" t="s">
        <v>93</v>
      </c>
      <c r="B88" s="18">
        <v>0</v>
      </c>
      <c r="C88" s="59">
        <v>0</v>
      </c>
      <c r="D88" s="18">
        <v>0</v>
      </c>
      <c r="E88" s="18">
        <v>0</v>
      </c>
      <c r="F88" s="18">
        <v>2</v>
      </c>
      <c r="G88" s="18">
        <v>0</v>
      </c>
      <c r="H88" s="18">
        <v>0</v>
      </c>
      <c r="I88" s="59">
        <v>0</v>
      </c>
      <c r="J88" s="19">
        <f t="shared" si="4"/>
        <v>0</v>
      </c>
      <c r="K88" s="19">
        <f t="shared" si="5"/>
        <v>2</v>
      </c>
      <c r="L88" s="19">
        <f t="shared" si="6"/>
        <v>0</v>
      </c>
      <c r="M88" s="19">
        <f t="shared" si="7"/>
        <v>0</v>
      </c>
      <c r="N88">
        <v>15</v>
      </c>
    </row>
    <row r="89" spans="1:14" ht="15" customHeight="1" x14ac:dyDescent="0.2">
      <c r="A89" t="s">
        <v>94</v>
      </c>
      <c r="B89" s="18">
        <v>0</v>
      </c>
      <c r="C89" s="59">
        <v>0</v>
      </c>
      <c r="D89" s="18">
        <v>0</v>
      </c>
      <c r="E89" s="18">
        <v>0</v>
      </c>
      <c r="F89" s="18">
        <v>0</v>
      </c>
      <c r="G89" s="18">
        <v>0</v>
      </c>
      <c r="H89" s="18">
        <v>2</v>
      </c>
      <c r="I89" s="59">
        <v>0</v>
      </c>
      <c r="J89" s="19">
        <f t="shared" si="4"/>
        <v>2</v>
      </c>
      <c r="K89" s="19">
        <f t="shared" si="5"/>
        <v>0</v>
      </c>
      <c r="L89" s="19">
        <f t="shared" si="6"/>
        <v>0</v>
      </c>
      <c r="M89" s="19">
        <f t="shared" si="7"/>
        <v>0</v>
      </c>
      <c r="N89">
        <v>15</v>
      </c>
    </row>
    <row r="90" spans="1:14" ht="15" customHeight="1" x14ac:dyDescent="0.2">
      <c r="A90" t="s">
        <v>95</v>
      </c>
      <c r="B90" s="18">
        <v>1</v>
      </c>
      <c r="C90" s="59">
        <v>0</v>
      </c>
      <c r="D90" s="18">
        <v>1</v>
      </c>
      <c r="E90" s="18">
        <v>0</v>
      </c>
      <c r="F90" s="18">
        <v>1</v>
      </c>
      <c r="G90" s="18">
        <v>0</v>
      </c>
      <c r="H90" s="18">
        <v>2</v>
      </c>
      <c r="I90" s="59">
        <v>0</v>
      </c>
      <c r="J90" s="19">
        <f t="shared" si="4"/>
        <v>3</v>
      </c>
      <c r="K90" s="19">
        <f t="shared" si="5"/>
        <v>2</v>
      </c>
      <c r="L90" s="19">
        <f t="shared" si="6"/>
        <v>0</v>
      </c>
      <c r="M90" s="19">
        <f t="shared" si="7"/>
        <v>0</v>
      </c>
      <c r="N90">
        <v>15</v>
      </c>
    </row>
    <row r="91" spans="1:14" ht="15" customHeight="1" x14ac:dyDescent="0.2">
      <c r="A91" t="s">
        <v>96</v>
      </c>
      <c r="B91" s="18">
        <v>2</v>
      </c>
      <c r="C91" s="59">
        <v>0</v>
      </c>
      <c r="D91" s="18">
        <v>0</v>
      </c>
      <c r="E91" s="18">
        <v>0</v>
      </c>
      <c r="F91" s="18">
        <v>0</v>
      </c>
      <c r="G91" s="18">
        <v>0</v>
      </c>
      <c r="H91" s="18">
        <v>4</v>
      </c>
      <c r="I91" s="59">
        <v>0</v>
      </c>
      <c r="J91" s="19">
        <f t="shared" si="4"/>
        <v>6</v>
      </c>
      <c r="K91" s="19">
        <f t="shared" si="5"/>
        <v>0</v>
      </c>
      <c r="L91" s="19">
        <f t="shared" si="6"/>
        <v>0</v>
      </c>
      <c r="M91" s="19">
        <f t="shared" si="7"/>
        <v>0</v>
      </c>
      <c r="N91">
        <v>15</v>
      </c>
    </row>
    <row r="92" spans="1:14" ht="15" customHeight="1" x14ac:dyDescent="0.2">
      <c r="A92" t="s">
        <v>97</v>
      </c>
      <c r="B92" s="18">
        <v>0</v>
      </c>
      <c r="C92" s="59">
        <v>0</v>
      </c>
      <c r="D92" s="18">
        <v>0</v>
      </c>
      <c r="E92" s="18">
        <v>0</v>
      </c>
      <c r="F92" s="18">
        <v>1</v>
      </c>
      <c r="G92" s="18">
        <v>0</v>
      </c>
      <c r="H92" s="18">
        <v>1</v>
      </c>
      <c r="I92" s="59">
        <v>0</v>
      </c>
      <c r="J92" s="19">
        <f t="shared" si="4"/>
        <v>1</v>
      </c>
      <c r="K92" s="19">
        <f t="shared" si="5"/>
        <v>1</v>
      </c>
      <c r="L92" s="19">
        <f t="shared" si="6"/>
        <v>0</v>
      </c>
      <c r="M92" s="19">
        <f t="shared" si="7"/>
        <v>0</v>
      </c>
      <c r="N92">
        <v>15</v>
      </c>
    </row>
    <row r="93" spans="1:14" ht="15" customHeight="1" x14ac:dyDescent="0.2">
      <c r="A93" t="s">
        <v>98</v>
      </c>
      <c r="B93" s="18">
        <v>0</v>
      </c>
      <c r="C93" s="59">
        <v>0</v>
      </c>
      <c r="D93" s="18">
        <v>0</v>
      </c>
      <c r="E93" s="18">
        <v>0</v>
      </c>
      <c r="F93" s="18">
        <v>1</v>
      </c>
      <c r="G93" s="18">
        <v>0</v>
      </c>
      <c r="H93" s="18">
        <v>1</v>
      </c>
      <c r="I93" s="59">
        <v>0</v>
      </c>
      <c r="J93" s="19">
        <f t="shared" si="4"/>
        <v>1</v>
      </c>
      <c r="K93" s="19">
        <f t="shared" si="5"/>
        <v>1</v>
      </c>
      <c r="L93" s="19">
        <f t="shared" si="6"/>
        <v>0</v>
      </c>
      <c r="M93" s="19">
        <f t="shared" si="7"/>
        <v>0</v>
      </c>
      <c r="N93">
        <v>15</v>
      </c>
    </row>
    <row r="94" spans="1:14" ht="15" customHeight="1" x14ac:dyDescent="0.2">
      <c r="A94" t="s">
        <v>99</v>
      </c>
      <c r="B94" s="18">
        <v>0</v>
      </c>
      <c r="C94" s="59">
        <v>0</v>
      </c>
      <c r="D94" s="18">
        <v>0</v>
      </c>
      <c r="E94" s="18">
        <v>0</v>
      </c>
      <c r="F94" s="18">
        <v>0</v>
      </c>
      <c r="G94" s="18">
        <v>0</v>
      </c>
      <c r="H94" s="18">
        <v>2</v>
      </c>
      <c r="I94" s="59">
        <v>0</v>
      </c>
      <c r="J94" s="19">
        <f t="shared" si="4"/>
        <v>2</v>
      </c>
      <c r="K94" s="19">
        <f t="shared" si="5"/>
        <v>0</v>
      </c>
      <c r="L94" s="19">
        <f t="shared" si="6"/>
        <v>0</v>
      </c>
      <c r="M94" s="19">
        <f t="shared" si="7"/>
        <v>0</v>
      </c>
      <c r="N94">
        <v>15</v>
      </c>
    </row>
    <row r="95" spans="1:14" ht="15" customHeight="1" x14ac:dyDescent="0.2">
      <c r="A95" t="s">
        <v>100</v>
      </c>
      <c r="B95" s="18">
        <v>0</v>
      </c>
      <c r="C95" s="59">
        <v>0</v>
      </c>
      <c r="D95" s="18">
        <v>1</v>
      </c>
      <c r="E95" s="18">
        <v>0</v>
      </c>
      <c r="F95" s="18">
        <v>0</v>
      </c>
      <c r="G95" s="18">
        <v>0</v>
      </c>
      <c r="H95" s="18">
        <v>0</v>
      </c>
      <c r="I95" s="59">
        <v>0</v>
      </c>
      <c r="J95" s="19">
        <f t="shared" si="4"/>
        <v>0</v>
      </c>
      <c r="K95" s="19">
        <f t="shared" si="5"/>
        <v>1</v>
      </c>
      <c r="L95" s="19">
        <f t="shared" si="6"/>
        <v>0</v>
      </c>
      <c r="M95" s="19">
        <f t="shared" si="7"/>
        <v>0</v>
      </c>
      <c r="N95">
        <v>15</v>
      </c>
    </row>
    <row r="96" spans="1:14" ht="15" customHeight="1" x14ac:dyDescent="0.2">
      <c r="A96" t="s">
        <v>101</v>
      </c>
      <c r="B96" s="18">
        <v>1</v>
      </c>
      <c r="C96" s="59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59">
        <v>0</v>
      </c>
      <c r="J96" s="19">
        <f t="shared" si="4"/>
        <v>1</v>
      </c>
      <c r="K96" s="19">
        <f t="shared" si="5"/>
        <v>0</v>
      </c>
      <c r="L96" s="19">
        <f t="shared" si="6"/>
        <v>0</v>
      </c>
      <c r="M96" s="19">
        <f t="shared" si="7"/>
        <v>0</v>
      </c>
      <c r="N96">
        <v>15</v>
      </c>
    </row>
    <row r="97" spans="1:14" ht="15" customHeight="1" x14ac:dyDescent="0.2">
      <c r="A97" t="s">
        <v>102</v>
      </c>
      <c r="B97" s="18">
        <v>1</v>
      </c>
      <c r="C97" s="59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59">
        <v>1</v>
      </c>
      <c r="J97" s="19">
        <f t="shared" si="4"/>
        <v>1</v>
      </c>
      <c r="K97" s="19">
        <f t="shared" si="5"/>
        <v>0</v>
      </c>
      <c r="L97" s="19">
        <f t="shared" si="6"/>
        <v>1</v>
      </c>
      <c r="M97" s="19">
        <f t="shared" si="7"/>
        <v>0</v>
      </c>
      <c r="N97">
        <v>15</v>
      </c>
    </row>
    <row r="98" spans="1:14" ht="15" customHeight="1" x14ac:dyDescent="0.2">
      <c r="A98" t="s">
        <v>103</v>
      </c>
      <c r="B98" s="18">
        <v>0</v>
      </c>
      <c r="C98" s="59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59">
        <v>0</v>
      </c>
      <c r="J98" s="19">
        <f t="shared" si="4"/>
        <v>0</v>
      </c>
      <c r="K98" s="19">
        <f t="shared" si="5"/>
        <v>0</v>
      </c>
      <c r="L98" s="19">
        <f t="shared" si="6"/>
        <v>0</v>
      </c>
      <c r="M98" s="19">
        <f t="shared" si="7"/>
        <v>0</v>
      </c>
      <c r="N98">
        <v>15</v>
      </c>
    </row>
    <row r="99" spans="1:14" ht="15" customHeight="1" x14ac:dyDescent="0.2">
      <c r="A99" t="s">
        <v>104</v>
      </c>
      <c r="B99" s="18">
        <v>0</v>
      </c>
      <c r="C99" s="59">
        <v>0</v>
      </c>
      <c r="D99" s="18">
        <v>0</v>
      </c>
      <c r="E99" s="18">
        <v>0</v>
      </c>
      <c r="F99" s="18">
        <v>0</v>
      </c>
      <c r="G99" s="18">
        <v>0</v>
      </c>
      <c r="H99" s="18">
        <v>1</v>
      </c>
      <c r="I99" s="59">
        <v>1</v>
      </c>
      <c r="J99" s="19">
        <f t="shared" si="4"/>
        <v>1</v>
      </c>
      <c r="K99" s="19">
        <f t="shared" si="5"/>
        <v>0</v>
      </c>
      <c r="L99" s="19">
        <f t="shared" si="6"/>
        <v>1</v>
      </c>
      <c r="M99" s="19">
        <f t="shared" si="7"/>
        <v>0</v>
      </c>
      <c r="N99">
        <v>15</v>
      </c>
    </row>
    <row r="100" spans="1:14" ht="15" customHeight="1" x14ac:dyDescent="0.2">
      <c r="A100" t="s">
        <v>105</v>
      </c>
      <c r="B100" s="18">
        <v>0</v>
      </c>
      <c r="C100" s="59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59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  <c r="N100">
        <v>15</v>
      </c>
    </row>
    <row r="101" spans="1:14" ht="15" customHeight="1" x14ac:dyDescent="0.2">
      <c r="A101" t="s">
        <v>106</v>
      </c>
      <c r="B101" s="18">
        <v>0</v>
      </c>
      <c r="C101" s="59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1</v>
      </c>
      <c r="I101" s="59">
        <v>0</v>
      </c>
      <c r="J101" s="19">
        <f t="shared" si="4"/>
        <v>1</v>
      </c>
      <c r="K101" s="19">
        <f t="shared" si="5"/>
        <v>0</v>
      </c>
      <c r="L101" s="19">
        <f t="shared" si="6"/>
        <v>0</v>
      </c>
      <c r="M101" s="19">
        <f t="shared" si="7"/>
        <v>0</v>
      </c>
      <c r="N101">
        <v>15</v>
      </c>
    </row>
    <row r="102" spans="1:14" ht="15" customHeight="1" x14ac:dyDescent="0.2">
      <c r="A102" t="s">
        <v>107</v>
      </c>
      <c r="B102" s="18">
        <v>0</v>
      </c>
      <c r="C102" s="59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1</v>
      </c>
      <c r="I102" s="59">
        <v>0</v>
      </c>
      <c r="J102" s="19">
        <f t="shared" si="4"/>
        <v>1</v>
      </c>
      <c r="K102" s="19">
        <f t="shared" si="5"/>
        <v>0</v>
      </c>
      <c r="L102" s="19">
        <f t="shared" si="6"/>
        <v>0</v>
      </c>
      <c r="M102" s="19">
        <f t="shared" si="7"/>
        <v>0</v>
      </c>
      <c r="N102">
        <v>15</v>
      </c>
    </row>
    <row r="103" spans="1:14" ht="15" customHeight="1" x14ac:dyDescent="0.2">
      <c r="A103" t="s">
        <v>108</v>
      </c>
      <c r="B103" s="18">
        <v>0</v>
      </c>
      <c r="C103" s="59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1</v>
      </c>
      <c r="I103" s="59">
        <v>0</v>
      </c>
      <c r="J103" s="19">
        <f t="shared" si="4"/>
        <v>1</v>
      </c>
      <c r="K103" s="19">
        <f t="shared" si="5"/>
        <v>0</v>
      </c>
      <c r="L103" s="19">
        <f t="shared" si="6"/>
        <v>0</v>
      </c>
      <c r="M103" s="19">
        <f t="shared" si="7"/>
        <v>0</v>
      </c>
      <c r="N103">
        <v>15</v>
      </c>
    </row>
    <row r="104" spans="1:14" ht="15" customHeight="1" x14ac:dyDescent="0.2">
      <c r="A104" t="s">
        <v>109</v>
      </c>
      <c r="B104" s="18">
        <v>0</v>
      </c>
      <c r="C104" s="59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59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  <c r="N104">
        <v>15</v>
      </c>
    </row>
    <row r="105" spans="1:14" ht="15" customHeight="1" x14ac:dyDescent="0.2">
      <c r="A105" t="s">
        <v>110</v>
      </c>
      <c r="B105" s="18">
        <v>0</v>
      </c>
      <c r="C105" s="59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1</v>
      </c>
      <c r="I105" s="59">
        <v>0</v>
      </c>
      <c r="J105" s="19">
        <f t="shared" si="4"/>
        <v>1</v>
      </c>
      <c r="K105" s="19">
        <f t="shared" si="5"/>
        <v>0</v>
      </c>
      <c r="L105" s="19">
        <f t="shared" si="6"/>
        <v>0</v>
      </c>
      <c r="M105" s="19">
        <f t="shared" si="7"/>
        <v>0</v>
      </c>
      <c r="N105">
        <v>15</v>
      </c>
    </row>
    <row r="106" spans="1:14" ht="15" customHeight="1" x14ac:dyDescent="0.2">
      <c r="A106" t="s">
        <v>5</v>
      </c>
      <c r="B106" s="18">
        <v>0</v>
      </c>
      <c r="C106" s="59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59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  <c r="N106">
        <v>15</v>
      </c>
    </row>
    <row r="107" spans="1:14" ht="15" customHeight="1" x14ac:dyDescent="0.2">
      <c r="A107" t="s">
        <v>16</v>
      </c>
      <c r="B107" s="18">
        <v>1</v>
      </c>
      <c r="C107" s="59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1</v>
      </c>
      <c r="I107" s="59">
        <v>0</v>
      </c>
      <c r="J107" s="19">
        <f t="shared" si="4"/>
        <v>2</v>
      </c>
      <c r="K107" s="19">
        <f t="shared" si="5"/>
        <v>0</v>
      </c>
      <c r="L107" s="19">
        <f t="shared" si="6"/>
        <v>0</v>
      </c>
      <c r="M107" s="19">
        <f t="shared" si="7"/>
        <v>0</v>
      </c>
      <c r="N107">
        <v>15</v>
      </c>
    </row>
    <row r="108" spans="1:14" ht="15" customHeight="1" x14ac:dyDescent="0.2">
      <c r="A108" t="s">
        <v>17</v>
      </c>
      <c r="B108" s="18">
        <v>0</v>
      </c>
      <c r="C108" s="59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59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  <c r="N108">
        <v>15</v>
      </c>
    </row>
    <row r="109" spans="1:14" ht="15" customHeight="1" x14ac:dyDescent="0.2">
      <c r="A109" t="s">
        <v>18</v>
      </c>
      <c r="B109" s="18">
        <v>0</v>
      </c>
      <c r="C109" s="59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59">
        <v>0</v>
      </c>
      <c r="J109" s="19">
        <f t="shared" si="4"/>
        <v>0</v>
      </c>
      <c r="K109" s="19">
        <f t="shared" si="5"/>
        <v>0</v>
      </c>
      <c r="L109" s="19">
        <f t="shared" si="6"/>
        <v>0</v>
      </c>
      <c r="M109" s="19">
        <f t="shared" si="7"/>
        <v>0</v>
      </c>
      <c r="N109">
        <v>15</v>
      </c>
    </row>
    <row r="110" spans="1:14" ht="15" customHeight="1" x14ac:dyDescent="0.2">
      <c r="A110" t="s">
        <v>19</v>
      </c>
      <c r="B110" s="18">
        <v>0</v>
      </c>
      <c r="C110" s="59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1</v>
      </c>
      <c r="I110" s="59">
        <v>0</v>
      </c>
      <c r="J110" s="19">
        <f t="shared" si="4"/>
        <v>1</v>
      </c>
      <c r="K110" s="19">
        <f t="shared" si="5"/>
        <v>0</v>
      </c>
      <c r="L110" s="19">
        <f t="shared" si="6"/>
        <v>0</v>
      </c>
      <c r="M110" s="19">
        <f t="shared" si="7"/>
        <v>0</v>
      </c>
      <c r="N110">
        <v>15</v>
      </c>
    </row>
    <row r="111" spans="1:14" ht="15" customHeight="1" x14ac:dyDescent="0.2">
      <c r="A111" t="s">
        <v>20</v>
      </c>
      <c r="B111" s="18">
        <v>0</v>
      </c>
      <c r="C111" s="59">
        <v>0</v>
      </c>
      <c r="D111" s="18">
        <v>0</v>
      </c>
      <c r="E111" s="18">
        <v>0</v>
      </c>
      <c r="F111" s="18">
        <v>1</v>
      </c>
      <c r="G111" s="18">
        <v>0</v>
      </c>
      <c r="H111" s="18">
        <v>0</v>
      </c>
      <c r="I111" s="59">
        <v>0</v>
      </c>
      <c r="J111" s="19">
        <f t="shared" si="4"/>
        <v>0</v>
      </c>
      <c r="K111" s="19">
        <f t="shared" si="5"/>
        <v>1</v>
      </c>
      <c r="L111" s="19">
        <f t="shared" si="6"/>
        <v>0</v>
      </c>
      <c r="M111" s="19">
        <f t="shared" si="7"/>
        <v>0</v>
      </c>
      <c r="N111">
        <v>15</v>
      </c>
    </row>
    <row r="112" spans="1:14" ht="15" customHeight="1" x14ac:dyDescent="0.2">
      <c r="A112" t="s">
        <v>21</v>
      </c>
      <c r="B112" s="18">
        <v>0</v>
      </c>
      <c r="C112" s="59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59">
        <v>0</v>
      </c>
      <c r="J112" s="19">
        <f t="shared" si="4"/>
        <v>0</v>
      </c>
      <c r="K112" s="19">
        <f t="shared" si="5"/>
        <v>0</v>
      </c>
      <c r="L112" s="19">
        <f t="shared" si="6"/>
        <v>0</v>
      </c>
      <c r="M112" s="19">
        <f t="shared" si="7"/>
        <v>0</v>
      </c>
      <c r="N112">
        <v>15</v>
      </c>
    </row>
    <row r="113" spans="1:14" ht="15" customHeight="1" x14ac:dyDescent="0.2">
      <c r="A113" t="s">
        <v>22</v>
      </c>
      <c r="B113" s="18">
        <v>0</v>
      </c>
      <c r="C113" s="59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59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  <c r="N113">
        <v>15</v>
      </c>
    </row>
    <row r="114" spans="1:14" ht="15" customHeight="1" x14ac:dyDescent="0.2">
      <c r="A114" t="s">
        <v>23</v>
      </c>
      <c r="B114" s="18">
        <v>0</v>
      </c>
      <c r="C114" s="59">
        <v>0</v>
      </c>
      <c r="D114" s="18">
        <v>1</v>
      </c>
      <c r="E114" s="18">
        <v>0</v>
      </c>
      <c r="F114" s="18">
        <v>0</v>
      </c>
      <c r="G114" s="18">
        <v>0</v>
      </c>
      <c r="H114" s="18">
        <v>0</v>
      </c>
      <c r="I114" s="59">
        <v>0</v>
      </c>
      <c r="J114" s="19">
        <f t="shared" si="4"/>
        <v>0</v>
      </c>
      <c r="K114" s="19">
        <f t="shared" si="5"/>
        <v>1</v>
      </c>
      <c r="L114" s="19">
        <f t="shared" si="6"/>
        <v>0</v>
      </c>
      <c r="M114" s="19">
        <f t="shared" si="7"/>
        <v>0</v>
      </c>
      <c r="N114">
        <v>15</v>
      </c>
    </row>
    <row r="115" spans="1:14" ht="15" customHeight="1" x14ac:dyDescent="0.2">
      <c r="A115" t="s">
        <v>24</v>
      </c>
      <c r="B115" s="18">
        <v>0</v>
      </c>
      <c r="C115" s="59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59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  <c r="N115">
        <v>15</v>
      </c>
    </row>
    <row r="116" spans="1:14" ht="15" customHeight="1" x14ac:dyDescent="0.2">
      <c r="A116" t="s">
        <v>25</v>
      </c>
      <c r="B116" s="18">
        <v>0</v>
      </c>
      <c r="C116" s="59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59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  <c r="N116">
        <v>15</v>
      </c>
    </row>
    <row r="117" spans="1:14" ht="15" customHeight="1" x14ac:dyDescent="0.2">
      <c r="A117" t="s">
        <v>26</v>
      </c>
      <c r="B117" s="18">
        <v>0</v>
      </c>
      <c r="C117" s="59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59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  <c r="N117">
        <v>15</v>
      </c>
    </row>
    <row r="118" spans="1:14" ht="15" customHeight="1" x14ac:dyDescent="0.2">
      <c r="A118" t="s">
        <v>27</v>
      </c>
      <c r="B118" s="18">
        <v>1</v>
      </c>
      <c r="C118" s="59">
        <v>0</v>
      </c>
      <c r="D118" s="18">
        <v>1</v>
      </c>
      <c r="E118" s="18">
        <v>0</v>
      </c>
      <c r="F118" s="18">
        <v>0</v>
      </c>
      <c r="G118" s="18">
        <v>0</v>
      </c>
      <c r="H118" s="18">
        <v>0</v>
      </c>
      <c r="I118" s="59">
        <v>0</v>
      </c>
      <c r="J118" s="19">
        <f t="shared" si="4"/>
        <v>1</v>
      </c>
      <c r="K118" s="19">
        <f t="shared" si="5"/>
        <v>1</v>
      </c>
      <c r="L118" s="19">
        <f t="shared" si="6"/>
        <v>0</v>
      </c>
      <c r="M118" s="19">
        <f t="shared" si="7"/>
        <v>0</v>
      </c>
      <c r="N118">
        <v>15</v>
      </c>
    </row>
    <row r="119" spans="1:14" ht="15" customHeight="1" x14ac:dyDescent="0.2">
      <c r="A119" t="s">
        <v>28</v>
      </c>
      <c r="B119" s="18">
        <v>0</v>
      </c>
      <c r="C119" s="59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59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  <c r="N119">
        <v>15</v>
      </c>
    </row>
    <row r="120" spans="1:14" ht="15" customHeight="1" x14ac:dyDescent="0.2">
      <c r="A120" t="s">
        <v>29</v>
      </c>
      <c r="B120" s="18">
        <v>0</v>
      </c>
      <c r="C120" s="59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59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  <c r="N120">
        <v>15</v>
      </c>
    </row>
    <row r="121" spans="1:14" ht="15" customHeight="1" x14ac:dyDescent="0.2">
      <c r="A121" t="s">
        <v>30</v>
      </c>
      <c r="B121" s="18">
        <v>0</v>
      </c>
      <c r="C121" s="59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59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  <c r="N121">
        <v>15</v>
      </c>
    </row>
    <row r="122" spans="1:14" ht="15" customHeight="1" x14ac:dyDescent="0.2">
      <c r="A122" t="s">
        <v>31</v>
      </c>
      <c r="B122" s="18">
        <v>0</v>
      </c>
      <c r="C122" s="59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59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  <c r="N122">
        <v>15</v>
      </c>
    </row>
    <row r="123" spans="1:14" ht="15" customHeight="1" x14ac:dyDescent="0.2">
      <c r="A123" t="s">
        <v>32</v>
      </c>
      <c r="B123" s="18">
        <v>0</v>
      </c>
      <c r="C123" s="59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59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  <c r="N123">
        <v>15</v>
      </c>
    </row>
    <row r="124" spans="1:14" ht="15" customHeight="1" x14ac:dyDescent="0.2">
      <c r="A124" t="s">
        <v>33</v>
      </c>
      <c r="B124" s="18">
        <v>0</v>
      </c>
      <c r="C124" s="59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59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  <c r="N124">
        <v>15</v>
      </c>
    </row>
    <row r="125" spans="1:14" ht="15" customHeight="1" x14ac:dyDescent="0.2">
      <c r="A125" t="s">
        <v>34</v>
      </c>
      <c r="B125" s="18">
        <v>0</v>
      </c>
      <c r="C125" s="59">
        <v>0</v>
      </c>
      <c r="D125" s="18">
        <v>1</v>
      </c>
      <c r="E125" s="18">
        <v>0</v>
      </c>
      <c r="F125" s="18">
        <v>0</v>
      </c>
      <c r="G125" s="18">
        <v>0</v>
      </c>
      <c r="H125" s="18">
        <v>1</v>
      </c>
      <c r="I125" s="59">
        <v>0</v>
      </c>
      <c r="J125" s="19">
        <f t="shared" si="4"/>
        <v>1</v>
      </c>
      <c r="K125" s="19">
        <f t="shared" si="5"/>
        <v>1</v>
      </c>
      <c r="L125" s="19">
        <f t="shared" si="6"/>
        <v>0</v>
      </c>
      <c r="M125" s="19">
        <f t="shared" si="7"/>
        <v>0</v>
      </c>
      <c r="N125">
        <v>15</v>
      </c>
    </row>
    <row r="126" spans="1:14" ht="15" customHeight="1" x14ac:dyDescent="0.2">
      <c r="A126" t="s">
        <v>35</v>
      </c>
      <c r="B126" s="18">
        <v>0</v>
      </c>
      <c r="C126" s="59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59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  <c r="N126">
        <v>15</v>
      </c>
    </row>
    <row r="127" spans="1:14" ht="15" customHeight="1" x14ac:dyDescent="0.2">
      <c r="A127" t="s">
        <v>36</v>
      </c>
      <c r="B127" s="18">
        <v>0</v>
      </c>
      <c r="C127" s="59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59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  <c r="N127">
        <v>15</v>
      </c>
    </row>
    <row r="128" spans="1:14" ht="15" customHeight="1" x14ac:dyDescent="0.2">
      <c r="A128" t="s">
        <v>37</v>
      </c>
      <c r="B128" s="18">
        <v>0</v>
      </c>
      <c r="C128" s="59">
        <v>0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59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  <c r="N128">
        <v>15</v>
      </c>
    </row>
    <row r="129" spans="1:14" ht="15" customHeight="1" x14ac:dyDescent="0.2">
      <c r="A129" t="s">
        <v>38</v>
      </c>
      <c r="B129" s="18">
        <v>0</v>
      </c>
      <c r="C129" s="59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59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  <c r="N129">
        <v>15</v>
      </c>
    </row>
    <row r="130" spans="1:14" ht="15" customHeight="1" x14ac:dyDescent="0.2">
      <c r="A130" t="s">
        <v>39</v>
      </c>
      <c r="B130" s="18">
        <v>0</v>
      </c>
      <c r="C130" s="59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1</v>
      </c>
      <c r="I130" s="59">
        <v>0</v>
      </c>
      <c r="J130" s="19">
        <f t="shared" si="4"/>
        <v>1</v>
      </c>
      <c r="K130" s="19">
        <f t="shared" si="5"/>
        <v>0</v>
      </c>
      <c r="L130" s="19">
        <f t="shared" si="6"/>
        <v>0</v>
      </c>
      <c r="M130" s="19">
        <f t="shared" si="7"/>
        <v>0</v>
      </c>
      <c r="N130">
        <v>15</v>
      </c>
    </row>
    <row r="131" spans="1:14" ht="15" customHeight="1" x14ac:dyDescent="0.2">
      <c r="A131" t="s">
        <v>40</v>
      </c>
      <c r="B131" s="18">
        <v>1</v>
      </c>
      <c r="C131" s="59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1</v>
      </c>
      <c r="I131" s="59">
        <v>0</v>
      </c>
      <c r="J131" s="19">
        <f t="shared" si="4"/>
        <v>2</v>
      </c>
      <c r="K131" s="19">
        <f t="shared" si="5"/>
        <v>0</v>
      </c>
      <c r="L131" s="19">
        <f t="shared" si="6"/>
        <v>0</v>
      </c>
      <c r="M131" s="19">
        <f t="shared" si="7"/>
        <v>0</v>
      </c>
      <c r="N131">
        <v>15</v>
      </c>
    </row>
    <row r="132" spans="1:14" ht="15" customHeight="1" x14ac:dyDescent="0.2">
      <c r="A132" t="s">
        <v>41</v>
      </c>
      <c r="B132" s="18">
        <v>0</v>
      </c>
      <c r="C132" s="59">
        <v>0</v>
      </c>
      <c r="D132" s="18">
        <v>0</v>
      </c>
      <c r="E132" s="18">
        <v>0</v>
      </c>
      <c r="F132" s="18">
        <v>1</v>
      </c>
      <c r="G132" s="18">
        <v>0</v>
      </c>
      <c r="H132" s="18">
        <v>0</v>
      </c>
      <c r="I132" s="59">
        <v>0</v>
      </c>
      <c r="J132" s="19">
        <f t="shared" si="4"/>
        <v>0</v>
      </c>
      <c r="K132" s="19">
        <f t="shared" si="5"/>
        <v>1</v>
      </c>
      <c r="L132" s="19">
        <f t="shared" si="6"/>
        <v>0</v>
      </c>
      <c r="M132" s="19">
        <f t="shared" si="7"/>
        <v>0</v>
      </c>
      <c r="N132">
        <v>15</v>
      </c>
    </row>
    <row r="133" spans="1:14" ht="15" customHeight="1" x14ac:dyDescent="0.2">
      <c r="A133" t="s">
        <v>42</v>
      </c>
      <c r="B133" s="18">
        <v>0</v>
      </c>
      <c r="C133" s="59">
        <v>0</v>
      </c>
      <c r="D133" s="18">
        <v>0</v>
      </c>
      <c r="E133" s="18">
        <v>0</v>
      </c>
      <c r="F133" s="18">
        <v>2</v>
      </c>
      <c r="G133" s="18">
        <v>0</v>
      </c>
      <c r="H133" s="18">
        <v>0</v>
      </c>
      <c r="I133" s="59">
        <v>0</v>
      </c>
      <c r="J133" s="19">
        <f t="shared" si="4"/>
        <v>0</v>
      </c>
      <c r="K133" s="19">
        <f t="shared" si="5"/>
        <v>2</v>
      </c>
      <c r="L133" s="19">
        <f t="shared" si="6"/>
        <v>0</v>
      </c>
      <c r="M133" s="19">
        <f t="shared" si="7"/>
        <v>0</v>
      </c>
      <c r="N133">
        <v>15</v>
      </c>
    </row>
    <row r="134" spans="1:14" ht="15" customHeight="1" x14ac:dyDescent="0.2">
      <c r="A134" t="s">
        <v>43</v>
      </c>
      <c r="B134" s="18">
        <v>0</v>
      </c>
      <c r="C134" s="59">
        <v>0</v>
      </c>
      <c r="D134" s="18">
        <v>0</v>
      </c>
      <c r="E134" s="18">
        <v>0</v>
      </c>
      <c r="F134" s="18">
        <v>1</v>
      </c>
      <c r="G134" s="18">
        <v>0</v>
      </c>
      <c r="H134" s="18">
        <v>0</v>
      </c>
      <c r="I134" s="59">
        <v>0</v>
      </c>
      <c r="J134" s="19">
        <f t="shared" si="4"/>
        <v>0</v>
      </c>
      <c r="K134" s="19">
        <f t="shared" si="5"/>
        <v>1</v>
      </c>
      <c r="L134" s="19">
        <f t="shared" si="6"/>
        <v>0</v>
      </c>
      <c r="M134" s="19">
        <f t="shared" si="7"/>
        <v>0</v>
      </c>
      <c r="N134">
        <v>15</v>
      </c>
    </row>
    <row r="135" spans="1:14" ht="15" customHeight="1" x14ac:dyDescent="0.2">
      <c r="A135" t="s">
        <v>44</v>
      </c>
      <c r="B135" s="18">
        <v>0</v>
      </c>
      <c r="C135" s="59">
        <v>0</v>
      </c>
      <c r="D135" s="18">
        <v>0</v>
      </c>
      <c r="E135" s="18">
        <v>0</v>
      </c>
      <c r="F135" s="18">
        <v>1</v>
      </c>
      <c r="G135" s="18">
        <v>0</v>
      </c>
      <c r="H135" s="18">
        <v>0</v>
      </c>
      <c r="I135" s="59">
        <v>0</v>
      </c>
      <c r="J135" s="19">
        <f t="shared" si="4"/>
        <v>0</v>
      </c>
      <c r="K135" s="19">
        <f t="shared" si="5"/>
        <v>1</v>
      </c>
      <c r="L135" s="19">
        <f t="shared" si="6"/>
        <v>0</v>
      </c>
      <c r="M135" s="19">
        <f t="shared" si="7"/>
        <v>0</v>
      </c>
      <c r="N135">
        <v>15</v>
      </c>
    </row>
    <row r="136" spans="1:14" ht="15" customHeight="1" x14ac:dyDescent="0.2">
      <c r="A136" t="s">
        <v>45</v>
      </c>
      <c r="B136" s="18">
        <v>0</v>
      </c>
      <c r="C136" s="59">
        <v>0</v>
      </c>
      <c r="D136" s="18">
        <v>0</v>
      </c>
      <c r="E136" s="18">
        <v>0</v>
      </c>
      <c r="F136" s="18">
        <v>1</v>
      </c>
      <c r="G136" s="18">
        <v>0</v>
      </c>
      <c r="H136" s="18">
        <v>0</v>
      </c>
      <c r="I136" s="59">
        <v>0</v>
      </c>
      <c r="J136" s="19">
        <f t="shared" si="4"/>
        <v>0</v>
      </c>
      <c r="K136" s="19">
        <f t="shared" si="5"/>
        <v>1</v>
      </c>
      <c r="L136" s="19">
        <f t="shared" si="6"/>
        <v>0</v>
      </c>
      <c r="M136" s="19">
        <f t="shared" si="7"/>
        <v>0</v>
      </c>
      <c r="N136">
        <v>15</v>
      </c>
    </row>
    <row r="137" spans="1:14" ht="15" customHeight="1" x14ac:dyDescent="0.2">
      <c r="A137" t="s">
        <v>46</v>
      </c>
      <c r="B137" s="18">
        <v>0</v>
      </c>
      <c r="C137" s="59">
        <v>0</v>
      </c>
      <c r="D137" s="18">
        <v>1</v>
      </c>
      <c r="E137" s="18">
        <v>0</v>
      </c>
      <c r="F137" s="18">
        <v>0</v>
      </c>
      <c r="G137" s="18">
        <v>0</v>
      </c>
      <c r="H137" s="18">
        <v>1</v>
      </c>
      <c r="I137" s="59">
        <v>0</v>
      </c>
      <c r="J137" s="19">
        <f t="shared" si="4"/>
        <v>1</v>
      </c>
      <c r="K137" s="19">
        <f t="shared" si="5"/>
        <v>1</v>
      </c>
      <c r="L137" s="19">
        <f t="shared" si="6"/>
        <v>0</v>
      </c>
      <c r="M137" s="19">
        <f t="shared" si="7"/>
        <v>0</v>
      </c>
      <c r="N137">
        <v>15</v>
      </c>
    </row>
    <row r="138" spans="1:14" ht="15" customHeight="1" x14ac:dyDescent="0.2">
      <c r="A138" t="s">
        <v>47</v>
      </c>
      <c r="B138" s="18">
        <v>2</v>
      </c>
      <c r="C138" s="59">
        <v>0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59">
        <v>0</v>
      </c>
      <c r="J138" s="19">
        <f t="shared" si="4"/>
        <v>2</v>
      </c>
      <c r="K138" s="19">
        <f t="shared" si="5"/>
        <v>0</v>
      </c>
      <c r="L138" s="19">
        <f t="shared" si="6"/>
        <v>0</v>
      </c>
      <c r="M138" s="19">
        <f t="shared" si="7"/>
        <v>0</v>
      </c>
      <c r="N138">
        <v>15</v>
      </c>
    </row>
    <row r="139" spans="1:14" ht="15" customHeight="1" x14ac:dyDescent="0.2">
      <c r="A139" t="s">
        <v>48</v>
      </c>
      <c r="B139" s="18">
        <v>0</v>
      </c>
      <c r="C139" s="59">
        <v>0</v>
      </c>
      <c r="D139" s="18">
        <v>1</v>
      </c>
      <c r="E139" s="18">
        <v>0</v>
      </c>
      <c r="F139" s="18">
        <v>1</v>
      </c>
      <c r="G139" s="18">
        <v>0</v>
      </c>
      <c r="H139" s="18">
        <v>1</v>
      </c>
      <c r="I139" s="59">
        <v>0</v>
      </c>
      <c r="J139" s="19">
        <f t="shared" ref="J139:J201" si="8">SUM(B139,H139)</f>
        <v>1</v>
      </c>
      <c r="K139" s="19">
        <f t="shared" ref="K139:K201" si="9">SUM(D139,F139)</f>
        <v>2</v>
      </c>
      <c r="L139" s="19">
        <f t="shared" ref="L139:L201" si="10">SUM(C139,I139)</f>
        <v>0</v>
      </c>
      <c r="M139" s="19">
        <f t="shared" ref="M139:M201" si="11">SUM(E139,G139)</f>
        <v>0</v>
      </c>
      <c r="N139">
        <v>15</v>
      </c>
    </row>
    <row r="140" spans="1:14" ht="15" customHeight="1" x14ac:dyDescent="0.2">
      <c r="A140" t="s">
        <v>49</v>
      </c>
      <c r="B140" s="18">
        <v>0</v>
      </c>
      <c r="C140" s="59">
        <v>0</v>
      </c>
      <c r="D140" s="18">
        <v>0</v>
      </c>
      <c r="E140" s="18">
        <v>0</v>
      </c>
      <c r="F140" s="18">
        <v>7</v>
      </c>
      <c r="G140" s="18">
        <v>0</v>
      </c>
      <c r="H140" s="18">
        <v>1</v>
      </c>
      <c r="I140" s="59">
        <v>0</v>
      </c>
      <c r="J140" s="19">
        <f t="shared" si="8"/>
        <v>1</v>
      </c>
      <c r="K140" s="19">
        <f t="shared" si="9"/>
        <v>7</v>
      </c>
      <c r="L140" s="19">
        <f t="shared" si="10"/>
        <v>0</v>
      </c>
      <c r="M140" s="19">
        <f t="shared" si="11"/>
        <v>0</v>
      </c>
      <c r="N140">
        <v>15</v>
      </c>
    </row>
    <row r="141" spans="1:14" ht="15" customHeight="1" x14ac:dyDescent="0.2">
      <c r="A141" t="s">
        <v>50</v>
      </c>
      <c r="B141" s="18">
        <v>0</v>
      </c>
      <c r="C141" s="59">
        <v>0</v>
      </c>
      <c r="D141" s="18">
        <v>0</v>
      </c>
      <c r="E141" s="18">
        <v>0</v>
      </c>
      <c r="F141" s="18">
        <v>5</v>
      </c>
      <c r="G141" s="18">
        <v>0</v>
      </c>
      <c r="H141" s="18">
        <v>0</v>
      </c>
      <c r="I141" s="59">
        <v>0</v>
      </c>
      <c r="J141" s="19">
        <f t="shared" si="8"/>
        <v>0</v>
      </c>
      <c r="K141" s="19">
        <f t="shared" si="9"/>
        <v>5</v>
      </c>
      <c r="L141" s="19">
        <f t="shared" si="10"/>
        <v>0</v>
      </c>
      <c r="M141" s="19">
        <f t="shared" si="11"/>
        <v>0</v>
      </c>
      <c r="N141">
        <v>15</v>
      </c>
    </row>
    <row r="142" spans="1:14" ht="15" customHeight="1" x14ac:dyDescent="0.2">
      <c r="A142" t="s">
        <v>51</v>
      </c>
      <c r="B142" s="18">
        <v>0</v>
      </c>
      <c r="C142" s="59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59">
        <v>0</v>
      </c>
      <c r="J142" s="19">
        <f t="shared" si="8"/>
        <v>0</v>
      </c>
      <c r="K142" s="19">
        <f t="shared" si="9"/>
        <v>0</v>
      </c>
      <c r="L142" s="19">
        <f t="shared" si="10"/>
        <v>0</v>
      </c>
      <c r="M142" s="19">
        <f t="shared" si="11"/>
        <v>0</v>
      </c>
      <c r="N142">
        <v>15</v>
      </c>
    </row>
    <row r="143" spans="1:14" ht="15" customHeight="1" x14ac:dyDescent="0.2">
      <c r="A143" t="s">
        <v>52</v>
      </c>
      <c r="B143" s="18">
        <v>0</v>
      </c>
      <c r="C143" s="59">
        <v>0</v>
      </c>
      <c r="D143" s="18">
        <v>1</v>
      </c>
      <c r="E143" s="18">
        <v>0</v>
      </c>
      <c r="F143" s="18">
        <v>0</v>
      </c>
      <c r="G143" s="18">
        <v>0</v>
      </c>
      <c r="H143" s="18">
        <v>0</v>
      </c>
      <c r="I143" s="59">
        <v>0</v>
      </c>
      <c r="J143" s="19">
        <f t="shared" si="8"/>
        <v>0</v>
      </c>
      <c r="K143" s="19">
        <f t="shared" si="9"/>
        <v>1</v>
      </c>
      <c r="L143" s="19">
        <f t="shared" si="10"/>
        <v>0</v>
      </c>
      <c r="M143" s="19">
        <f t="shared" si="11"/>
        <v>0</v>
      </c>
      <c r="N143">
        <v>15</v>
      </c>
    </row>
    <row r="144" spans="1:14" ht="15" customHeight="1" x14ac:dyDescent="0.2">
      <c r="A144" t="s">
        <v>53</v>
      </c>
      <c r="B144" s="18">
        <v>0</v>
      </c>
      <c r="C144" s="59">
        <v>0</v>
      </c>
      <c r="D144" s="18">
        <v>0</v>
      </c>
      <c r="E144" s="18">
        <v>0</v>
      </c>
      <c r="F144" s="18">
        <v>1</v>
      </c>
      <c r="G144" s="18">
        <v>0</v>
      </c>
      <c r="H144" s="18">
        <v>0</v>
      </c>
      <c r="I144" s="59">
        <v>0</v>
      </c>
      <c r="J144" s="19">
        <f t="shared" si="8"/>
        <v>0</v>
      </c>
      <c r="K144" s="19">
        <f t="shared" si="9"/>
        <v>1</v>
      </c>
      <c r="L144" s="19">
        <f t="shared" si="10"/>
        <v>0</v>
      </c>
      <c r="M144" s="19">
        <f t="shared" si="11"/>
        <v>0</v>
      </c>
      <c r="N144">
        <v>15</v>
      </c>
    </row>
    <row r="145" spans="1:14" ht="15" customHeight="1" x14ac:dyDescent="0.2">
      <c r="A145" t="s">
        <v>54</v>
      </c>
      <c r="B145" s="18">
        <v>0</v>
      </c>
      <c r="C145" s="59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59">
        <v>0</v>
      </c>
      <c r="J145" s="19">
        <f t="shared" si="8"/>
        <v>0</v>
      </c>
      <c r="K145" s="19">
        <f t="shared" si="9"/>
        <v>0</v>
      </c>
      <c r="L145" s="19">
        <f t="shared" si="10"/>
        <v>0</v>
      </c>
      <c r="M145" s="19">
        <f t="shared" si="11"/>
        <v>0</v>
      </c>
      <c r="N145">
        <v>15</v>
      </c>
    </row>
    <row r="146" spans="1:14" ht="15" customHeight="1" x14ac:dyDescent="0.2">
      <c r="A146" t="s">
        <v>55</v>
      </c>
      <c r="B146" s="18">
        <v>0</v>
      </c>
      <c r="C146" s="59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59">
        <v>0</v>
      </c>
      <c r="J146" s="19">
        <f t="shared" si="8"/>
        <v>0</v>
      </c>
      <c r="K146" s="19">
        <f t="shared" si="9"/>
        <v>0</v>
      </c>
      <c r="L146" s="19">
        <f t="shared" si="10"/>
        <v>0</v>
      </c>
      <c r="M146" s="19">
        <f t="shared" si="11"/>
        <v>0</v>
      </c>
      <c r="N146">
        <v>15</v>
      </c>
    </row>
    <row r="147" spans="1:14" ht="15" customHeight="1" x14ac:dyDescent="0.2">
      <c r="A147" t="s">
        <v>56</v>
      </c>
      <c r="B147" s="18">
        <v>0</v>
      </c>
      <c r="C147" s="59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1</v>
      </c>
      <c r="I147" s="59">
        <v>0</v>
      </c>
      <c r="J147" s="19">
        <f t="shared" si="8"/>
        <v>1</v>
      </c>
      <c r="K147" s="19">
        <f t="shared" si="9"/>
        <v>0</v>
      </c>
      <c r="L147" s="19">
        <f t="shared" si="10"/>
        <v>0</v>
      </c>
      <c r="M147" s="19">
        <f t="shared" si="11"/>
        <v>0</v>
      </c>
      <c r="N147">
        <v>15</v>
      </c>
    </row>
    <row r="148" spans="1:14" ht="15" customHeight="1" x14ac:dyDescent="0.2">
      <c r="A148" t="s">
        <v>57</v>
      </c>
      <c r="B148" s="18">
        <v>0</v>
      </c>
      <c r="C148" s="59">
        <v>0</v>
      </c>
      <c r="D148" s="18">
        <v>1</v>
      </c>
      <c r="E148" s="18">
        <v>0</v>
      </c>
      <c r="F148" s="18">
        <v>1</v>
      </c>
      <c r="G148" s="18">
        <v>0</v>
      </c>
      <c r="H148" s="18">
        <v>0</v>
      </c>
      <c r="I148" s="59">
        <v>0</v>
      </c>
      <c r="J148" s="19">
        <f t="shared" si="8"/>
        <v>0</v>
      </c>
      <c r="K148" s="19">
        <f t="shared" si="9"/>
        <v>2</v>
      </c>
      <c r="L148" s="19">
        <f t="shared" si="10"/>
        <v>0</v>
      </c>
      <c r="M148" s="19">
        <f t="shared" si="11"/>
        <v>0</v>
      </c>
      <c r="N148">
        <v>15</v>
      </c>
    </row>
    <row r="149" spans="1:14" ht="15" customHeight="1" x14ac:dyDescent="0.2">
      <c r="A149" t="s">
        <v>58</v>
      </c>
      <c r="B149" s="18">
        <v>0</v>
      </c>
      <c r="C149" s="59">
        <v>0</v>
      </c>
      <c r="D149" s="18">
        <v>0</v>
      </c>
      <c r="E149" s="18">
        <v>0</v>
      </c>
      <c r="F149" s="18">
        <v>1</v>
      </c>
      <c r="G149" s="18">
        <v>0</v>
      </c>
      <c r="H149" s="18">
        <v>0</v>
      </c>
      <c r="I149" s="59">
        <v>0</v>
      </c>
      <c r="J149" s="19">
        <f t="shared" si="8"/>
        <v>0</v>
      </c>
      <c r="K149" s="19">
        <f t="shared" si="9"/>
        <v>1</v>
      </c>
      <c r="L149" s="19">
        <f t="shared" si="10"/>
        <v>0</v>
      </c>
      <c r="M149" s="19">
        <f t="shared" si="11"/>
        <v>0</v>
      </c>
      <c r="N149">
        <v>15</v>
      </c>
    </row>
    <row r="150" spans="1:14" ht="15" customHeight="1" x14ac:dyDescent="0.2">
      <c r="A150" t="s">
        <v>59</v>
      </c>
      <c r="B150" s="18">
        <v>0</v>
      </c>
      <c r="C150" s="59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1</v>
      </c>
      <c r="I150" s="59">
        <v>0</v>
      </c>
      <c r="J150" s="19">
        <f t="shared" si="8"/>
        <v>1</v>
      </c>
      <c r="K150" s="19">
        <f t="shared" si="9"/>
        <v>0</v>
      </c>
      <c r="L150" s="19">
        <f t="shared" si="10"/>
        <v>0</v>
      </c>
      <c r="M150" s="19">
        <f t="shared" si="11"/>
        <v>0</v>
      </c>
      <c r="N150">
        <v>15</v>
      </c>
    </row>
    <row r="151" spans="1:14" ht="15" customHeight="1" x14ac:dyDescent="0.2">
      <c r="A151" t="s">
        <v>60</v>
      </c>
      <c r="B151" s="18">
        <v>1</v>
      </c>
      <c r="C151" s="59">
        <v>0</v>
      </c>
      <c r="D151" s="18">
        <v>1</v>
      </c>
      <c r="E151" s="18">
        <v>0</v>
      </c>
      <c r="F151" s="18">
        <v>0</v>
      </c>
      <c r="G151" s="18">
        <v>0</v>
      </c>
      <c r="H151" s="18">
        <v>2</v>
      </c>
      <c r="I151" s="59">
        <v>0</v>
      </c>
      <c r="J151" s="19">
        <f t="shared" si="8"/>
        <v>3</v>
      </c>
      <c r="K151" s="19">
        <f t="shared" si="9"/>
        <v>1</v>
      </c>
      <c r="L151" s="19">
        <f t="shared" si="10"/>
        <v>0</v>
      </c>
      <c r="M151" s="19">
        <f t="shared" si="11"/>
        <v>0</v>
      </c>
      <c r="N151">
        <v>15</v>
      </c>
    </row>
    <row r="152" spans="1:14" ht="15" customHeight="1" x14ac:dyDescent="0.2">
      <c r="A152" t="s">
        <v>61</v>
      </c>
      <c r="B152" s="18">
        <v>0</v>
      </c>
      <c r="C152" s="59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1</v>
      </c>
      <c r="I152" s="59">
        <v>0</v>
      </c>
      <c r="J152" s="19">
        <f t="shared" si="8"/>
        <v>1</v>
      </c>
      <c r="K152" s="19">
        <f t="shared" si="9"/>
        <v>0</v>
      </c>
      <c r="L152" s="19">
        <f t="shared" si="10"/>
        <v>0</v>
      </c>
      <c r="M152" s="19">
        <f t="shared" si="11"/>
        <v>0</v>
      </c>
      <c r="N152">
        <v>15</v>
      </c>
    </row>
    <row r="153" spans="1:14" ht="15" customHeight="1" x14ac:dyDescent="0.2">
      <c r="A153" t="s">
        <v>62</v>
      </c>
      <c r="B153" s="18">
        <v>0</v>
      </c>
      <c r="C153" s="59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59">
        <v>0</v>
      </c>
      <c r="J153" s="19">
        <f t="shared" si="8"/>
        <v>0</v>
      </c>
      <c r="K153" s="19">
        <f t="shared" si="9"/>
        <v>0</v>
      </c>
      <c r="L153" s="19">
        <f t="shared" si="10"/>
        <v>0</v>
      </c>
      <c r="M153" s="19">
        <f t="shared" si="11"/>
        <v>0</v>
      </c>
      <c r="N153">
        <v>15</v>
      </c>
    </row>
    <row r="154" spans="1:14" ht="15" customHeight="1" x14ac:dyDescent="0.2">
      <c r="A154" t="s">
        <v>63</v>
      </c>
      <c r="B154" s="18">
        <v>0</v>
      </c>
      <c r="C154" s="59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1</v>
      </c>
      <c r="I154" s="59">
        <v>0</v>
      </c>
      <c r="J154" s="19">
        <f t="shared" si="8"/>
        <v>1</v>
      </c>
      <c r="K154" s="19">
        <f t="shared" si="9"/>
        <v>0</v>
      </c>
      <c r="L154" s="19">
        <f t="shared" si="10"/>
        <v>0</v>
      </c>
      <c r="M154" s="19">
        <f t="shared" si="11"/>
        <v>0</v>
      </c>
      <c r="N154">
        <v>15</v>
      </c>
    </row>
    <row r="155" spans="1:14" ht="15" customHeight="1" x14ac:dyDescent="0.2">
      <c r="A155" t="s">
        <v>64</v>
      </c>
      <c r="B155" s="18">
        <v>1</v>
      </c>
      <c r="C155" s="59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1</v>
      </c>
      <c r="I155" s="59">
        <v>0</v>
      </c>
      <c r="J155" s="19">
        <f t="shared" si="8"/>
        <v>2</v>
      </c>
      <c r="K155" s="19">
        <f t="shared" si="9"/>
        <v>0</v>
      </c>
      <c r="L155" s="19">
        <f t="shared" si="10"/>
        <v>0</v>
      </c>
      <c r="M155" s="19">
        <f t="shared" si="11"/>
        <v>0</v>
      </c>
      <c r="N155">
        <v>15</v>
      </c>
    </row>
    <row r="156" spans="1:14" ht="15" customHeight="1" x14ac:dyDescent="0.2">
      <c r="A156" t="s">
        <v>65</v>
      </c>
      <c r="B156" s="18">
        <v>0</v>
      </c>
      <c r="C156" s="59">
        <v>0</v>
      </c>
      <c r="D156" s="18">
        <v>1</v>
      </c>
      <c r="E156" s="18">
        <v>0</v>
      </c>
      <c r="F156" s="18">
        <v>2</v>
      </c>
      <c r="G156" s="18">
        <v>0</v>
      </c>
      <c r="H156" s="18">
        <v>1</v>
      </c>
      <c r="I156" s="59">
        <v>0</v>
      </c>
      <c r="J156" s="19">
        <f t="shared" si="8"/>
        <v>1</v>
      </c>
      <c r="K156" s="19">
        <f t="shared" si="9"/>
        <v>3</v>
      </c>
      <c r="L156" s="19">
        <f t="shared" si="10"/>
        <v>0</v>
      </c>
      <c r="M156" s="19">
        <f t="shared" si="11"/>
        <v>0</v>
      </c>
      <c r="N156">
        <v>15</v>
      </c>
    </row>
    <row r="157" spans="1:14" ht="15" customHeight="1" x14ac:dyDescent="0.2">
      <c r="A157" t="s">
        <v>66</v>
      </c>
      <c r="B157" s="18">
        <v>1</v>
      </c>
      <c r="C157" s="59">
        <v>0</v>
      </c>
      <c r="D157" s="18">
        <v>0</v>
      </c>
      <c r="E157" s="18">
        <v>0</v>
      </c>
      <c r="F157" s="18">
        <v>6</v>
      </c>
      <c r="G157" s="18">
        <v>0</v>
      </c>
      <c r="H157" s="18">
        <v>1</v>
      </c>
      <c r="I157" s="59">
        <v>0</v>
      </c>
      <c r="J157" s="19">
        <f t="shared" si="8"/>
        <v>2</v>
      </c>
      <c r="K157" s="19">
        <f t="shared" si="9"/>
        <v>6</v>
      </c>
      <c r="L157" s="19">
        <f t="shared" si="10"/>
        <v>0</v>
      </c>
      <c r="M157" s="19">
        <f t="shared" si="11"/>
        <v>0</v>
      </c>
      <c r="N157">
        <v>15</v>
      </c>
    </row>
    <row r="158" spans="1:14" ht="15" customHeight="1" x14ac:dyDescent="0.2">
      <c r="A158" t="s">
        <v>67</v>
      </c>
      <c r="B158" s="18">
        <v>0</v>
      </c>
      <c r="C158" s="59">
        <v>0</v>
      </c>
      <c r="D158" s="18">
        <v>0</v>
      </c>
      <c r="E158" s="18">
        <v>1</v>
      </c>
      <c r="F158" s="18">
        <v>1</v>
      </c>
      <c r="G158" s="18">
        <v>0</v>
      </c>
      <c r="H158" s="18">
        <v>2</v>
      </c>
      <c r="I158" s="59">
        <v>0</v>
      </c>
      <c r="J158" s="19">
        <f t="shared" si="8"/>
        <v>2</v>
      </c>
      <c r="K158" s="19">
        <f t="shared" si="9"/>
        <v>1</v>
      </c>
      <c r="L158" s="19">
        <f t="shared" si="10"/>
        <v>0</v>
      </c>
      <c r="M158" s="19">
        <f t="shared" si="11"/>
        <v>1</v>
      </c>
      <c r="N158">
        <v>15</v>
      </c>
    </row>
    <row r="159" spans="1:14" ht="15" customHeight="1" x14ac:dyDescent="0.2">
      <c r="A159" t="s">
        <v>68</v>
      </c>
      <c r="B159" s="18">
        <v>0</v>
      </c>
      <c r="C159" s="59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59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  <c r="N159">
        <v>15</v>
      </c>
    </row>
    <row r="160" spans="1:14" ht="15" customHeight="1" x14ac:dyDescent="0.2">
      <c r="A160" t="s">
        <v>69</v>
      </c>
      <c r="B160" s="18">
        <v>0</v>
      </c>
      <c r="C160" s="59">
        <v>0</v>
      </c>
      <c r="D160" s="18">
        <v>1</v>
      </c>
      <c r="E160" s="18">
        <v>0</v>
      </c>
      <c r="F160" s="18">
        <v>1</v>
      </c>
      <c r="G160" s="18">
        <v>0</v>
      </c>
      <c r="H160" s="18">
        <v>1</v>
      </c>
      <c r="I160" s="59">
        <v>0</v>
      </c>
      <c r="J160" s="19">
        <f t="shared" si="8"/>
        <v>1</v>
      </c>
      <c r="K160" s="19">
        <f t="shared" si="9"/>
        <v>2</v>
      </c>
      <c r="L160" s="19">
        <f t="shared" si="10"/>
        <v>0</v>
      </c>
      <c r="M160" s="19">
        <f t="shared" si="11"/>
        <v>0</v>
      </c>
      <c r="N160">
        <v>15</v>
      </c>
    </row>
    <row r="161" spans="1:14" ht="15" customHeight="1" x14ac:dyDescent="0.2">
      <c r="A161" t="s">
        <v>70</v>
      </c>
      <c r="B161" s="18">
        <v>1</v>
      </c>
      <c r="C161" s="59">
        <v>0</v>
      </c>
      <c r="D161" s="18">
        <v>0</v>
      </c>
      <c r="E161" s="18">
        <v>0</v>
      </c>
      <c r="F161" s="18">
        <v>2</v>
      </c>
      <c r="G161" s="18">
        <v>0</v>
      </c>
      <c r="H161" s="18">
        <v>1</v>
      </c>
      <c r="I161" s="59">
        <v>0</v>
      </c>
      <c r="J161" s="19">
        <f t="shared" si="8"/>
        <v>2</v>
      </c>
      <c r="K161" s="19">
        <f t="shared" si="9"/>
        <v>2</v>
      </c>
      <c r="L161" s="19">
        <f t="shared" si="10"/>
        <v>0</v>
      </c>
      <c r="M161" s="19">
        <f t="shared" si="11"/>
        <v>0</v>
      </c>
      <c r="N161">
        <v>15</v>
      </c>
    </row>
    <row r="162" spans="1:14" ht="15" customHeight="1" x14ac:dyDescent="0.2">
      <c r="A162" t="s">
        <v>71</v>
      </c>
      <c r="B162" s="18">
        <v>0</v>
      </c>
      <c r="C162" s="59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1</v>
      </c>
      <c r="I162" s="59">
        <v>0</v>
      </c>
      <c r="J162" s="19">
        <f t="shared" si="8"/>
        <v>1</v>
      </c>
      <c r="K162" s="19">
        <f t="shared" si="9"/>
        <v>0</v>
      </c>
      <c r="L162" s="19">
        <f t="shared" si="10"/>
        <v>0</v>
      </c>
      <c r="M162" s="19">
        <f t="shared" si="11"/>
        <v>0</v>
      </c>
      <c r="N162">
        <v>15</v>
      </c>
    </row>
    <row r="163" spans="1:14" ht="15" customHeight="1" x14ac:dyDescent="0.2">
      <c r="A163" t="s">
        <v>72</v>
      </c>
      <c r="B163" s="18">
        <v>3</v>
      </c>
      <c r="C163" s="59">
        <v>0</v>
      </c>
      <c r="D163" s="18">
        <v>0</v>
      </c>
      <c r="E163" s="18">
        <v>0</v>
      </c>
      <c r="F163" s="18">
        <v>1</v>
      </c>
      <c r="G163" s="18">
        <v>0</v>
      </c>
      <c r="H163" s="18">
        <v>1</v>
      </c>
      <c r="I163" s="59">
        <v>0</v>
      </c>
      <c r="J163" s="19">
        <f t="shared" si="8"/>
        <v>4</v>
      </c>
      <c r="K163" s="19">
        <f t="shared" si="9"/>
        <v>1</v>
      </c>
      <c r="L163" s="19">
        <f t="shared" si="10"/>
        <v>0</v>
      </c>
      <c r="M163" s="19">
        <f t="shared" si="11"/>
        <v>0</v>
      </c>
      <c r="N163">
        <v>15</v>
      </c>
    </row>
    <row r="164" spans="1:14" ht="15" customHeight="1" x14ac:dyDescent="0.2">
      <c r="A164" t="s">
        <v>73</v>
      </c>
      <c r="B164" s="18">
        <v>0</v>
      </c>
      <c r="C164" s="59">
        <v>0</v>
      </c>
      <c r="D164" s="18">
        <v>0</v>
      </c>
      <c r="E164" s="18">
        <v>0</v>
      </c>
      <c r="F164" s="18">
        <v>1</v>
      </c>
      <c r="G164" s="18">
        <v>0</v>
      </c>
      <c r="H164" s="18">
        <v>5</v>
      </c>
      <c r="I164" s="59">
        <v>0</v>
      </c>
      <c r="J164" s="19">
        <f t="shared" si="8"/>
        <v>5</v>
      </c>
      <c r="K164" s="19">
        <f t="shared" si="9"/>
        <v>1</v>
      </c>
      <c r="L164" s="19">
        <f t="shared" si="10"/>
        <v>0</v>
      </c>
      <c r="M164" s="19">
        <f t="shared" si="11"/>
        <v>0</v>
      </c>
      <c r="N164">
        <v>15</v>
      </c>
    </row>
    <row r="165" spans="1:14" ht="15" customHeight="1" x14ac:dyDescent="0.2">
      <c r="A165" t="s">
        <v>74</v>
      </c>
      <c r="B165" s="18">
        <v>0</v>
      </c>
      <c r="C165" s="59">
        <v>0</v>
      </c>
      <c r="D165" s="18">
        <v>0</v>
      </c>
      <c r="E165" s="18">
        <v>0</v>
      </c>
      <c r="F165" s="18">
        <v>1</v>
      </c>
      <c r="G165" s="18">
        <v>0</v>
      </c>
      <c r="H165" s="18">
        <v>2</v>
      </c>
      <c r="I165" s="59">
        <v>0</v>
      </c>
      <c r="J165" s="19">
        <f t="shared" si="8"/>
        <v>2</v>
      </c>
      <c r="K165" s="19">
        <f t="shared" si="9"/>
        <v>1</v>
      </c>
      <c r="L165" s="19">
        <f t="shared" si="10"/>
        <v>0</v>
      </c>
      <c r="M165" s="19">
        <f t="shared" si="11"/>
        <v>0</v>
      </c>
      <c r="N165">
        <v>15</v>
      </c>
    </row>
    <row r="166" spans="1:14" ht="15" customHeight="1" x14ac:dyDescent="0.2">
      <c r="A166" t="s">
        <v>75</v>
      </c>
      <c r="B166" s="18">
        <v>0</v>
      </c>
      <c r="C166" s="59">
        <v>0</v>
      </c>
      <c r="D166" s="18">
        <v>0</v>
      </c>
      <c r="E166" s="18">
        <v>0</v>
      </c>
      <c r="F166" s="18">
        <v>1</v>
      </c>
      <c r="G166" s="18">
        <v>0</v>
      </c>
      <c r="H166" s="18">
        <v>3</v>
      </c>
      <c r="I166" s="59">
        <v>0</v>
      </c>
      <c r="J166" s="19">
        <f t="shared" si="8"/>
        <v>3</v>
      </c>
      <c r="K166" s="19">
        <f t="shared" si="9"/>
        <v>1</v>
      </c>
      <c r="L166" s="19">
        <f t="shared" si="10"/>
        <v>0</v>
      </c>
      <c r="M166" s="19">
        <f t="shared" si="11"/>
        <v>0</v>
      </c>
      <c r="N166">
        <v>15</v>
      </c>
    </row>
    <row r="167" spans="1:14" ht="15" customHeight="1" x14ac:dyDescent="0.2">
      <c r="A167" t="s">
        <v>76</v>
      </c>
      <c r="B167" s="18">
        <v>1</v>
      </c>
      <c r="C167" s="59">
        <v>0</v>
      </c>
      <c r="D167" s="18">
        <v>1</v>
      </c>
      <c r="E167" s="18">
        <v>0</v>
      </c>
      <c r="F167" s="18">
        <v>0</v>
      </c>
      <c r="G167" s="18">
        <v>0</v>
      </c>
      <c r="H167" s="18">
        <v>0</v>
      </c>
      <c r="I167" s="59">
        <v>0</v>
      </c>
      <c r="J167" s="19">
        <f t="shared" si="8"/>
        <v>1</v>
      </c>
      <c r="K167" s="19">
        <f t="shared" si="9"/>
        <v>1</v>
      </c>
      <c r="L167" s="19">
        <f t="shared" si="10"/>
        <v>0</v>
      </c>
      <c r="M167" s="19">
        <f t="shared" si="11"/>
        <v>0</v>
      </c>
      <c r="N167">
        <v>15</v>
      </c>
    </row>
    <row r="168" spans="1:14" ht="15" customHeight="1" x14ac:dyDescent="0.2">
      <c r="A168" t="s">
        <v>77</v>
      </c>
      <c r="B168" s="18">
        <v>0</v>
      </c>
      <c r="C168" s="59">
        <v>0</v>
      </c>
      <c r="D168" s="18">
        <v>0</v>
      </c>
      <c r="E168" s="18">
        <v>0</v>
      </c>
      <c r="F168" s="18">
        <v>0</v>
      </c>
      <c r="G168" s="18">
        <v>0</v>
      </c>
      <c r="H168" s="18">
        <v>1</v>
      </c>
      <c r="I168" s="59">
        <v>0</v>
      </c>
      <c r="J168" s="19">
        <f t="shared" si="8"/>
        <v>1</v>
      </c>
      <c r="K168" s="19">
        <f t="shared" si="9"/>
        <v>0</v>
      </c>
      <c r="L168" s="19">
        <f t="shared" si="10"/>
        <v>0</v>
      </c>
      <c r="M168" s="19">
        <f t="shared" si="11"/>
        <v>0</v>
      </c>
      <c r="N168">
        <v>15</v>
      </c>
    </row>
    <row r="169" spans="1:14" ht="15" customHeight="1" x14ac:dyDescent="0.2">
      <c r="A169" t="s">
        <v>78</v>
      </c>
      <c r="B169" s="18">
        <v>2</v>
      </c>
      <c r="C169" s="59">
        <v>0</v>
      </c>
      <c r="D169" s="18">
        <v>1</v>
      </c>
      <c r="E169" s="18">
        <v>0</v>
      </c>
      <c r="F169" s="18">
        <v>1</v>
      </c>
      <c r="G169" s="18">
        <v>0</v>
      </c>
      <c r="H169" s="18">
        <v>0</v>
      </c>
      <c r="I169" s="59">
        <v>0</v>
      </c>
      <c r="J169" s="19">
        <f t="shared" si="8"/>
        <v>2</v>
      </c>
      <c r="K169" s="19">
        <f t="shared" si="9"/>
        <v>2</v>
      </c>
      <c r="L169" s="19">
        <f t="shared" si="10"/>
        <v>0</v>
      </c>
      <c r="M169" s="19">
        <f t="shared" si="11"/>
        <v>0</v>
      </c>
      <c r="N169">
        <v>15</v>
      </c>
    </row>
    <row r="170" spans="1:14" ht="15" customHeight="1" x14ac:dyDescent="0.2">
      <c r="A170" t="s">
        <v>79</v>
      </c>
      <c r="B170" s="18">
        <v>1</v>
      </c>
      <c r="C170" s="59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1</v>
      </c>
      <c r="I170" s="59">
        <v>0</v>
      </c>
      <c r="J170" s="19">
        <f t="shared" si="8"/>
        <v>2</v>
      </c>
      <c r="K170" s="19">
        <f t="shared" si="9"/>
        <v>0</v>
      </c>
      <c r="L170" s="19">
        <f t="shared" si="10"/>
        <v>0</v>
      </c>
      <c r="M170" s="19">
        <f t="shared" si="11"/>
        <v>0</v>
      </c>
      <c r="N170">
        <v>15</v>
      </c>
    </row>
    <row r="171" spans="1:14" ht="15" customHeight="1" x14ac:dyDescent="0.2">
      <c r="A171" t="s">
        <v>80</v>
      </c>
      <c r="B171" s="18">
        <v>1</v>
      </c>
      <c r="C171" s="59">
        <v>0</v>
      </c>
      <c r="D171" s="18">
        <v>0</v>
      </c>
      <c r="E171" s="18">
        <v>0</v>
      </c>
      <c r="F171" s="18">
        <v>1</v>
      </c>
      <c r="G171" s="18">
        <v>0</v>
      </c>
      <c r="H171" s="18">
        <v>3</v>
      </c>
      <c r="I171" s="59">
        <v>0</v>
      </c>
      <c r="J171" s="19">
        <f t="shared" si="8"/>
        <v>4</v>
      </c>
      <c r="K171" s="19">
        <f t="shared" si="9"/>
        <v>1</v>
      </c>
      <c r="L171" s="19">
        <f t="shared" si="10"/>
        <v>0</v>
      </c>
      <c r="M171" s="19">
        <f t="shared" si="11"/>
        <v>0</v>
      </c>
      <c r="N171">
        <v>15</v>
      </c>
    </row>
    <row r="172" spans="1:14" ht="15" customHeight="1" x14ac:dyDescent="0.2">
      <c r="A172" t="s">
        <v>81</v>
      </c>
      <c r="B172" s="18">
        <v>0</v>
      </c>
      <c r="C172" s="59">
        <v>0</v>
      </c>
      <c r="D172" s="18">
        <v>1</v>
      </c>
      <c r="E172" s="18">
        <v>0</v>
      </c>
      <c r="F172" s="18">
        <v>2</v>
      </c>
      <c r="G172" s="18">
        <v>0</v>
      </c>
      <c r="H172" s="18">
        <v>1</v>
      </c>
      <c r="I172" s="59">
        <v>0</v>
      </c>
      <c r="J172" s="19">
        <f t="shared" si="8"/>
        <v>1</v>
      </c>
      <c r="K172" s="19">
        <f t="shared" si="9"/>
        <v>3</v>
      </c>
      <c r="L172" s="19">
        <f t="shared" si="10"/>
        <v>0</v>
      </c>
      <c r="M172" s="19">
        <f t="shared" si="11"/>
        <v>0</v>
      </c>
      <c r="N172">
        <v>15</v>
      </c>
    </row>
    <row r="173" spans="1:14" ht="15" customHeight="1" x14ac:dyDescent="0.2">
      <c r="A173" t="s">
        <v>82</v>
      </c>
      <c r="B173" s="18">
        <v>0</v>
      </c>
      <c r="C173" s="59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59">
        <v>0</v>
      </c>
      <c r="J173" s="19">
        <f t="shared" si="8"/>
        <v>0</v>
      </c>
      <c r="K173" s="19">
        <f t="shared" si="9"/>
        <v>0</v>
      </c>
      <c r="L173" s="19">
        <f t="shared" si="10"/>
        <v>0</v>
      </c>
      <c r="M173" s="19">
        <f t="shared" si="11"/>
        <v>0</v>
      </c>
      <c r="N173">
        <v>15</v>
      </c>
    </row>
    <row r="174" spans="1:14" ht="15" customHeight="1" x14ac:dyDescent="0.2">
      <c r="A174" t="s">
        <v>83</v>
      </c>
      <c r="B174" s="18">
        <v>1</v>
      </c>
      <c r="C174" s="59">
        <v>0</v>
      </c>
      <c r="D174" s="18">
        <v>1</v>
      </c>
      <c r="E174" s="18">
        <v>0</v>
      </c>
      <c r="F174" s="18">
        <v>2</v>
      </c>
      <c r="G174" s="18">
        <v>0</v>
      </c>
      <c r="H174" s="18">
        <v>0</v>
      </c>
      <c r="I174" s="59">
        <v>0</v>
      </c>
      <c r="J174" s="19">
        <f t="shared" si="8"/>
        <v>1</v>
      </c>
      <c r="K174" s="19">
        <f t="shared" si="9"/>
        <v>3</v>
      </c>
      <c r="L174" s="19">
        <f t="shared" si="10"/>
        <v>0</v>
      </c>
      <c r="M174" s="19">
        <f t="shared" si="11"/>
        <v>0</v>
      </c>
      <c r="N174">
        <v>15</v>
      </c>
    </row>
    <row r="175" spans="1:14" ht="15" customHeight="1" x14ac:dyDescent="0.2">
      <c r="A175" t="s">
        <v>84</v>
      </c>
      <c r="B175" s="18">
        <v>0</v>
      </c>
      <c r="C175" s="59">
        <v>0</v>
      </c>
      <c r="D175" s="18">
        <v>1</v>
      </c>
      <c r="E175" s="18">
        <v>0</v>
      </c>
      <c r="F175" s="18">
        <v>1</v>
      </c>
      <c r="G175" s="18">
        <v>0</v>
      </c>
      <c r="H175" s="18">
        <v>2</v>
      </c>
      <c r="I175" s="59">
        <v>0</v>
      </c>
      <c r="J175" s="19">
        <f t="shared" si="8"/>
        <v>2</v>
      </c>
      <c r="K175" s="19">
        <f t="shared" si="9"/>
        <v>2</v>
      </c>
      <c r="L175" s="19">
        <f t="shared" si="10"/>
        <v>0</v>
      </c>
      <c r="M175" s="19">
        <f t="shared" si="11"/>
        <v>0</v>
      </c>
      <c r="N175">
        <v>15</v>
      </c>
    </row>
    <row r="176" spans="1:14" ht="15" customHeight="1" x14ac:dyDescent="0.2">
      <c r="A176" t="s">
        <v>85</v>
      </c>
      <c r="B176" s="18">
        <v>2</v>
      </c>
      <c r="C176" s="59">
        <v>0</v>
      </c>
      <c r="D176" s="18">
        <v>1</v>
      </c>
      <c r="E176" s="18">
        <v>0</v>
      </c>
      <c r="F176" s="18">
        <v>0</v>
      </c>
      <c r="G176" s="18">
        <v>0</v>
      </c>
      <c r="H176" s="18">
        <v>1</v>
      </c>
      <c r="I176" s="59">
        <v>0</v>
      </c>
      <c r="J176" s="19">
        <f t="shared" si="8"/>
        <v>3</v>
      </c>
      <c r="K176" s="19">
        <f t="shared" si="9"/>
        <v>1</v>
      </c>
      <c r="L176" s="19">
        <f t="shared" si="10"/>
        <v>0</v>
      </c>
      <c r="M176" s="19">
        <f t="shared" si="11"/>
        <v>0</v>
      </c>
      <c r="N176">
        <v>15</v>
      </c>
    </row>
    <row r="177" spans="1:14" ht="15" customHeight="1" x14ac:dyDescent="0.2">
      <c r="A177" t="s">
        <v>86</v>
      </c>
      <c r="B177" s="18">
        <v>1</v>
      </c>
      <c r="C177" s="59">
        <v>0</v>
      </c>
      <c r="D177" s="18">
        <v>0</v>
      </c>
      <c r="E177" s="18">
        <v>0</v>
      </c>
      <c r="F177" s="18">
        <v>2</v>
      </c>
      <c r="G177" s="18">
        <v>0</v>
      </c>
      <c r="H177" s="18">
        <v>0</v>
      </c>
      <c r="I177" s="59">
        <v>0</v>
      </c>
      <c r="J177" s="19">
        <f t="shared" si="8"/>
        <v>1</v>
      </c>
      <c r="K177" s="19">
        <f t="shared" si="9"/>
        <v>2</v>
      </c>
      <c r="L177" s="19">
        <f t="shared" si="10"/>
        <v>0</v>
      </c>
      <c r="M177" s="19">
        <f t="shared" si="11"/>
        <v>0</v>
      </c>
      <c r="N177">
        <v>15</v>
      </c>
    </row>
    <row r="178" spans="1:14" ht="15" customHeight="1" x14ac:dyDescent="0.2">
      <c r="A178" t="s">
        <v>87</v>
      </c>
      <c r="B178" s="18">
        <v>0</v>
      </c>
      <c r="C178" s="59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1</v>
      </c>
      <c r="I178" s="59">
        <v>0</v>
      </c>
      <c r="J178" s="19">
        <f t="shared" si="8"/>
        <v>1</v>
      </c>
      <c r="K178" s="19">
        <f t="shared" si="9"/>
        <v>0</v>
      </c>
      <c r="L178" s="19">
        <f t="shared" si="10"/>
        <v>0</v>
      </c>
      <c r="M178" s="19">
        <f t="shared" si="11"/>
        <v>0</v>
      </c>
      <c r="N178">
        <v>15</v>
      </c>
    </row>
    <row r="179" spans="1:14" ht="15" customHeight="1" x14ac:dyDescent="0.2">
      <c r="A179" t="s">
        <v>88</v>
      </c>
      <c r="B179" s="18">
        <v>0</v>
      </c>
      <c r="C179" s="59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1</v>
      </c>
      <c r="I179" s="59">
        <v>0</v>
      </c>
      <c r="J179" s="19">
        <f t="shared" si="8"/>
        <v>1</v>
      </c>
      <c r="K179" s="19">
        <f t="shared" si="9"/>
        <v>0</v>
      </c>
      <c r="L179" s="19">
        <f t="shared" si="10"/>
        <v>0</v>
      </c>
      <c r="M179" s="19">
        <f t="shared" si="11"/>
        <v>0</v>
      </c>
      <c r="N179">
        <v>15</v>
      </c>
    </row>
    <row r="180" spans="1:14" ht="15" customHeight="1" x14ac:dyDescent="0.2">
      <c r="A180" t="s">
        <v>89</v>
      </c>
      <c r="B180" s="18">
        <v>0</v>
      </c>
      <c r="C180" s="59">
        <v>0</v>
      </c>
      <c r="D180" s="18">
        <v>1</v>
      </c>
      <c r="E180" s="18">
        <v>0</v>
      </c>
      <c r="F180" s="18">
        <v>0</v>
      </c>
      <c r="G180" s="18">
        <v>0</v>
      </c>
      <c r="H180" s="18">
        <v>2</v>
      </c>
      <c r="I180" s="59">
        <v>0</v>
      </c>
      <c r="J180" s="19">
        <f t="shared" si="8"/>
        <v>2</v>
      </c>
      <c r="K180" s="19">
        <f t="shared" si="9"/>
        <v>1</v>
      </c>
      <c r="L180" s="19">
        <f t="shared" si="10"/>
        <v>0</v>
      </c>
      <c r="M180" s="19">
        <f t="shared" si="11"/>
        <v>0</v>
      </c>
      <c r="N180">
        <v>15</v>
      </c>
    </row>
    <row r="181" spans="1:14" ht="15" customHeight="1" x14ac:dyDescent="0.2">
      <c r="A181" t="s">
        <v>90</v>
      </c>
      <c r="B181" s="18">
        <v>0</v>
      </c>
      <c r="C181" s="59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59">
        <v>0</v>
      </c>
      <c r="J181" s="19">
        <f t="shared" si="8"/>
        <v>0</v>
      </c>
      <c r="K181" s="19">
        <f t="shared" si="9"/>
        <v>0</v>
      </c>
      <c r="L181" s="19">
        <f t="shared" si="10"/>
        <v>0</v>
      </c>
      <c r="M181" s="19">
        <f t="shared" si="11"/>
        <v>0</v>
      </c>
      <c r="N181">
        <v>15</v>
      </c>
    </row>
    <row r="182" spans="1:14" ht="15" customHeight="1" x14ac:dyDescent="0.2">
      <c r="A182" t="s">
        <v>91</v>
      </c>
      <c r="B182" s="18">
        <v>0</v>
      </c>
      <c r="C182" s="59">
        <v>0</v>
      </c>
      <c r="D182" s="18">
        <v>1</v>
      </c>
      <c r="E182" s="18">
        <v>0</v>
      </c>
      <c r="F182" s="18">
        <v>1</v>
      </c>
      <c r="G182" s="18">
        <v>0</v>
      </c>
      <c r="H182" s="18">
        <v>2</v>
      </c>
      <c r="I182" s="59">
        <v>0</v>
      </c>
      <c r="J182" s="19">
        <f t="shared" si="8"/>
        <v>2</v>
      </c>
      <c r="K182" s="19">
        <f t="shared" si="9"/>
        <v>2</v>
      </c>
      <c r="L182" s="19">
        <f t="shared" si="10"/>
        <v>0</v>
      </c>
      <c r="M182" s="19">
        <f t="shared" si="11"/>
        <v>0</v>
      </c>
      <c r="N182">
        <v>15</v>
      </c>
    </row>
    <row r="183" spans="1:14" ht="15" customHeight="1" x14ac:dyDescent="0.2">
      <c r="A183" t="s">
        <v>92</v>
      </c>
      <c r="B183" s="18">
        <v>1</v>
      </c>
      <c r="C183" s="59">
        <v>0</v>
      </c>
      <c r="D183" s="18">
        <v>0</v>
      </c>
      <c r="E183" s="18">
        <v>0</v>
      </c>
      <c r="F183" s="18">
        <v>1</v>
      </c>
      <c r="G183" s="18">
        <v>0</v>
      </c>
      <c r="H183" s="18">
        <v>0</v>
      </c>
      <c r="I183" s="59">
        <v>0</v>
      </c>
      <c r="J183" s="19">
        <f t="shared" si="8"/>
        <v>1</v>
      </c>
      <c r="K183" s="19">
        <f t="shared" si="9"/>
        <v>1</v>
      </c>
      <c r="L183" s="19">
        <f t="shared" si="10"/>
        <v>0</v>
      </c>
      <c r="M183" s="19">
        <f t="shared" si="11"/>
        <v>0</v>
      </c>
      <c r="N183">
        <v>15</v>
      </c>
    </row>
    <row r="184" spans="1:14" ht="15" customHeight="1" x14ac:dyDescent="0.2">
      <c r="A184" t="s">
        <v>93</v>
      </c>
      <c r="B184" s="18">
        <v>0</v>
      </c>
      <c r="C184" s="59">
        <v>0</v>
      </c>
      <c r="D184" s="18">
        <v>0</v>
      </c>
      <c r="E184" s="18">
        <v>0</v>
      </c>
      <c r="F184" s="18">
        <v>1</v>
      </c>
      <c r="G184" s="18">
        <v>0</v>
      </c>
      <c r="H184" s="18">
        <v>2</v>
      </c>
      <c r="I184" s="59">
        <v>0</v>
      </c>
      <c r="J184" s="19">
        <f t="shared" si="8"/>
        <v>2</v>
      </c>
      <c r="K184" s="19">
        <f t="shared" si="9"/>
        <v>1</v>
      </c>
      <c r="L184" s="19">
        <f t="shared" si="10"/>
        <v>0</v>
      </c>
      <c r="M184" s="19">
        <f t="shared" si="11"/>
        <v>0</v>
      </c>
      <c r="N184">
        <v>15</v>
      </c>
    </row>
    <row r="185" spans="1:14" ht="15" customHeight="1" x14ac:dyDescent="0.2">
      <c r="A185" t="s">
        <v>94</v>
      </c>
      <c r="B185" s="18">
        <v>0</v>
      </c>
      <c r="C185" s="59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2</v>
      </c>
      <c r="I185" s="59">
        <v>0</v>
      </c>
      <c r="J185" s="19">
        <f t="shared" si="8"/>
        <v>2</v>
      </c>
      <c r="K185" s="19">
        <f t="shared" si="9"/>
        <v>0</v>
      </c>
      <c r="L185" s="19">
        <f t="shared" si="10"/>
        <v>0</v>
      </c>
      <c r="M185" s="19">
        <f t="shared" si="11"/>
        <v>0</v>
      </c>
      <c r="N185">
        <v>15</v>
      </c>
    </row>
    <row r="186" spans="1:14" ht="15" customHeight="1" x14ac:dyDescent="0.2">
      <c r="A186" t="s">
        <v>95</v>
      </c>
      <c r="B186" s="18">
        <v>1</v>
      </c>
      <c r="C186" s="59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1</v>
      </c>
      <c r="I186" s="59">
        <v>0</v>
      </c>
      <c r="J186" s="19">
        <f t="shared" si="8"/>
        <v>2</v>
      </c>
      <c r="K186" s="19">
        <f t="shared" si="9"/>
        <v>0</v>
      </c>
      <c r="L186" s="19">
        <f t="shared" si="10"/>
        <v>0</v>
      </c>
      <c r="M186" s="19">
        <f t="shared" si="11"/>
        <v>0</v>
      </c>
      <c r="N186">
        <v>15</v>
      </c>
    </row>
    <row r="187" spans="1:14" ht="15" customHeight="1" x14ac:dyDescent="0.2">
      <c r="A187" t="s">
        <v>96</v>
      </c>
      <c r="B187" s="18">
        <v>0</v>
      </c>
      <c r="C187" s="59">
        <v>0</v>
      </c>
      <c r="D187" s="18">
        <v>2</v>
      </c>
      <c r="E187" s="18">
        <v>0</v>
      </c>
      <c r="F187" s="18">
        <v>0</v>
      </c>
      <c r="G187" s="18">
        <v>0</v>
      </c>
      <c r="H187" s="18">
        <v>1</v>
      </c>
      <c r="I187" s="59">
        <v>0</v>
      </c>
      <c r="J187" s="19">
        <f t="shared" si="8"/>
        <v>1</v>
      </c>
      <c r="K187" s="19">
        <f t="shared" si="9"/>
        <v>2</v>
      </c>
      <c r="L187" s="19">
        <f t="shared" si="10"/>
        <v>0</v>
      </c>
      <c r="M187" s="19">
        <f t="shared" si="11"/>
        <v>0</v>
      </c>
      <c r="N187">
        <v>15</v>
      </c>
    </row>
    <row r="188" spans="1:14" ht="15" customHeight="1" x14ac:dyDescent="0.2">
      <c r="A188" t="s">
        <v>97</v>
      </c>
      <c r="B188" s="18">
        <v>0</v>
      </c>
      <c r="C188" s="59">
        <v>0</v>
      </c>
      <c r="D188" s="18">
        <v>0</v>
      </c>
      <c r="E188" s="18">
        <v>0</v>
      </c>
      <c r="F188" s="18">
        <v>2</v>
      </c>
      <c r="G188" s="18">
        <v>0</v>
      </c>
      <c r="H188" s="18">
        <v>1</v>
      </c>
      <c r="I188" s="59">
        <v>0</v>
      </c>
      <c r="J188" s="19">
        <f t="shared" si="8"/>
        <v>1</v>
      </c>
      <c r="K188" s="19">
        <f t="shared" si="9"/>
        <v>2</v>
      </c>
      <c r="L188" s="19">
        <f t="shared" si="10"/>
        <v>0</v>
      </c>
      <c r="M188" s="19">
        <f t="shared" si="11"/>
        <v>0</v>
      </c>
      <c r="N188">
        <v>15</v>
      </c>
    </row>
    <row r="189" spans="1:14" ht="15" customHeight="1" x14ac:dyDescent="0.2">
      <c r="A189" t="s">
        <v>98</v>
      </c>
      <c r="B189" s="18">
        <v>1</v>
      </c>
      <c r="C189" s="59">
        <v>0</v>
      </c>
      <c r="D189" s="18">
        <v>3</v>
      </c>
      <c r="E189" s="18">
        <v>0</v>
      </c>
      <c r="F189" s="18">
        <v>0</v>
      </c>
      <c r="G189" s="18">
        <v>0</v>
      </c>
      <c r="H189" s="18">
        <v>1</v>
      </c>
      <c r="I189" s="59">
        <v>0</v>
      </c>
      <c r="J189" s="19">
        <f t="shared" si="8"/>
        <v>2</v>
      </c>
      <c r="K189" s="19">
        <f t="shared" si="9"/>
        <v>3</v>
      </c>
      <c r="L189" s="19">
        <f t="shared" si="10"/>
        <v>0</v>
      </c>
      <c r="M189" s="19">
        <f t="shared" si="11"/>
        <v>0</v>
      </c>
      <c r="N189">
        <v>15</v>
      </c>
    </row>
    <row r="190" spans="1:14" ht="15" customHeight="1" x14ac:dyDescent="0.2">
      <c r="A190" t="s">
        <v>99</v>
      </c>
      <c r="B190" s="18">
        <v>0</v>
      </c>
      <c r="C190" s="59">
        <v>0</v>
      </c>
      <c r="D190" s="18">
        <v>0</v>
      </c>
      <c r="E190" s="18">
        <v>0</v>
      </c>
      <c r="F190" s="18">
        <v>1</v>
      </c>
      <c r="G190" s="18">
        <v>0</v>
      </c>
      <c r="H190" s="18">
        <v>0</v>
      </c>
      <c r="I190" s="59">
        <v>0</v>
      </c>
      <c r="J190" s="19">
        <f t="shared" si="8"/>
        <v>0</v>
      </c>
      <c r="K190" s="19">
        <f t="shared" si="9"/>
        <v>1</v>
      </c>
      <c r="L190" s="19">
        <f t="shared" si="10"/>
        <v>0</v>
      </c>
      <c r="M190" s="19">
        <f t="shared" si="11"/>
        <v>0</v>
      </c>
      <c r="N190">
        <v>15</v>
      </c>
    </row>
    <row r="191" spans="1:14" ht="15" customHeight="1" x14ac:dyDescent="0.2">
      <c r="A191" t="s">
        <v>100</v>
      </c>
      <c r="B191" s="18">
        <v>0</v>
      </c>
      <c r="C191" s="59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59">
        <v>0</v>
      </c>
      <c r="J191" s="19">
        <f t="shared" si="8"/>
        <v>0</v>
      </c>
      <c r="K191" s="19">
        <f t="shared" si="9"/>
        <v>0</v>
      </c>
      <c r="L191" s="19">
        <f t="shared" si="10"/>
        <v>0</v>
      </c>
      <c r="M191" s="19">
        <f t="shared" si="11"/>
        <v>0</v>
      </c>
      <c r="N191">
        <v>15</v>
      </c>
    </row>
    <row r="192" spans="1:14" ht="15" customHeight="1" x14ac:dyDescent="0.2">
      <c r="A192" t="s">
        <v>101</v>
      </c>
      <c r="B192" s="18">
        <v>0</v>
      </c>
      <c r="C192" s="59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59">
        <v>0</v>
      </c>
      <c r="J192" s="19">
        <f t="shared" si="8"/>
        <v>0</v>
      </c>
      <c r="K192" s="19">
        <f t="shared" si="9"/>
        <v>0</v>
      </c>
      <c r="L192" s="19">
        <f t="shared" si="10"/>
        <v>0</v>
      </c>
      <c r="M192" s="19">
        <f t="shared" si="11"/>
        <v>0</v>
      </c>
      <c r="N192">
        <v>15</v>
      </c>
    </row>
    <row r="193" spans="1:16" ht="15" customHeight="1" x14ac:dyDescent="0.2">
      <c r="A193" t="s">
        <v>102</v>
      </c>
      <c r="B193" s="18">
        <v>0</v>
      </c>
      <c r="C193" s="59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59">
        <v>0</v>
      </c>
      <c r="J193" s="19">
        <f t="shared" si="8"/>
        <v>0</v>
      </c>
      <c r="K193" s="19">
        <f t="shared" si="9"/>
        <v>0</v>
      </c>
      <c r="L193" s="19">
        <f t="shared" si="10"/>
        <v>0</v>
      </c>
      <c r="M193" s="19">
        <f t="shared" si="11"/>
        <v>0</v>
      </c>
      <c r="N193">
        <v>15</v>
      </c>
    </row>
    <row r="194" spans="1:16" ht="15" customHeight="1" x14ac:dyDescent="0.2">
      <c r="A194" t="s">
        <v>103</v>
      </c>
      <c r="B194" s="18">
        <v>0</v>
      </c>
      <c r="C194" s="59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59">
        <v>0</v>
      </c>
      <c r="J194" s="19">
        <f t="shared" si="8"/>
        <v>0</v>
      </c>
      <c r="K194" s="19">
        <f t="shared" si="9"/>
        <v>0</v>
      </c>
      <c r="L194" s="19">
        <f t="shared" si="10"/>
        <v>0</v>
      </c>
      <c r="M194" s="19">
        <f t="shared" si="11"/>
        <v>0</v>
      </c>
      <c r="N194">
        <v>15</v>
      </c>
    </row>
    <row r="195" spans="1:16" ht="15" customHeight="1" x14ac:dyDescent="0.2">
      <c r="A195" t="s">
        <v>104</v>
      </c>
      <c r="B195" s="18">
        <v>2</v>
      </c>
      <c r="C195" s="59">
        <v>0</v>
      </c>
      <c r="D195" s="18">
        <v>0</v>
      </c>
      <c r="E195" s="18">
        <v>0</v>
      </c>
      <c r="F195" s="18">
        <v>1</v>
      </c>
      <c r="G195" s="18">
        <v>0</v>
      </c>
      <c r="H195" s="18">
        <v>0</v>
      </c>
      <c r="I195" s="59">
        <v>0</v>
      </c>
      <c r="J195" s="19">
        <f t="shared" si="8"/>
        <v>2</v>
      </c>
      <c r="K195" s="19">
        <f t="shared" si="9"/>
        <v>1</v>
      </c>
      <c r="L195" s="19">
        <f t="shared" si="10"/>
        <v>0</v>
      </c>
      <c r="M195" s="19">
        <f t="shared" si="11"/>
        <v>0</v>
      </c>
      <c r="N195">
        <v>15</v>
      </c>
    </row>
    <row r="196" spans="1:16" ht="15" customHeight="1" x14ac:dyDescent="0.2">
      <c r="A196" t="s">
        <v>105</v>
      </c>
      <c r="B196" s="18">
        <v>0</v>
      </c>
      <c r="C196" s="59">
        <v>0</v>
      </c>
      <c r="D196" s="18">
        <v>1</v>
      </c>
      <c r="E196" s="18">
        <v>0</v>
      </c>
      <c r="F196" s="18">
        <v>0</v>
      </c>
      <c r="G196" s="18">
        <v>0</v>
      </c>
      <c r="H196" s="18">
        <v>0</v>
      </c>
      <c r="I196" s="59">
        <v>0</v>
      </c>
      <c r="J196" s="19">
        <f t="shared" si="8"/>
        <v>0</v>
      </c>
      <c r="K196" s="19">
        <f t="shared" si="9"/>
        <v>1</v>
      </c>
      <c r="L196" s="19">
        <f t="shared" si="10"/>
        <v>0</v>
      </c>
      <c r="M196" s="19">
        <f t="shared" si="11"/>
        <v>0</v>
      </c>
      <c r="N196">
        <v>15</v>
      </c>
    </row>
    <row r="197" spans="1:16" ht="15" customHeight="1" x14ac:dyDescent="0.2">
      <c r="A197" t="s">
        <v>106</v>
      </c>
      <c r="B197" s="18">
        <v>0</v>
      </c>
      <c r="C197" s="59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59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  <c r="N197">
        <v>15</v>
      </c>
    </row>
    <row r="198" spans="1:16" ht="15" customHeight="1" x14ac:dyDescent="0.2">
      <c r="A198" t="s">
        <v>107</v>
      </c>
      <c r="B198" s="18">
        <v>0</v>
      </c>
      <c r="C198" s="59">
        <v>0</v>
      </c>
      <c r="D198" s="18">
        <v>1</v>
      </c>
      <c r="E198" s="18">
        <v>0</v>
      </c>
      <c r="F198" s="18">
        <v>0</v>
      </c>
      <c r="G198" s="18">
        <v>0</v>
      </c>
      <c r="H198" s="18">
        <v>2</v>
      </c>
      <c r="I198" s="59">
        <v>0</v>
      </c>
      <c r="J198" s="19">
        <f t="shared" si="8"/>
        <v>2</v>
      </c>
      <c r="K198" s="19">
        <f t="shared" si="9"/>
        <v>1</v>
      </c>
      <c r="L198" s="19">
        <f t="shared" si="10"/>
        <v>0</v>
      </c>
      <c r="M198" s="19">
        <f t="shared" si="11"/>
        <v>0</v>
      </c>
      <c r="N198">
        <v>15</v>
      </c>
    </row>
    <row r="199" spans="1:16" ht="15" customHeight="1" x14ac:dyDescent="0.2">
      <c r="A199" t="s">
        <v>108</v>
      </c>
      <c r="B199" s="18">
        <v>0</v>
      </c>
      <c r="C199" s="59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59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  <c r="N199">
        <v>15</v>
      </c>
    </row>
    <row r="200" spans="1:16" ht="15" customHeight="1" x14ac:dyDescent="0.2">
      <c r="A200" t="s">
        <v>109</v>
      </c>
      <c r="B200" s="18">
        <v>0</v>
      </c>
      <c r="C200" s="59">
        <v>0</v>
      </c>
      <c r="D200" s="18">
        <v>1</v>
      </c>
      <c r="E200" s="18">
        <v>0</v>
      </c>
      <c r="F200" s="18">
        <v>0</v>
      </c>
      <c r="G200" s="18">
        <v>0</v>
      </c>
      <c r="H200" s="18">
        <v>1</v>
      </c>
      <c r="I200" s="59">
        <v>0</v>
      </c>
      <c r="J200" s="19">
        <f t="shared" si="8"/>
        <v>1</v>
      </c>
      <c r="K200" s="19">
        <f t="shared" si="9"/>
        <v>1</v>
      </c>
      <c r="L200" s="19">
        <f t="shared" si="10"/>
        <v>0</v>
      </c>
      <c r="M200" s="19">
        <f t="shared" si="11"/>
        <v>0</v>
      </c>
      <c r="N200">
        <v>15</v>
      </c>
    </row>
    <row r="201" spans="1:16" ht="15" customHeight="1" x14ac:dyDescent="0.2">
      <c r="A201" t="s">
        <v>110</v>
      </c>
      <c r="B201" s="18">
        <v>0</v>
      </c>
      <c r="C201" s="59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59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  <c r="N201">
        <v>15</v>
      </c>
      <c r="O201" t="s">
        <v>208</v>
      </c>
      <c r="P201" t="s">
        <v>209</v>
      </c>
    </row>
    <row r="202" spans="1:16" ht="15" customHeight="1" x14ac:dyDescent="0.2">
      <c r="B202" s="19">
        <f t="shared" ref="B202:N202" si="12">SUM(B10:B201)</f>
        <v>46</v>
      </c>
      <c r="C202" s="60">
        <f t="shared" si="12"/>
        <v>0</v>
      </c>
      <c r="D202" s="19">
        <f t="shared" si="12"/>
        <v>48</v>
      </c>
      <c r="E202" s="19">
        <f t="shared" si="12"/>
        <v>2</v>
      </c>
      <c r="F202" s="19">
        <f t="shared" si="12"/>
        <v>116</v>
      </c>
      <c r="G202" s="19">
        <f t="shared" si="12"/>
        <v>6</v>
      </c>
      <c r="H202" s="19">
        <f t="shared" si="12"/>
        <v>122</v>
      </c>
      <c r="I202" s="60">
        <f t="shared" si="12"/>
        <v>4</v>
      </c>
      <c r="J202" s="20">
        <f t="shared" si="12"/>
        <v>168</v>
      </c>
      <c r="K202" s="20">
        <f t="shared" si="12"/>
        <v>164</v>
      </c>
      <c r="L202" s="20">
        <f t="shared" si="12"/>
        <v>4</v>
      </c>
      <c r="M202" s="20">
        <f t="shared" si="12"/>
        <v>8</v>
      </c>
      <c r="N202" s="80">
        <f t="shared" si="12"/>
        <v>2880</v>
      </c>
      <c r="O202" s="70">
        <f>SUM(B202+D202)</f>
        <v>94</v>
      </c>
      <c r="P202">
        <f>SUM(F202+H202)</f>
        <v>238</v>
      </c>
    </row>
    <row r="204" spans="1:16" ht="15" customHeight="1" x14ac:dyDescent="0.2">
      <c r="K204" s="88" t="s">
        <v>212</v>
      </c>
      <c r="L204" s="6">
        <f>SUM(L38:L89,L134:L186)</f>
        <v>2</v>
      </c>
      <c r="N204" s="28">
        <f>SUM(N38:N89,N134:N186)/60</f>
        <v>26.25</v>
      </c>
    </row>
    <row r="205" spans="1:16" ht="15" customHeight="1" x14ac:dyDescent="0.2">
      <c r="K205" s="88" t="s">
        <v>213</v>
      </c>
      <c r="L205" s="6">
        <f>L202-L204</f>
        <v>2</v>
      </c>
      <c r="N205" s="28">
        <f>48-N204</f>
        <v>21.75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xSplit="1" ySplit="9" topLeftCell="B199" activePane="bottomRight" state="frozen"/>
      <selection pane="topRight" activeCell="B1" sqref="B1"/>
      <selection pane="bottomLeft" activeCell="A10" sqref="A10"/>
      <selection pane="bottomRight" activeCell="N1" sqref="N1:N1048576"/>
    </sheetView>
  </sheetViews>
  <sheetFormatPr defaultColWidth="12.140625" defaultRowHeight="15" customHeight="1" x14ac:dyDescent="0.2"/>
  <cols>
    <col min="1" max="1" width="12.140625" bestFit="1" customWidth="1"/>
    <col min="2" max="3" width="10.85546875" customWidth="1"/>
    <col min="4" max="5" width="10.42578125" customWidth="1"/>
    <col min="6" max="7" width="10.85546875" customWidth="1"/>
    <col min="8" max="9" width="10.42578125" customWidth="1"/>
    <col min="10" max="10" width="9.85546875" customWidth="1"/>
    <col min="11" max="11" width="10.42578125" customWidth="1"/>
    <col min="12" max="12" width="10" customWidth="1"/>
    <col min="13" max="13" width="10.5703125" customWidth="1"/>
  </cols>
  <sheetData>
    <row r="1" spans="1:14" ht="15" customHeight="1" x14ac:dyDescent="0.3">
      <c r="A1" s="111" t="s">
        <v>0</v>
      </c>
      <c r="B1" s="111"/>
      <c r="C1" s="112" t="s">
        <v>146</v>
      </c>
      <c r="D1" s="112"/>
      <c r="E1" s="112"/>
      <c r="F1" s="112"/>
    </row>
    <row r="2" spans="1:14" ht="15" customHeight="1" x14ac:dyDescent="0.3">
      <c r="A2" s="111" t="s">
        <v>2</v>
      </c>
      <c r="B2" s="111"/>
      <c r="C2" s="112" t="s">
        <v>147</v>
      </c>
      <c r="D2" s="112"/>
      <c r="E2" s="112"/>
      <c r="F2" s="112"/>
    </row>
    <row r="3" spans="1:14" ht="15" customHeight="1" x14ac:dyDescent="0.3">
      <c r="A3" s="111" t="s">
        <v>4</v>
      </c>
      <c r="B3" s="111"/>
      <c r="C3" s="112" t="s">
        <v>5</v>
      </c>
      <c r="D3" s="112"/>
      <c r="E3" s="112"/>
      <c r="F3" s="112"/>
    </row>
    <row r="4" spans="1:14" ht="15" customHeight="1" x14ac:dyDescent="0.3">
      <c r="A4" s="111" t="s">
        <v>6</v>
      </c>
      <c r="B4" s="111"/>
      <c r="C4" s="112" t="s">
        <v>7</v>
      </c>
      <c r="D4" s="112"/>
      <c r="E4" s="112"/>
      <c r="F4" s="112"/>
    </row>
    <row r="7" spans="1:14" s="1" customFormat="1" ht="46.5" customHeight="1" x14ac:dyDescent="0.3">
      <c r="A7" s="2" t="s">
        <v>8</v>
      </c>
      <c r="B7" s="3" t="s">
        <v>148</v>
      </c>
      <c r="C7" s="3" t="s">
        <v>149</v>
      </c>
      <c r="D7" s="3" t="s">
        <v>148</v>
      </c>
      <c r="E7" s="3" t="s">
        <v>149</v>
      </c>
      <c r="F7" s="3" t="s">
        <v>150</v>
      </c>
      <c r="G7" s="3" t="s">
        <v>151</v>
      </c>
      <c r="H7" s="3" t="s">
        <v>150</v>
      </c>
      <c r="I7" s="3" t="s">
        <v>151</v>
      </c>
    </row>
    <row r="8" spans="1:14" s="1" customFormat="1" ht="15" customHeight="1" x14ac:dyDescent="0.3">
      <c r="A8" s="2" t="s">
        <v>13</v>
      </c>
      <c r="B8" s="4" t="s">
        <v>14</v>
      </c>
      <c r="C8" s="4" t="s">
        <v>14</v>
      </c>
      <c r="D8" s="4" t="s">
        <v>15</v>
      </c>
      <c r="E8" s="4" t="s">
        <v>15</v>
      </c>
      <c r="F8" s="4" t="s">
        <v>14</v>
      </c>
      <c r="G8" s="4" t="s">
        <v>14</v>
      </c>
      <c r="H8" s="4" t="s">
        <v>15</v>
      </c>
      <c r="I8" s="4" t="s">
        <v>15</v>
      </c>
    </row>
    <row r="9" spans="1:14" s="1" customFormat="1" ht="30.75" customHeight="1" x14ac:dyDescent="0.2">
      <c r="B9" s="16" t="s">
        <v>120</v>
      </c>
      <c r="C9" s="16" t="s">
        <v>111</v>
      </c>
      <c r="D9" s="16" t="s">
        <v>121</v>
      </c>
      <c r="E9" s="16" t="s">
        <v>113</v>
      </c>
      <c r="F9" s="16" t="s">
        <v>121</v>
      </c>
      <c r="G9" s="16" t="s">
        <v>113</v>
      </c>
      <c r="H9" s="16" t="s">
        <v>120</v>
      </c>
      <c r="I9" s="16" t="s">
        <v>111</v>
      </c>
      <c r="J9" s="17" t="s">
        <v>113</v>
      </c>
      <c r="K9" s="17" t="s">
        <v>111</v>
      </c>
      <c r="L9" s="92" t="s">
        <v>121</v>
      </c>
      <c r="M9" s="16" t="s">
        <v>120</v>
      </c>
    </row>
    <row r="10" spans="1:14" ht="15" customHeight="1" x14ac:dyDescent="0.2">
      <c r="A10" t="s">
        <v>5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9">
        <f>SUM(E9,G9)</f>
        <v>0</v>
      </c>
      <c r="K10" s="19">
        <f>SUM(C10,I10)</f>
        <v>0</v>
      </c>
      <c r="L10" s="19">
        <f>SUM(D10,F10)</f>
        <v>0</v>
      </c>
      <c r="M10" s="19">
        <f>SUM(B10,H10)</f>
        <v>0</v>
      </c>
      <c r="N10">
        <v>15</v>
      </c>
    </row>
    <row r="11" spans="1:14" ht="15" customHeight="1" x14ac:dyDescent="0.2">
      <c r="A11" t="s">
        <v>16</v>
      </c>
      <c r="B11" s="18">
        <v>0</v>
      </c>
      <c r="C11" s="18">
        <v>0</v>
      </c>
      <c r="D11" s="18">
        <v>0</v>
      </c>
      <c r="E11" s="18">
        <v>0</v>
      </c>
      <c r="F11" s="18">
        <v>1</v>
      </c>
      <c r="G11" s="18">
        <v>0</v>
      </c>
      <c r="H11" s="18">
        <v>0</v>
      </c>
      <c r="I11" s="18">
        <v>0</v>
      </c>
      <c r="J11" s="19">
        <f t="shared" ref="J11:J74" si="0">SUM(E10,G10)</f>
        <v>0</v>
      </c>
      <c r="K11" s="19">
        <f t="shared" ref="K11:K74" si="1">SUM(C11,I11)</f>
        <v>0</v>
      </c>
      <c r="L11" s="19">
        <f t="shared" ref="L11:L74" si="2">SUM(D11,F11)</f>
        <v>1</v>
      </c>
      <c r="M11" s="19">
        <f t="shared" ref="M11:M74" si="3">SUM(B11,H11)</f>
        <v>0</v>
      </c>
      <c r="N11">
        <v>15</v>
      </c>
    </row>
    <row r="12" spans="1:14" ht="15" customHeight="1" x14ac:dyDescent="0.2">
      <c r="A12" t="s">
        <v>17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  <c r="N12">
        <v>15</v>
      </c>
    </row>
    <row r="13" spans="1:14" ht="15" customHeight="1" x14ac:dyDescent="0.2">
      <c r="A13" t="s">
        <v>18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  <c r="N13">
        <v>15</v>
      </c>
    </row>
    <row r="14" spans="1:14" ht="15" customHeight="1" x14ac:dyDescent="0.2">
      <c r="A14" t="s">
        <v>19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  <c r="N14">
        <v>15</v>
      </c>
    </row>
    <row r="15" spans="1:14" ht="15" customHeight="1" x14ac:dyDescent="0.2">
      <c r="A15" t="s">
        <v>20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9">
        <f t="shared" si="0"/>
        <v>0</v>
      </c>
      <c r="K15" s="19">
        <f t="shared" si="1"/>
        <v>0</v>
      </c>
      <c r="L15" s="19">
        <f t="shared" si="2"/>
        <v>0</v>
      </c>
      <c r="M15" s="19">
        <f t="shared" si="3"/>
        <v>0</v>
      </c>
      <c r="N15">
        <v>15</v>
      </c>
    </row>
    <row r="16" spans="1:14" ht="15" customHeight="1" x14ac:dyDescent="0.2">
      <c r="A16" t="s">
        <v>21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  <c r="N16">
        <v>15</v>
      </c>
    </row>
    <row r="17" spans="1:14" ht="15" customHeight="1" x14ac:dyDescent="0.2">
      <c r="A17" t="s">
        <v>22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  <c r="N17">
        <v>15</v>
      </c>
    </row>
    <row r="18" spans="1:14" ht="15" customHeight="1" x14ac:dyDescent="0.2">
      <c r="A18" t="s">
        <v>23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  <c r="N18">
        <v>15</v>
      </c>
    </row>
    <row r="19" spans="1:14" ht="15" customHeight="1" x14ac:dyDescent="0.2">
      <c r="A19" t="s">
        <v>24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  <c r="N19">
        <v>15</v>
      </c>
    </row>
    <row r="20" spans="1:14" ht="15" customHeight="1" x14ac:dyDescent="0.2">
      <c r="A20" t="s">
        <v>25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  <c r="N20">
        <v>15</v>
      </c>
    </row>
    <row r="21" spans="1:14" ht="15" customHeight="1" x14ac:dyDescent="0.2">
      <c r="A21" t="s">
        <v>26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  <c r="N21">
        <v>15</v>
      </c>
    </row>
    <row r="22" spans="1:14" ht="15" customHeight="1" x14ac:dyDescent="0.2">
      <c r="A22" t="s">
        <v>27</v>
      </c>
      <c r="B22" s="18">
        <v>0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  <c r="N22">
        <v>15</v>
      </c>
    </row>
    <row r="23" spans="1:14" ht="15" customHeight="1" x14ac:dyDescent="0.2">
      <c r="A23" t="s">
        <v>28</v>
      </c>
      <c r="B23" s="18">
        <v>0</v>
      </c>
      <c r="C23" s="18">
        <v>0</v>
      </c>
      <c r="D23" s="18">
        <v>1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9">
        <f t="shared" si="0"/>
        <v>0</v>
      </c>
      <c r="K23" s="19">
        <f t="shared" si="1"/>
        <v>0</v>
      </c>
      <c r="L23" s="19">
        <f t="shared" si="2"/>
        <v>1</v>
      </c>
      <c r="M23" s="19">
        <f t="shared" si="3"/>
        <v>0</v>
      </c>
      <c r="N23">
        <v>15</v>
      </c>
    </row>
    <row r="24" spans="1:14" ht="15" customHeight="1" x14ac:dyDescent="0.2">
      <c r="A24" t="s">
        <v>29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  <c r="N24">
        <v>15</v>
      </c>
    </row>
    <row r="25" spans="1:14" ht="15" customHeight="1" x14ac:dyDescent="0.2">
      <c r="A25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  <c r="N25">
        <v>15</v>
      </c>
    </row>
    <row r="26" spans="1:14" ht="15" customHeight="1" x14ac:dyDescent="0.2">
      <c r="A26" t="s">
        <v>31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  <c r="N26">
        <v>15</v>
      </c>
    </row>
    <row r="27" spans="1:14" ht="15" customHeight="1" x14ac:dyDescent="0.2">
      <c r="A2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  <c r="N27">
        <v>15</v>
      </c>
    </row>
    <row r="28" spans="1:14" ht="15" customHeight="1" x14ac:dyDescent="0.2">
      <c r="A28" t="s">
        <v>33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  <c r="N28">
        <v>15</v>
      </c>
    </row>
    <row r="29" spans="1:14" ht="15" customHeight="1" x14ac:dyDescent="0.2">
      <c r="A29" t="s">
        <v>34</v>
      </c>
      <c r="B29" s="18">
        <v>0</v>
      </c>
      <c r="C29" s="18">
        <v>0</v>
      </c>
      <c r="D29" s="18">
        <v>1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9">
        <f t="shared" si="0"/>
        <v>0</v>
      </c>
      <c r="K29" s="19">
        <f t="shared" si="1"/>
        <v>0</v>
      </c>
      <c r="L29" s="19">
        <f t="shared" si="2"/>
        <v>1</v>
      </c>
      <c r="M29" s="19">
        <f t="shared" si="3"/>
        <v>0</v>
      </c>
      <c r="N29">
        <v>15</v>
      </c>
    </row>
    <row r="30" spans="1:14" ht="15" customHeight="1" x14ac:dyDescent="0.2">
      <c r="A30" t="s">
        <v>35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9">
        <f t="shared" si="0"/>
        <v>0</v>
      </c>
      <c r="K30" s="19">
        <f t="shared" si="1"/>
        <v>0</v>
      </c>
      <c r="L30" s="19">
        <f t="shared" si="2"/>
        <v>0</v>
      </c>
      <c r="M30" s="19">
        <f t="shared" si="3"/>
        <v>0</v>
      </c>
      <c r="N30">
        <v>15</v>
      </c>
    </row>
    <row r="31" spans="1:14" ht="15" customHeight="1" x14ac:dyDescent="0.2">
      <c r="A31" t="s">
        <v>36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  <c r="N31">
        <v>15</v>
      </c>
    </row>
    <row r="32" spans="1:14" ht="15" customHeight="1" x14ac:dyDescent="0.2">
      <c r="A32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  <c r="N32">
        <v>15</v>
      </c>
    </row>
    <row r="33" spans="1:14" ht="15" customHeight="1" x14ac:dyDescent="0.2">
      <c r="A33" t="s">
        <v>38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  <c r="N33">
        <v>15</v>
      </c>
    </row>
    <row r="34" spans="1:14" ht="15" customHeight="1" x14ac:dyDescent="0.2">
      <c r="A34" t="s">
        <v>39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  <c r="N34">
        <v>15</v>
      </c>
    </row>
    <row r="35" spans="1:14" ht="15" customHeight="1" x14ac:dyDescent="0.2">
      <c r="A35" t="s">
        <v>40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  <c r="N35">
        <v>15</v>
      </c>
    </row>
    <row r="36" spans="1:14" ht="15" customHeight="1" x14ac:dyDescent="0.2">
      <c r="A36" t="s">
        <v>41</v>
      </c>
      <c r="B36" s="18">
        <v>0</v>
      </c>
      <c r="C36" s="18">
        <v>0</v>
      </c>
      <c r="D36" s="18">
        <v>1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9">
        <f t="shared" si="0"/>
        <v>0</v>
      </c>
      <c r="K36" s="19">
        <f t="shared" si="1"/>
        <v>0</v>
      </c>
      <c r="L36" s="19">
        <f t="shared" si="2"/>
        <v>1</v>
      </c>
      <c r="M36" s="19">
        <f t="shared" si="3"/>
        <v>0</v>
      </c>
      <c r="N36">
        <v>15</v>
      </c>
    </row>
    <row r="37" spans="1:14" ht="15" customHeight="1" x14ac:dyDescent="0.2">
      <c r="A37" t="s">
        <v>42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1</v>
      </c>
      <c r="J37" s="19">
        <f t="shared" si="0"/>
        <v>0</v>
      </c>
      <c r="K37" s="19">
        <f t="shared" si="1"/>
        <v>1</v>
      </c>
      <c r="L37" s="19">
        <f t="shared" si="2"/>
        <v>0</v>
      </c>
      <c r="M37" s="19">
        <f t="shared" si="3"/>
        <v>0</v>
      </c>
      <c r="N37">
        <v>15</v>
      </c>
    </row>
    <row r="38" spans="1:14" ht="15" customHeight="1" x14ac:dyDescent="0.2">
      <c r="A38" t="s">
        <v>43</v>
      </c>
      <c r="B38" s="18">
        <v>0</v>
      </c>
      <c r="C38" s="18">
        <v>0</v>
      </c>
      <c r="D38" s="18">
        <v>0</v>
      </c>
      <c r="E38" s="18">
        <v>1</v>
      </c>
      <c r="F38" s="18">
        <v>0</v>
      </c>
      <c r="G38" s="18">
        <v>0</v>
      </c>
      <c r="H38" s="18">
        <v>0</v>
      </c>
      <c r="I38" s="18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  <c r="N38">
        <v>15</v>
      </c>
    </row>
    <row r="39" spans="1:14" ht="15" customHeight="1" x14ac:dyDescent="0.2">
      <c r="A39" t="s">
        <v>44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9">
        <f t="shared" si="0"/>
        <v>1</v>
      </c>
      <c r="K39" s="19">
        <f t="shared" si="1"/>
        <v>0</v>
      </c>
      <c r="L39" s="19">
        <f t="shared" si="2"/>
        <v>0</v>
      </c>
      <c r="M39" s="19">
        <f t="shared" si="3"/>
        <v>0</v>
      </c>
      <c r="N39">
        <v>15</v>
      </c>
    </row>
    <row r="40" spans="1:14" ht="15" customHeight="1" x14ac:dyDescent="0.2">
      <c r="A40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9">
        <f t="shared" si="0"/>
        <v>0</v>
      </c>
      <c r="K40" s="19">
        <f t="shared" si="1"/>
        <v>0</v>
      </c>
      <c r="L40" s="19">
        <f t="shared" si="2"/>
        <v>0</v>
      </c>
      <c r="M40" s="19">
        <f t="shared" si="3"/>
        <v>0</v>
      </c>
      <c r="N40">
        <v>15</v>
      </c>
    </row>
    <row r="41" spans="1:14" ht="15" customHeight="1" x14ac:dyDescent="0.2">
      <c r="A41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9">
        <f t="shared" si="0"/>
        <v>0</v>
      </c>
      <c r="K41" s="19">
        <f t="shared" si="1"/>
        <v>0</v>
      </c>
      <c r="L41" s="19">
        <f t="shared" si="2"/>
        <v>0</v>
      </c>
      <c r="M41" s="19">
        <f t="shared" si="3"/>
        <v>0</v>
      </c>
      <c r="N41">
        <v>15</v>
      </c>
    </row>
    <row r="42" spans="1:14" ht="15" customHeight="1" x14ac:dyDescent="0.2">
      <c r="A42" t="s">
        <v>47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9">
        <f t="shared" si="0"/>
        <v>0</v>
      </c>
      <c r="K42" s="19">
        <f t="shared" si="1"/>
        <v>0</v>
      </c>
      <c r="L42" s="19">
        <f t="shared" si="2"/>
        <v>0</v>
      </c>
      <c r="M42" s="19">
        <f t="shared" si="3"/>
        <v>0</v>
      </c>
      <c r="N42">
        <v>15</v>
      </c>
    </row>
    <row r="43" spans="1:14" ht="15" customHeight="1" x14ac:dyDescent="0.2">
      <c r="A43" t="s">
        <v>48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9">
        <f t="shared" si="0"/>
        <v>0</v>
      </c>
      <c r="K43" s="19">
        <f t="shared" si="1"/>
        <v>0</v>
      </c>
      <c r="L43" s="19">
        <f t="shared" si="2"/>
        <v>0</v>
      </c>
      <c r="M43" s="19">
        <f t="shared" si="3"/>
        <v>0</v>
      </c>
      <c r="N43">
        <v>15</v>
      </c>
    </row>
    <row r="44" spans="1:14" ht="15" customHeight="1" x14ac:dyDescent="0.2">
      <c r="A44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9">
        <f t="shared" si="0"/>
        <v>0</v>
      </c>
      <c r="K44" s="19">
        <f t="shared" si="1"/>
        <v>0</v>
      </c>
      <c r="L44" s="19">
        <f t="shared" si="2"/>
        <v>0</v>
      </c>
      <c r="M44" s="19">
        <f t="shared" si="3"/>
        <v>0</v>
      </c>
      <c r="N44">
        <v>15</v>
      </c>
    </row>
    <row r="45" spans="1:14" ht="15" customHeight="1" x14ac:dyDescent="0.2">
      <c r="A45" t="s">
        <v>50</v>
      </c>
      <c r="B45" s="18">
        <v>0</v>
      </c>
      <c r="C45" s="18">
        <v>0</v>
      </c>
      <c r="D45" s="18">
        <v>0</v>
      </c>
      <c r="E45" s="18">
        <v>0</v>
      </c>
      <c r="F45" s="18">
        <v>2</v>
      </c>
      <c r="G45" s="18">
        <v>2</v>
      </c>
      <c r="H45" s="18">
        <v>0</v>
      </c>
      <c r="I45" s="18">
        <v>0</v>
      </c>
      <c r="J45" s="19">
        <f t="shared" si="0"/>
        <v>0</v>
      </c>
      <c r="K45" s="19">
        <f t="shared" si="1"/>
        <v>0</v>
      </c>
      <c r="L45" s="19">
        <f t="shared" si="2"/>
        <v>2</v>
      </c>
      <c r="M45" s="19">
        <f t="shared" si="3"/>
        <v>0</v>
      </c>
      <c r="N45">
        <v>15</v>
      </c>
    </row>
    <row r="46" spans="1:14" ht="15" customHeight="1" x14ac:dyDescent="0.2">
      <c r="A46" t="s">
        <v>51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9">
        <f t="shared" si="0"/>
        <v>2</v>
      </c>
      <c r="K46" s="19">
        <f t="shared" si="1"/>
        <v>0</v>
      </c>
      <c r="L46" s="19">
        <f t="shared" si="2"/>
        <v>0</v>
      </c>
      <c r="M46" s="19">
        <f t="shared" si="3"/>
        <v>0</v>
      </c>
      <c r="N46">
        <v>15</v>
      </c>
    </row>
    <row r="47" spans="1:14" ht="15" customHeight="1" x14ac:dyDescent="0.2">
      <c r="A47" t="s">
        <v>52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9">
        <f t="shared" si="0"/>
        <v>0</v>
      </c>
      <c r="K47" s="19">
        <f t="shared" si="1"/>
        <v>0</v>
      </c>
      <c r="L47" s="19">
        <f t="shared" si="2"/>
        <v>0</v>
      </c>
      <c r="M47" s="19">
        <f t="shared" si="3"/>
        <v>0</v>
      </c>
      <c r="N47">
        <v>15</v>
      </c>
    </row>
    <row r="48" spans="1:14" ht="15" customHeight="1" x14ac:dyDescent="0.2">
      <c r="A48" t="s">
        <v>53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9">
        <f t="shared" si="0"/>
        <v>0</v>
      </c>
      <c r="K48" s="19">
        <f t="shared" si="1"/>
        <v>0</v>
      </c>
      <c r="L48" s="19">
        <f t="shared" si="2"/>
        <v>0</v>
      </c>
      <c r="M48" s="19">
        <f t="shared" si="3"/>
        <v>0</v>
      </c>
      <c r="N48">
        <v>15</v>
      </c>
    </row>
    <row r="49" spans="1:14" ht="15" customHeight="1" x14ac:dyDescent="0.2">
      <c r="A49" t="s">
        <v>54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9">
        <f t="shared" si="0"/>
        <v>0</v>
      </c>
      <c r="K49" s="19">
        <f t="shared" si="1"/>
        <v>0</v>
      </c>
      <c r="L49" s="19">
        <f t="shared" si="2"/>
        <v>0</v>
      </c>
      <c r="M49" s="19">
        <f t="shared" si="3"/>
        <v>0</v>
      </c>
      <c r="N49">
        <v>15</v>
      </c>
    </row>
    <row r="50" spans="1:14" ht="15" customHeight="1" x14ac:dyDescent="0.2">
      <c r="A50" t="s">
        <v>55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9">
        <f t="shared" si="0"/>
        <v>0</v>
      </c>
      <c r="K50" s="19">
        <f t="shared" si="1"/>
        <v>0</v>
      </c>
      <c r="L50" s="19">
        <f t="shared" si="2"/>
        <v>0</v>
      </c>
      <c r="M50" s="19">
        <f t="shared" si="3"/>
        <v>0</v>
      </c>
      <c r="N50">
        <v>15</v>
      </c>
    </row>
    <row r="51" spans="1:14" ht="15" customHeight="1" x14ac:dyDescent="0.2">
      <c r="A51" t="s">
        <v>56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9">
        <f t="shared" si="0"/>
        <v>0</v>
      </c>
      <c r="K51" s="19">
        <f t="shared" si="1"/>
        <v>0</v>
      </c>
      <c r="L51" s="19">
        <f t="shared" si="2"/>
        <v>0</v>
      </c>
      <c r="M51" s="19">
        <f t="shared" si="3"/>
        <v>0</v>
      </c>
      <c r="N51">
        <v>15</v>
      </c>
    </row>
    <row r="52" spans="1:14" ht="15" customHeight="1" x14ac:dyDescent="0.2">
      <c r="A52" t="s">
        <v>57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9">
        <f t="shared" si="0"/>
        <v>0</v>
      </c>
      <c r="K52" s="19">
        <f t="shared" si="1"/>
        <v>0</v>
      </c>
      <c r="L52" s="19">
        <f t="shared" si="2"/>
        <v>0</v>
      </c>
      <c r="M52" s="19">
        <f t="shared" si="3"/>
        <v>0</v>
      </c>
      <c r="N52">
        <v>15</v>
      </c>
    </row>
    <row r="53" spans="1:14" ht="15" customHeight="1" x14ac:dyDescent="0.2">
      <c r="A53" t="s">
        <v>58</v>
      </c>
      <c r="B53" s="18">
        <v>0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9">
        <f t="shared" si="0"/>
        <v>0</v>
      </c>
      <c r="K53" s="19">
        <f t="shared" si="1"/>
        <v>0</v>
      </c>
      <c r="L53" s="19">
        <f t="shared" si="2"/>
        <v>0</v>
      </c>
      <c r="M53" s="19">
        <f t="shared" si="3"/>
        <v>0</v>
      </c>
      <c r="N53">
        <v>15</v>
      </c>
    </row>
    <row r="54" spans="1:14" ht="15" customHeight="1" x14ac:dyDescent="0.2">
      <c r="A54" t="s">
        <v>59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9">
        <f t="shared" si="0"/>
        <v>0</v>
      </c>
      <c r="K54" s="19">
        <f t="shared" si="1"/>
        <v>0</v>
      </c>
      <c r="L54" s="19">
        <f t="shared" si="2"/>
        <v>0</v>
      </c>
      <c r="M54" s="19">
        <f t="shared" si="3"/>
        <v>0</v>
      </c>
      <c r="N54">
        <v>15</v>
      </c>
    </row>
    <row r="55" spans="1:14" ht="15" customHeight="1" x14ac:dyDescent="0.2">
      <c r="A55" t="s">
        <v>60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9">
        <f t="shared" si="0"/>
        <v>0</v>
      </c>
      <c r="K55" s="19">
        <f t="shared" si="1"/>
        <v>0</v>
      </c>
      <c r="L55" s="19">
        <f t="shared" si="2"/>
        <v>0</v>
      </c>
      <c r="M55" s="19">
        <f t="shared" si="3"/>
        <v>0</v>
      </c>
      <c r="N55">
        <v>15</v>
      </c>
    </row>
    <row r="56" spans="1:14" ht="15" customHeight="1" x14ac:dyDescent="0.2">
      <c r="A56" t="s">
        <v>61</v>
      </c>
      <c r="B56" s="18">
        <v>0</v>
      </c>
      <c r="C56" s="18">
        <v>0</v>
      </c>
      <c r="D56" s="18">
        <v>0</v>
      </c>
      <c r="E56" s="18">
        <v>0</v>
      </c>
      <c r="F56" s="18">
        <v>1</v>
      </c>
      <c r="G56" s="18">
        <v>0</v>
      </c>
      <c r="H56" s="18">
        <v>0</v>
      </c>
      <c r="I56" s="18">
        <v>0</v>
      </c>
      <c r="J56" s="19">
        <f t="shared" si="0"/>
        <v>0</v>
      </c>
      <c r="K56" s="19">
        <f t="shared" si="1"/>
        <v>0</v>
      </c>
      <c r="L56" s="19">
        <f t="shared" si="2"/>
        <v>1</v>
      </c>
      <c r="M56" s="19">
        <f t="shared" si="3"/>
        <v>0</v>
      </c>
      <c r="N56">
        <v>15</v>
      </c>
    </row>
    <row r="57" spans="1:14" ht="15" customHeight="1" x14ac:dyDescent="0.2">
      <c r="A57" t="s">
        <v>62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1</v>
      </c>
      <c r="J57" s="19">
        <f t="shared" si="0"/>
        <v>0</v>
      </c>
      <c r="K57" s="19">
        <f t="shared" si="1"/>
        <v>1</v>
      </c>
      <c r="L57" s="19">
        <f t="shared" si="2"/>
        <v>0</v>
      </c>
      <c r="M57" s="19">
        <f t="shared" si="3"/>
        <v>0</v>
      </c>
      <c r="N57">
        <v>15</v>
      </c>
    </row>
    <row r="58" spans="1:14" ht="15" customHeight="1" x14ac:dyDescent="0.2">
      <c r="A58" t="s">
        <v>63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1</v>
      </c>
      <c r="J58" s="19">
        <f t="shared" si="0"/>
        <v>0</v>
      </c>
      <c r="K58" s="19">
        <f t="shared" si="1"/>
        <v>1</v>
      </c>
      <c r="L58" s="19">
        <f t="shared" si="2"/>
        <v>0</v>
      </c>
      <c r="M58" s="19">
        <f t="shared" si="3"/>
        <v>0</v>
      </c>
      <c r="N58">
        <v>15</v>
      </c>
    </row>
    <row r="59" spans="1:14" ht="15" customHeight="1" x14ac:dyDescent="0.2">
      <c r="A59" t="s">
        <v>64</v>
      </c>
      <c r="B59" s="18">
        <v>0</v>
      </c>
      <c r="C59" s="18">
        <v>0</v>
      </c>
      <c r="D59" s="18">
        <v>0</v>
      </c>
      <c r="E59" s="18">
        <v>0</v>
      </c>
      <c r="F59" s="18">
        <v>1</v>
      </c>
      <c r="G59" s="18">
        <v>0</v>
      </c>
      <c r="H59" s="18">
        <v>0</v>
      </c>
      <c r="I59" s="18">
        <v>0</v>
      </c>
      <c r="J59" s="19">
        <f t="shared" si="0"/>
        <v>0</v>
      </c>
      <c r="K59" s="19">
        <f t="shared" si="1"/>
        <v>0</v>
      </c>
      <c r="L59" s="19">
        <f t="shared" si="2"/>
        <v>1</v>
      </c>
      <c r="M59" s="19">
        <f t="shared" si="3"/>
        <v>0</v>
      </c>
      <c r="N59">
        <v>15</v>
      </c>
    </row>
    <row r="60" spans="1:14" ht="15" customHeight="1" x14ac:dyDescent="0.2">
      <c r="A60" t="s">
        <v>65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9">
        <f t="shared" si="0"/>
        <v>0</v>
      </c>
      <c r="K60" s="19">
        <f t="shared" si="1"/>
        <v>0</v>
      </c>
      <c r="L60" s="19">
        <f t="shared" si="2"/>
        <v>0</v>
      </c>
      <c r="M60" s="19">
        <f t="shared" si="3"/>
        <v>0</v>
      </c>
      <c r="N60">
        <v>15</v>
      </c>
    </row>
    <row r="61" spans="1:14" ht="15" customHeight="1" x14ac:dyDescent="0.2">
      <c r="A61" t="s">
        <v>66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9">
        <f t="shared" si="0"/>
        <v>0</v>
      </c>
      <c r="K61" s="19">
        <f t="shared" si="1"/>
        <v>0</v>
      </c>
      <c r="L61" s="19">
        <f t="shared" si="2"/>
        <v>0</v>
      </c>
      <c r="M61" s="19">
        <f t="shared" si="3"/>
        <v>0</v>
      </c>
      <c r="N61">
        <v>15</v>
      </c>
    </row>
    <row r="62" spans="1:14" ht="15" customHeight="1" x14ac:dyDescent="0.2">
      <c r="A62" t="s">
        <v>67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  <c r="N62">
        <v>15</v>
      </c>
    </row>
    <row r="63" spans="1:14" ht="15" customHeight="1" x14ac:dyDescent="0.2">
      <c r="A63" t="s">
        <v>68</v>
      </c>
      <c r="B63" s="18">
        <v>0</v>
      </c>
      <c r="C63" s="18">
        <v>0</v>
      </c>
      <c r="D63" s="18">
        <v>0</v>
      </c>
      <c r="E63" s="18">
        <v>0</v>
      </c>
      <c r="F63" s="18">
        <v>1</v>
      </c>
      <c r="G63" s="18">
        <v>0</v>
      </c>
      <c r="H63" s="18">
        <v>0</v>
      </c>
      <c r="I63" s="18">
        <v>0</v>
      </c>
      <c r="J63" s="19">
        <f t="shared" si="0"/>
        <v>0</v>
      </c>
      <c r="K63" s="19">
        <f t="shared" si="1"/>
        <v>0</v>
      </c>
      <c r="L63" s="19">
        <f t="shared" si="2"/>
        <v>1</v>
      </c>
      <c r="M63" s="19">
        <f t="shared" si="3"/>
        <v>0</v>
      </c>
      <c r="N63">
        <v>15</v>
      </c>
    </row>
    <row r="64" spans="1:14" ht="15" customHeight="1" x14ac:dyDescent="0.2">
      <c r="A64" t="s">
        <v>69</v>
      </c>
      <c r="B64" s="18">
        <v>0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9">
        <f t="shared" si="0"/>
        <v>0</v>
      </c>
      <c r="K64" s="19">
        <f t="shared" si="1"/>
        <v>0</v>
      </c>
      <c r="L64" s="19">
        <f t="shared" si="2"/>
        <v>0</v>
      </c>
      <c r="M64" s="19">
        <f t="shared" si="3"/>
        <v>0</v>
      </c>
      <c r="N64">
        <v>15</v>
      </c>
    </row>
    <row r="65" spans="1:14" ht="15" customHeight="1" x14ac:dyDescent="0.2">
      <c r="A65" t="s">
        <v>70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9">
        <f t="shared" si="0"/>
        <v>0</v>
      </c>
      <c r="K65" s="19">
        <f t="shared" si="1"/>
        <v>0</v>
      </c>
      <c r="L65" s="19">
        <f t="shared" si="2"/>
        <v>0</v>
      </c>
      <c r="M65" s="19">
        <f t="shared" si="3"/>
        <v>0</v>
      </c>
      <c r="N65">
        <v>15</v>
      </c>
    </row>
    <row r="66" spans="1:14" ht="15" customHeight="1" x14ac:dyDescent="0.2">
      <c r="A66" t="s">
        <v>71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9">
        <f t="shared" si="0"/>
        <v>0</v>
      </c>
      <c r="K66" s="19">
        <f t="shared" si="1"/>
        <v>0</v>
      </c>
      <c r="L66" s="19">
        <f t="shared" si="2"/>
        <v>0</v>
      </c>
      <c r="M66" s="19">
        <f t="shared" si="3"/>
        <v>0</v>
      </c>
      <c r="N66">
        <v>15</v>
      </c>
    </row>
    <row r="67" spans="1:14" ht="15" customHeight="1" x14ac:dyDescent="0.2">
      <c r="A67" t="s">
        <v>72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9">
        <f t="shared" si="0"/>
        <v>0</v>
      </c>
      <c r="K67" s="19">
        <f t="shared" si="1"/>
        <v>0</v>
      </c>
      <c r="L67" s="19">
        <f t="shared" si="2"/>
        <v>0</v>
      </c>
      <c r="M67" s="19">
        <f t="shared" si="3"/>
        <v>0</v>
      </c>
      <c r="N67">
        <v>15</v>
      </c>
    </row>
    <row r="68" spans="1:14" ht="15" customHeight="1" x14ac:dyDescent="0.2">
      <c r="A68" t="s">
        <v>73</v>
      </c>
      <c r="B68" s="18">
        <v>0</v>
      </c>
      <c r="C68" s="18">
        <v>0</v>
      </c>
      <c r="D68" s="18">
        <v>1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9">
        <f t="shared" si="0"/>
        <v>0</v>
      </c>
      <c r="K68" s="19">
        <f t="shared" si="1"/>
        <v>0</v>
      </c>
      <c r="L68" s="19">
        <f t="shared" si="2"/>
        <v>1</v>
      </c>
      <c r="M68" s="19">
        <f t="shared" si="3"/>
        <v>0</v>
      </c>
      <c r="N68">
        <v>15</v>
      </c>
    </row>
    <row r="69" spans="1:14" ht="15" customHeight="1" x14ac:dyDescent="0.2">
      <c r="A69" t="s">
        <v>74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9">
        <f t="shared" si="0"/>
        <v>0</v>
      </c>
      <c r="K69" s="19">
        <f t="shared" si="1"/>
        <v>0</v>
      </c>
      <c r="L69" s="19">
        <f t="shared" si="2"/>
        <v>0</v>
      </c>
      <c r="M69" s="19">
        <f t="shared" si="3"/>
        <v>0</v>
      </c>
      <c r="N69">
        <v>15</v>
      </c>
    </row>
    <row r="70" spans="1:14" ht="15" customHeight="1" x14ac:dyDescent="0.2">
      <c r="A70" t="s">
        <v>75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9">
        <f t="shared" si="0"/>
        <v>0</v>
      </c>
      <c r="K70" s="19">
        <f t="shared" si="1"/>
        <v>0</v>
      </c>
      <c r="L70" s="19">
        <f t="shared" si="2"/>
        <v>0</v>
      </c>
      <c r="M70" s="19">
        <f t="shared" si="3"/>
        <v>0</v>
      </c>
      <c r="N70">
        <v>15</v>
      </c>
    </row>
    <row r="71" spans="1:14" ht="15" customHeight="1" x14ac:dyDescent="0.2">
      <c r="A71" t="s">
        <v>76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9">
        <f t="shared" si="0"/>
        <v>0</v>
      </c>
      <c r="K71" s="19">
        <f t="shared" si="1"/>
        <v>0</v>
      </c>
      <c r="L71" s="19">
        <f t="shared" si="2"/>
        <v>0</v>
      </c>
      <c r="M71" s="19">
        <f t="shared" si="3"/>
        <v>0</v>
      </c>
      <c r="N71">
        <v>15</v>
      </c>
    </row>
    <row r="72" spans="1:14" ht="15" customHeight="1" x14ac:dyDescent="0.2">
      <c r="A72" t="s">
        <v>77</v>
      </c>
      <c r="B72" s="18">
        <v>0</v>
      </c>
      <c r="C72" s="18">
        <v>0</v>
      </c>
      <c r="D72" s="18">
        <v>2</v>
      </c>
      <c r="E72" s="18">
        <v>0</v>
      </c>
      <c r="F72" s="18">
        <v>0</v>
      </c>
      <c r="G72" s="18">
        <v>1</v>
      </c>
      <c r="H72" s="18">
        <v>0</v>
      </c>
      <c r="I72" s="18">
        <v>0</v>
      </c>
      <c r="J72" s="19">
        <f t="shared" si="0"/>
        <v>0</v>
      </c>
      <c r="K72" s="19">
        <f t="shared" si="1"/>
        <v>0</v>
      </c>
      <c r="L72" s="19">
        <f t="shared" si="2"/>
        <v>2</v>
      </c>
      <c r="M72" s="19">
        <f t="shared" si="3"/>
        <v>0</v>
      </c>
      <c r="N72">
        <v>15</v>
      </c>
    </row>
    <row r="73" spans="1:14" ht="15" customHeight="1" x14ac:dyDescent="0.2">
      <c r="A73" t="s">
        <v>78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9">
        <f t="shared" si="0"/>
        <v>1</v>
      </c>
      <c r="K73" s="19">
        <f t="shared" si="1"/>
        <v>0</v>
      </c>
      <c r="L73" s="19">
        <f t="shared" si="2"/>
        <v>0</v>
      </c>
      <c r="M73" s="19">
        <f t="shared" si="3"/>
        <v>0</v>
      </c>
      <c r="N73">
        <v>15</v>
      </c>
    </row>
    <row r="74" spans="1:14" ht="15" customHeight="1" x14ac:dyDescent="0.2">
      <c r="A74" t="s">
        <v>79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9">
        <f t="shared" si="0"/>
        <v>0</v>
      </c>
      <c r="K74" s="19">
        <f t="shared" si="1"/>
        <v>0</v>
      </c>
      <c r="L74" s="19">
        <f t="shared" si="2"/>
        <v>0</v>
      </c>
      <c r="M74" s="19">
        <f t="shared" si="3"/>
        <v>0</v>
      </c>
      <c r="N74">
        <v>15</v>
      </c>
    </row>
    <row r="75" spans="1:14" ht="15" customHeight="1" x14ac:dyDescent="0.2">
      <c r="A75" t="s">
        <v>80</v>
      </c>
      <c r="B75" s="18">
        <v>0</v>
      </c>
      <c r="C75" s="18">
        <v>1</v>
      </c>
      <c r="D75" s="18">
        <v>0</v>
      </c>
      <c r="E75" s="18">
        <v>0</v>
      </c>
      <c r="F75" s="18">
        <v>0</v>
      </c>
      <c r="G75" s="18">
        <v>1</v>
      </c>
      <c r="H75" s="18">
        <v>0</v>
      </c>
      <c r="I75" s="18">
        <v>0</v>
      </c>
      <c r="J75" s="19">
        <f t="shared" ref="J75:J138" si="4">SUM(E74,G74)</f>
        <v>0</v>
      </c>
      <c r="K75" s="19">
        <f t="shared" ref="K75:K138" si="5">SUM(C75,I75)</f>
        <v>1</v>
      </c>
      <c r="L75" s="19">
        <f t="shared" ref="L75:L138" si="6">SUM(D75,F75)</f>
        <v>0</v>
      </c>
      <c r="M75" s="19">
        <f t="shared" ref="M75:M138" si="7">SUM(B75,H75)</f>
        <v>0</v>
      </c>
      <c r="N75">
        <v>15</v>
      </c>
    </row>
    <row r="76" spans="1:14" ht="15" customHeight="1" x14ac:dyDescent="0.2">
      <c r="A76" t="s">
        <v>81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9">
        <f t="shared" si="4"/>
        <v>1</v>
      </c>
      <c r="K76" s="19">
        <f t="shared" si="5"/>
        <v>0</v>
      </c>
      <c r="L76" s="19">
        <f t="shared" si="6"/>
        <v>0</v>
      </c>
      <c r="M76" s="19">
        <f t="shared" si="7"/>
        <v>0</v>
      </c>
      <c r="N76">
        <v>15</v>
      </c>
    </row>
    <row r="77" spans="1:14" ht="15" customHeight="1" x14ac:dyDescent="0.2">
      <c r="A77" t="s">
        <v>82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1</v>
      </c>
      <c r="J77" s="19">
        <f t="shared" si="4"/>
        <v>0</v>
      </c>
      <c r="K77" s="19">
        <f t="shared" si="5"/>
        <v>1</v>
      </c>
      <c r="L77" s="19">
        <f t="shared" si="6"/>
        <v>0</v>
      </c>
      <c r="M77" s="19">
        <f t="shared" si="7"/>
        <v>0</v>
      </c>
      <c r="N77">
        <v>15</v>
      </c>
    </row>
    <row r="78" spans="1:14" ht="15" customHeight="1" x14ac:dyDescent="0.2">
      <c r="A78" t="s">
        <v>83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1</v>
      </c>
      <c r="H78" s="18">
        <v>0</v>
      </c>
      <c r="I78" s="18">
        <v>0</v>
      </c>
      <c r="J78" s="19">
        <f t="shared" si="4"/>
        <v>0</v>
      </c>
      <c r="K78" s="19">
        <f t="shared" si="5"/>
        <v>0</v>
      </c>
      <c r="L78" s="19">
        <f t="shared" si="6"/>
        <v>0</v>
      </c>
      <c r="M78" s="19">
        <f t="shared" si="7"/>
        <v>0</v>
      </c>
      <c r="N78">
        <v>15</v>
      </c>
    </row>
    <row r="79" spans="1:14" ht="15" customHeight="1" x14ac:dyDescent="0.2">
      <c r="A79" t="s">
        <v>84</v>
      </c>
      <c r="B79" s="18">
        <v>0</v>
      </c>
      <c r="C79" s="18">
        <v>0</v>
      </c>
      <c r="D79" s="18">
        <v>0</v>
      </c>
      <c r="E79" s="18">
        <v>0</v>
      </c>
      <c r="F79" s="18">
        <v>2</v>
      </c>
      <c r="G79" s="18">
        <v>0</v>
      </c>
      <c r="H79" s="18">
        <v>0</v>
      </c>
      <c r="I79" s="18">
        <v>1</v>
      </c>
      <c r="J79" s="19">
        <f t="shared" si="4"/>
        <v>1</v>
      </c>
      <c r="K79" s="19">
        <f t="shared" si="5"/>
        <v>1</v>
      </c>
      <c r="L79" s="19">
        <f t="shared" si="6"/>
        <v>2</v>
      </c>
      <c r="M79" s="19">
        <f t="shared" si="7"/>
        <v>0</v>
      </c>
      <c r="N79">
        <v>15</v>
      </c>
    </row>
    <row r="80" spans="1:14" ht="15" customHeight="1" x14ac:dyDescent="0.2">
      <c r="A80" t="s">
        <v>85</v>
      </c>
      <c r="B80" s="18">
        <v>0</v>
      </c>
      <c r="C80" s="18">
        <v>1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9">
        <f t="shared" si="4"/>
        <v>0</v>
      </c>
      <c r="K80" s="19">
        <f t="shared" si="5"/>
        <v>1</v>
      </c>
      <c r="L80" s="19">
        <f t="shared" si="6"/>
        <v>0</v>
      </c>
      <c r="M80" s="19">
        <f t="shared" si="7"/>
        <v>0</v>
      </c>
      <c r="N80">
        <v>15</v>
      </c>
    </row>
    <row r="81" spans="1:14" ht="15" customHeight="1" x14ac:dyDescent="0.2">
      <c r="A81" t="s">
        <v>86</v>
      </c>
      <c r="B81" s="18">
        <v>0</v>
      </c>
      <c r="C81" s="18">
        <v>0</v>
      </c>
      <c r="D81" s="18">
        <v>1</v>
      </c>
      <c r="E81" s="18">
        <v>0</v>
      </c>
      <c r="F81" s="18">
        <v>0</v>
      </c>
      <c r="G81" s="18">
        <v>1</v>
      </c>
      <c r="H81" s="18">
        <v>0</v>
      </c>
      <c r="I81" s="18">
        <v>0</v>
      </c>
      <c r="J81" s="19">
        <f t="shared" si="4"/>
        <v>0</v>
      </c>
      <c r="K81" s="19">
        <f t="shared" si="5"/>
        <v>0</v>
      </c>
      <c r="L81" s="19">
        <f t="shared" si="6"/>
        <v>1</v>
      </c>
      <c r="M81" s="19">
        <f t="shared" si="7"/>
        <v>0</v>
      </c>
      <c r="N81">
        <v>15</v>
      </c>
    </row>
    <row r="82" spans="1:14" ht="15" customHeight="1" x14ac:dyDescent="0.2">
      <c r="A82" t="s">
        <v>87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9">
        <f t="shared" si="4"/>
        <v>1</v>
      </c>
      <c r="K82" s="19">
        <f t="shared" si="5"/>
        <v>0</v>
      </c>
      <c r="L82" s="19">
        <f t="shared" si="6"/>
        <v>0</v>
      </c>
      <c r="M82" s="19">
        <f t="shared" si="7"/>
        <v>0</v>
      </c>
      <c r="N82">
        <v>15</v>
      </c>
    </row>
    <row r="83" spans="1:14" ht="15" customHeight="1" x14ac:dyDescent="0.2">
      <c r="A83" t="s">
        <v>88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9">
        <f t="shared" si="4"/>
        <v>0</v>
      </c>
      <c r="K83" s="19">
        <f t="shared" si="5"/>
        <v>0</v>
      </c>
      <c r="L83" s="19">
        <f t="shared" si="6"/>
        <v>0</v>
      </c>
      <c r="M83" s="19">
        <f t="shared" si="7"/>
        <v>0</v>
      </c>
      <c r="N83">
        <v>15</v>
      </c>
    </row>
    <row r="84" spans="1:14" ht="15" customHeight="1" x14ac:dyDescent="0.2">
      <c r="A84" t="s">
        <v>89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9">
        <f t="shared" si="4"/>
        <v>0</v>
      </c>
      <c r="K84" s="19">
        <f t="shared" si="5"/>
        <v>0</v>
      </c>
      <c r="L84" s="19">
        <f t="shared" si="6"/>
        <v>0</v>
      </c>
      <c r="M84" s="19">
        <f t="shared" si="7"/>
        <v>0</v>
      </c>
      <c r="N84">
        <v>15</v>
      </c>
    </row>
    <row r="85" spans="1:14" ht="15" customHeight="1" x14ac:dyDescent="0.2">
      <c r="A85" t="s">
        <v>90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9">
        <f t="shared" si="4"/>
        <v>0</v>
      </c>
      <c r="K85" s="19">
        <f t="shared" si="5"/>
        <v>0</v>
      </c>
      <c r="L85" s="19">
        <f t="shared" si="6"/>
        <v>0</v>
      </c>
      <c r="M85" s="19">
        <f t="shared" si="7"/>
        <v>0</v>
      </c>
      <c r="N85">
        <v>15</v>
      </c>
    </row>
    <row r="86" spans="1:14" ht="15" customHeight="1" x14ac:dyDescent="0.2">
      <c r="A86" t="s">
        <v>91</v>
      </c>
      <c r="B86" s="18">
        <v>0</v>
      </c>
      <c r="C86" s="18">
        <v>0</v>
      </c>
      <c r="D86" s="18">
        <v>0</v>
      </c>
      <c r="E86" s="18">
        <v>0</v>
      </c>
      <c r="F86" s="18">
        <v>1</v>
      </c>
      <c r="G86" s="18">
        <v>1</v>
      </c>
      <c r="H86" s="18">
        <v>0</v>
      </c>
      <c r="I86" s="18">
        <v>0</v>
      </c>
      <c r="J86" s="19">
        <f t="shared" si="4"/>
        <v>0</v>
      </c>
      <c r="K86" s="19">
        <f t="shared" si="5"/>
        <v>0</v>
      </c>
      <c r="L86" s="19">
        <f t="shared" si="6"/>
        <v>1</v>
      </c>
      <c r="M86" s="19">
        <f t="shared" si="7"/>
        <v>0</v>
      </c>
      <c r="N86">
        <v>15</v>
      </c>
    </row>
    <row r="87" spans="1:14" ht="15" customHeight="1" x14ac:dyDescent="0.2">
      <c r="A87" t="s">
        <v>92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9">
        <f t="shared" si="4"/>
        <v>1</v>
      </c>
      <c r="K87" s="19">
        <f t="shared" si="5"/>
        <v>0</v>
      </c>
      <c r="L87" s="19">
        <f t="shared" si="6"/>
        <v>0</v>
      </c>
      <c r="M87" s="19">
        <f t="shared" si="7"/>
        <v>0</v>
      </c>
      <c r="N87">
        <v>15</v>
      </c>
    </row>
    <row r="88" spans="1:14" ht="15" customHeight="1" x14ac:dyDescent="0.2">
      <c r="A88" t="s">
        <v>93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1</v>
      </c>
      <c r="J88" s="19">
        <f t="shared" si="4"/>
        <v>0</v>
      </c>
      <c r="K88" s="19">
        <f t="shared" si="5"/>
        <v>1</v>
      </c>
      <c r="L88" s="19">
        <f t="shared" si="6"/>
        <v>0</v>
      </c>
      <c r="M88" s="19">
        <f t="shared" si="7"/>
        <v>0</v>
      </c>
      <c r="N88">
        <v>15</v>
      </c>
    </row>
    <row r="89" spans="1:14" ht="15" customHeight="1" x14ac:dyDescent="0.2">
      <c r="A89" t="s">
        <v>94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1</v>
      </c>
      <c r="H89" s="18">
        <v>0</v>
      </c>
      <c r="I89" s="18">
        <v>0</v>
      </c>
      <c r="J89" s="19">
        <f t="shared" si="4"/>
        <v>0</v>
      </c>
      <c r="K89" s="19">
        <f t="shared" si="5"/>
        <v>0</v>
      </c>
      <c r="L89" s="19">
        <f t="shared" si="6"/>
        <v>0</v>
      </c>
      <c r="M89" s="19">
        <f t="shared" si="7"/>
        <v>0</v>
      </c>
      <c r="N89">
        <v>15</v>
      </c>
    </row>
    <row r="90" spans="1:14" ht="15" customHeight="1" x14ac:dyDescent="0.2">
      <c r="A90" t="s">
        <v>95</v>
      </c>
      <c r="B90" s="18">
        <v>0</v>
      </c>
      <c r="C90" s="18">
        <v>1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1</v>
      </c>
      <c r="J90" s="19">
        <f t="shared" si="4"/>
        <v>1</v>
      </c>
      <c r="K90" s="19">
        <f t="shared" si="5"/>
        <v>2</v>
      </c>
      <c r="L90" s="19">
        <f t="shared" si="6"/>
        <v>0</v>
      </c>
      <c r="M90" s="19">
        <f t="shared" si="7"/>
        <v>0</v>
      </c>
      <c r="N90">
        <v>15</v>
      </c>
    </row>
    <row r="91" spans="1:14" ht="15" customHeight="1" x14ac:dyDescent="0.2">
      <c r="A91" t="s">
        <v>96</v>
      </c>
      <c r="B91" s="18">
        <v>0</v>
      </c>
      <c r="C91" s="18">
        <v>0</v>
      </c>
      <c r="D91" s="18">
        <v>0</v>
      </c>
      <c r="E91" s="18">
        <v>1</v>
      </c>
      <c r="F91" s="18">
        <v>0</v>
      </c>
      <c r="G91" s="18">
        <v>0</v>
      </c>
      <c r="H91" s="18">
        <v>0</v>
      </c>
      <c r="I91" s="18">
        <v>0</v>
      </c>
      <c r="J91" s="19">
        <f t="shared" si="4"/>
        <v>0</v>
      </c>
      <c r="K91" s="19">
        <f t="shared" si="5"/>
        <v>0</v>
      </c>
      <c r="L91" s="19">
        <f t="shared" si="6"/>
        <v>0</v>
      </c>
      <c r="M91" s="19">
        <f t="shared" si="7"/>
        <v>0</v>
      </c>
      <c r="N91">
        <v>15</v>
      </c>
    </row>
    <row r="92" spans="1:14" ht="15" customHeight="1" x14ac:dyDescent="0.2">
      <c r="A92" t="s">
        <v>97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9">
        <f t="shared" si="4"/>
        <v>1</v>
      </c>
      <c r="K92" s="19">
        <f t="shared" si="5"/>
        <v>0</v>
      </c>
      <c r="L92" s="19">
        <f t="shared" si="6"/>
        <v>0</v>
      </c>
      <c r="M92" s="19">
        <f t="shared" si="7"/>
        <v>0</v>
      </c>
      <c r="N92">
        <v>15</v>
      </c>
    </row>
    <row r="93" spans="1:14" ht="15" customHeight="1" x14ac:dyDescent="0.2">
      <c r="A93" t="s">
        <v>98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1</v>
      </c>
      <c r="H93" s="18">
        <v>0</v>
      </c>
      <c r="I93" s="18">
        <v>0</v>
      </c>
      <c r="J93" s="19">
        <f t="shared" si="4"/>
        <v>0</v>
      </c>
      <c r="K93" s="19">
        <f t="shared" si="5"/>
        <v>0</v>
      </c>
      <c r="L93" s="19">
        <f t="shared" si="6"/>
        <v>0</v>
      </c>
      <c r="M93" s="19">
        <f t="shared" si="7"/>
        <v>0</v>
      </c>
      <c r="N93">
        <v>15</v>
      </c>
    </row>
    <row r="94" spans="1:14" ht="15" customHeight="1" x14ac:dyDescent="0.2">
      <c r="A94" t="s">
        <v>99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9">
        <f t="shared" si="4"/>
        <v>1</v>
      </c>
      <c r="K94" s="19">
        <f t="shared" si="5"/>
        <v>0</v>
      </c>
      <c r="L94" s="19">
        <f t="shared" si="6"/>
        <v>0</v>
      </c>
      <c r="M94" s="19">
        <f t="shared" si="7"/>
        <v>0</v>
      </c>
      <c r="N94">
        <v>15</v>
      </c>
    </row>
    <row r="95" spans="1:14" ht="15" customHeight="1" x14ac:dyDescent="0.2">
      <c r="A95" t="s">
        <v>100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  <c r="N95">
        <v>15</v>
      </c>
    </row>
    <row r="96" spans="1:14" ht="15" customHeight="1" x14ac:dyDescent="0.2">
      <c r="A96" t="s">
        <v>101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9">
        <f t="shared" si="4"/>
        <v>0</v>
      </c>
      <c r="K96" s="19">
        <f t="shared" si="5"/>
        <v>0</v>
      </c>
      <c r="L96" s="19">
        <f t="shared" si="6"/>
        <v>0</v>
      </c>
      <c r="M96" s="19">
        <f t="shared" si="7"/>
        <v>0</v>
      </c>
      <c r="N96">
        <v>15</v>
      </c>
    </row>
    <row r="97" spans="1:14" ht="15" customHeight="1" x14ac:dyDescent="0.2">
      <c r="A97" t="s">
        <v>102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9">
        <f t="shared" si="4"/>
        <v>0</v>
      </c>
      <c r="K97" s="19">
        <f t="shared" si="5"/>
        <v>0</v>
      </c>
      <c r="L97" s="19">
        <f t="shared" si="6"/>
        <v>0</v>
      </c>
      <c r="M97" s="19">
        <f t="shared" si="7"/>
        <v>0</v>
      </c>
      <c r="N97">
        <v>15</v>
      </c>
    </row>
    <row r="98" spans="1:14" ht="15" customHeight="1" x14ac:dyDescent="0.2">
      <c r="A98" t="s">
        <v>103</v>
      </c>
      <c r="B98" s="18">
        <v>0</v>
      </c>
      <c r="C98" s="18">
        <v>1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9">
        <f t="shared" si="4"/>
        <v>0</v>
      </c>
      <c r="K98" s="19">
        <f t="shared" si="5"/>
        <v>1</v>
      </c>
      <c r="L98" s="19">
        <f t="shared" si="6"/>
        <v>0</v>
      </c>
      <c r="M98" s="19">
        <f t="shared" si="7"/>
        <v>0</v>
      </c>
      <c r="N98">
        <v>15</v>
      </c>
    </row>
    <row r="99" spans="1:14" ht="15" customHeight="1" x14ac:dyDescent="0.2">
      <c r="A99" t="s">
        <v>104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9">
        <f t="shared" si="4"/>
        <v>0</v>
      </c>
      <c r="K99" s="19">
        <f t="shared" si="5"/>
        <v>0</v>
      </c>
      <c r="L99" s="19">
        <f t="shared" si="6"/>
        <v>0</v>
      </c>
      <c r="M99" s="19">
        <f t="shared" si="7"/>
        <v>0</v>
      </c>
      <c r="N99">
        <v>15</v>
      </c>
    </row>
    <row r="100" spans="1:14" ht="15" customHeight="1" x14ac:dyDescent="0.2">
      <c r="A100" t="s">
        <v>105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  <c r="N100">
        <v>15</v>
      </c>
    </row>
    <row r="101" spans="1:14" ht="15" customHeight="1" x14ac:dyDescent="0.2">
      <c r="A101" t="s">
        <v>106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  <c r="G101" s="18">
        <v>1</v>
      </c>
      <c r="H101" s="18">
        <v>0</v>
      </c>
      <c r="I101" s="18">
        <v>1</v>
      </c>
      <c r="J101" s="19">
        <f t="shared" si="4"/>
        <v>0</v>
      </c>
      <c r="K101" s="19">
        <f t="shared" si="5"/>
        <v>1</v>
      </c>
      <c r="L101" s="19">
        <f t="shared" si="6"/>
        <v>0</v>
      </c>
      <c r="M101" s="19">
        <f t="shared" si="7"/>
        <v>0</v>
      </c>
      <c r="N101">
        <v>15</v>
      </c>
    </row>
    <row r="102" spans="1:14" ht="15" customHeight="1" x14ac:dyDescent="0.2">
      <c r="A102" t="s">
        <v>107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9">
        <f t="shared" si="4"/>
        <v>1</v>
      </c>
      <c r="K102" s="19">
        <f t="shared" si="5"/>
        <v>0</v>
      </c>
      <c r="L102" s="19">
        <f t="shared" si="6"/>
        <v>0</v>
      </c>
      <c r="M102" s="19">
        <f t="shared" si="7"/>
        <v>0</v>
      </c>
      <c r="N102">
        <v>15</v>
      </c>
    </row>
    <row r="103" spans="1:14" ht="15" customHeight="1" x14ac:dyDescent="0.2">
      <c r="A103" t="s">
        <v>108</v>
      </c>
      <c r="B103" s="18">
        <v>0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9">
        <f t="shared" si="4"/>
        <v>0</v>
      </c>
      <c r="K103" s="19">
        <f t="shared" si="5"/>
        <v>0</v>
      </c>
      <c r="L103" s="19">
        <f t="shared" si="6"/>
        <v>0</v>
      </c>
      <c r="M103" s="19">
        <f t="shared" si="7"/>
        <v>0</v>
      </c>
      <c r="N103">
        <v>15</v>
      </c>
    </row>
    <row r="104" spans="1:14" ht="15" customHeight="1" x14ac:dyDescent="0.2">
      <c r="A104" t="s">
        <v>109</v>
      </c>
      <c r="B104" s="18">
        <v>0</v>
      </c>
      <c r="C104" s="18">
        <v>0</v>
      </c>
      <c r="D104" s="18">
        <v>1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9">
        <f t="shared" si="4"/>
        <v>0</v>
      </c>
      <c r="K104" s="19">
        <f t="shared" si="5"/>
        <v>0</v>
      </c>
      <c r="L104" s="19">
        <f t="shared" si="6"/>
        <v>1</v>
      </c>
      <c r="M104" s="19">
        <f t="shared" si="7"/>
        <v>0</v>
      </c>
      <c r="N104">
        <v>15</v>
      </c>
    </row>
    <row r="105" spans="1:14" ht="15" customHeight="1" x14ac:dyDescent="0.2">
      <c r="A105" t="s">
        <v>110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9">
        <f t="shared" si="4"/>
        <v>0</v>
      </c>
      <c r="K105" s="19">
        <f t="shared" si="5"/>
        <v>0</v>
      </c>
      <c r="L105" s="19">
        <f t="shared" si="6"/>
        <v>0</v>
      </c>
      <c r="M105" s="19">
        <f t="shared" si="7"/>
        <v>0</v>
      </c>
      <c r="N105">
        <v>15</v>
      </c>
    </row>
    <row r="106" spans="1:14" ht="15" customHeight="1" x14ac:dyDescent="0.2">
      <c r="A106" t="s">
        <v>5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  <c r="N106">
        <v>15</v>
      </c>
    </row>
    <row r="107" spans="1:14" ht="15" customHeight="1" x14ac:dyDescent="0.2">
      <c r="A107" t="s">
        <v>16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  <c r="N107">
        <v>15</v>
      </c>
    </row>
    <row r="108" spans="1:14" ht="15" customHeight="1" x14ac:dyDescent="0.2">
      <c r="A108" t="s">
        <v>17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  <c r="N108">
        <v>15</v>
      </c>
    </row>
    <row r="109" spans="1:14" ht="15" customHeight="1" x14ac:dyDescent="0.2">
      <c r="A109" t="s">
        <v>18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9">
        <f t="shared" si="4"/>
        <v>0</v>
      </c>
      <c r="K109" s="19">
        <f t="shared" si="5"/>
        <v>0</v>
      </c>
      <c r="L109" s="19">
        <f t="shared" si="6"/>
        <v>0</v>
      </c>
      <c r="M109" s="19">
        <f t="shared" si="7"/>
        <v>0</v>
      </c>
      <c r="N109">
        <v>15</v>
      </c>
    </row>
    <row r="110" spans="1:14" ht="15" customHeight="1" x14ac:dyDescent="0.2">
      <c r="A110" t="s">
        <v>19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18">
        <v>0</v>
      </c>
      <c r="J110" s="19">
        <f t="shared" si="4"/>
        <v>0</v>
      </c>
      <c r="K110" s="19">
        <f t="shared" si="5"/>
        <v>0</v>
      </c>
      <c r="L110" s="19">
        <f t="shared" si="6"/>
        <v>0</v>
      </c>
      <c r="M110" s="19">
        <f t="shared" si="7"/>
        <v>0</v>
      </c>
      <c r="N110">
        <v>15</v>
      </c>
    </row>
    <row r="111" spans="1:14" ht="15" customHeight="1" x14ac:dyDescent="0.2">
      <c r="A111" t="s">
        <v>20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1</v>
      </c>
      <c r="H111" s="18">
        <v>0</v>
      </c>
      <c r="I111" s="18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  <c r="N111">
        <v>15</v>
      </c>
    </row>
    <row r="112" spans="1:14" ht="15" customHeight="1" x14ac:dyDescent="0.2">
      <c r="A112" t="s">
        <v>21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9">
        <f t="shared" si="4"/>
        <v>1</v>
      </c>
      <c r="K112" s="19">
        <f t="shared" si="5"/>
        <v>0</v>
      </c>
      <c r="L112" s="19">
        <f t="shared" si="6"/>
        <v>0</v>
      </c>
      <c r="M112" s="19">
        <f t="shared" si="7"/>
        <v>0</v>
      </c>
      <c r="N112">
        <v>15</v>
      </c>
    </row>
    <row r="113" spans="1:14" ht="15" customHeight="1" x14ac:dyDescent="0.2">
      <c r="A113" t="s">
        <v>22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  <c r="N113">
        <v>15</v>
      </c>
    </row>
    <row r="114" spans="1:14" ht="15" customHeight="1" x14ac:dyDescent="0.2">
      <c r="A114" t="s">
        <v>23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  <c r="N114">
        <v>15</v>
      </c>
    </row>
    <row r="115" spans="1:14" ht="15" customHeight="1" x14ac:dyDescent="0.2">
      <c r="A115" t="s">
        <v>24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  <c r="N115">
        <v>15</v>
      </c>
    </row>
    <row r="116" spans="1:14" ht="15" customHeight="1" x14ac:dyDescent="0.2">
      <c r="A116" t="s">
        <v>25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  <c r="N116">
        <v>15</v>
      </c>
    </row>
    <row r="117" spans="1:14" ht="15" customHeight="1" x14ac:dyDescent="0.2">
      <c r="A117" t="s">
        <v>26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  <c r="N117">
        <v>15</v>
      </c>
    </row>
    <row r="118" spans="1:14" ht="15" customHeight="1" x14ac:dyDescent="0.2">
      <c r="A118" t="s">
        <v>27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  <c r="N118">
        <v>15</v>
      </c>
    </row>
    <row r="119" spans="1:14" ht="15" customHeight="1" x14ac:dyDescent="0.2">
      <c r="A119" t="s">
        <v>28</v>
      </c>
      <c r="B119" s="18">
        <v>0</v>
      </c>
      <c r="C119" s="18">
        <v>0</v>
      </c>
      <c r="D119" s="18">
        <v>1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9">
        <f t="shared" si="4"/>
        <v>0</v>
      </c>
      <c r="K119" s="19">
        <f t="shared" si="5"/>
        <v>0</v>
      </c>
      <c r="L119" s="19">
        <f t="shared" si="6"/>
        <v>1</v>
      </c>
      <c r="M119" s="19">
        <f t="shared" si="7"/>
        <v>0</v>
      </c>
      <c r="N119">
        <v>15</v>
      </c>
    </row>
    <row r="120" spans="1:14" ht="15" customHeight="1" x14ac:dyDescent="0.2">
      <c r="A120" t="s">
        <v>29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  <c r="N120">
        <v>15</v>
      </c>
    </row>
    <row r="121" spans="1:14" ht="15" customHeight="1" x14ac:dyDescent="0.2">
      <c r="A121" t="s">
        <v>30</v>
      </c>
      <c r="B121" s="18">
        <v>0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  <c r="N121">
        <v>15</v>
      </c>
    </row>
    <row r="122" spans="1:14" ht="15" customHeight="1" x14ac:dyDescent="0.2">
      <c r="A122" t="s">
        <v>31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  <c r="N122">
        <v>15</v>
      </c>
    </row>
    <row r="123" spans="1:14" ht="15" customHeight="1" x14ac:dyDescent="0.2">
      <c r="A123" t="s">
        <v>32</v>
      </c>
      <c r="B123" s="18">
        <v>0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9">
        <f t="shared" si="4"/>
        <v>0</v>
      </c>
      <c r="K123" s="19">
        <f t="shared" si="5"/>
        <v>0</v>
      </c>
      <c r="L123" s="19">
        <f t="shared" si="6"/>
        <v>0</v>
      </c>
      <c r="M123" s="19">
        <f t="shared" si="7"/>
        <v>0</v>
      </c>
      <c r="N123">
        <v>15</v>
      </c>
    </row>
    <row r="124" spans="1:14" ht="15" customHeight="1" x14ac:dyDescent="0.2">
      <c r="A124" t="s">
        <v>33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  <c r="N124">
        <v>15</v>
      </c>
    </row>
    <row r="125" spans="1:14" ht="15" customHeight="1" x14ac:dyDescent="0.2">
      <c r="A125" t="s">
        <v>34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  <c r="N125">
        <v>15</v>
      </c>
    </row>
    <row r="126" spans="1:14" ht="15" customHeight="1" x14ac:dyDescent="0.2">
      <c r="A126" t="s">
        <v>35</v>
      </c>
      <c r="B126" s="18">
        <v>0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  <c r="N126">
        <v>15</v>
      </c>
    </row>
    <row r="127" spans="1:14" ht="15" customHeight="1" x14ac:dyDescent="0.2">
      <c r="A127" t="s">
        <v>36</v>
      </c>
      <c r="B127" s="18">
        <v>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  <c r="N127">
        <v>15</v>
      </c>
    </row>
    <row r="128" spans="1:14" ht="15" customHeight="1" x14ac:dyDescent="0.2">
      <c r="A128" t="s">
        <v>37</v>
      </c>
      <c r="B128" s="18">
        <v>0</v>
      </c>
      <c r="C128" s="18">
        <v>0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  <c r="N128">
        <v>15</v>
      </c>
    </row>
    <row r="129" spans="1:14" ht="15" customHeight="1" x14ac:dyDescent="0.2">
      <c r="A129" t="s">
        <v>38</v>
      </c>
      <c r="B129" s="18">
        <v>0</v>
      </c>
      <c r="C129" s="18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9">
        <f t="shared" si="4"/>
        <v>0</v>
      </c>
      <c r="K129" s="19">
        <f t="shared" si="5"/>
        <v>0</v>
      </c>
      <c r="L129" s="19">
        <f t="shared" si="6"/>
        <v>0</v>
      </c>
      <c r="M129" s="19">
        <f t="shared" si="7"/>
        <v>0</v>
      </c>
      <c r="N129">
        <v>15</v>
      </c>
    </row>
    <row r="130" spans="1:14" ht="15" customHeight="1" x14ac:dyDescent="0.2">
      <c r="A130" t="s">
        <v>39</v>
      </c>
      <c r="B130" s="18">
        <v>0</v>
      </c>
      <c r="C130" s="18">
        <v>0</v>
      </c>
      <c r="D130" s="18">
        <v>1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9">
        <f t="shared" si="4"/>
        <v>0</v>
      </c>
      <c r="K130" s="19">
        <f t="shared" si="5"/>
        <v>0</v>
      </c>
      <c r="L130" s="19">
        <f t="shared" si="6"/>
        <v>1</v>
      </c>
      <c r="M130" s="19">
        <f t="shared" si="7"/>
        <v>0</v>
      </c>
      <c r="N130">
        <v>15</v>
      </c>
    </row>
    <row r="131" spans="1:14" ht="15" customHeight="1" x14ac:dyDescent="0.2">
      <c r="A131" t="s">
        <v>40</v>
      </c>
      <c r="B131" s="18">
        <v>0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9">
        <f t="shared" si="4"/>
        <v>0</v>
      </c>
      <c r="K131" s="19">
        <f t="shared" si="5"/>
        <v>0</v>
      </c>
      <c r="L131" s="19">
        <f t="shared" si="6"/>
        <v>0</v>
      </c>
      <c r="M131" s="19">
        <f t="shared" si="7"/>
        <v>0</v>
      </c>
      <c r="N131">
        <v>15</v>
      </c>
    </row>
    <row r="132" spans="1:14" ht="15" customHeight="1" x14ac:dyDescent="0.2">
      <c r="A132" t="s">
        <v>41</v>
      </c>
      <c r="B132" s="18">
        <v>0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9">
        <f t="shared" si="4"/>
        <v>0</v>
      </c>
      <c r="K132" s="19">
        <f t="shared" si="5"/>
        <v>0</v>
      </c>
      <c r="L132" s="19">
        <f t="shared" si="6"/>
        <v>0</v>
      </c>
      <c r="M132" s="19">
        <f t="shared" si="7"/>
        <v>0</v>
      </c>
      <c r="N132">
        <v>15</v>
      </c>
    </row>
    <row r="133" spans="1:14" ht="15" customHeight="1" x14ac:dyDescent="0.2">
      <c r="A133" t="s">
        <v>42</v>
      </c>
      <c r="B133" s="18">
        <v>0</v>
      </c>
      <c r="C133" s="18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18">
        <v>1</v>
      </c>
      <c r="J133" s="19">
        <f t="shared" si="4"/>
        <v>0</v>
      </c>
      <c r="K133" s="19">
        <f t="shared" si="5"/>
        <v>1</v>
      </c>
      <c r="L133" s="19">
        <f t="shared" si="6"/>
        <v>0</v>
      </c>
      <c r="M133" s="19">
        <f t="shared" si="7"/>
        <v>0</v>
      </c>
      <c r="N133">
        <v>15</v>
      </c>
    </row>
    <row r="134" spans="1:14" ht="15" customHeight="1" x14ac:dyDescent="0.2">
      <c r="A134" t="s">
        <v>43</v>
      </c>
      <c r="B134" s="18">
        <v>0</v>
      </c>
      <c r="C134" s="18">
        <v>0</v>
      </c>
      <c r="D134" s="18">
        <v>1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9">
        <f t="shared" si="4"/>
        <v>0</v>
      </c>
      <c r="K134" s="19">
        <f t="shared" si="5"/>
        <v>0</v>
      </c>
      <c r="L134" s="19">
        <f t="shared" si="6"/>
        <v>1</v>
      </c>
      <c r="M134" s="19">
        <f t="shared" si="7"/>
        <v>0</v>
      </c>
      <c r="N134">
        <v>15</v>
      </c>
    </row>
    <row r="135" spans="1:14" ht="15" customHeight="1" x14ac:dyDescent="0.2">
      <c r="A135" t="s">
        <v>44</v>
      </c>
      <c r="B135" s="18">
        <v>0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  <c r="N135">
        <v>15</v>
      </c>
    </row>
    <row r="136" spans="1:14" ht="15" customHeight="1" x14ac:dyDescent="0.2">
      <c r="A136" t="s">
        <v>45</v>
      </c>
      <c r="B136" s="18">
        <v>0</v>
      </c>
      <c r="C136" s="18">
        <v>0</v>
      </c>
      <c r="D136" s="18">
        <v>0</v>
      </c>
      <c r="E136" s="18">
        <v>0</v>
      </c>
      <c r="F136" s="18">
        <v>0</v>
      </c>
      <c r="G136" s="18">
        <v>1</v>
      </c>
      <c r="H136" s="18">
        <v>0</v>
      </c>
      <c r="I136" s="18">
        <v>0</v>
      </c>
      <c r="J136" s="19">
        <f t="shared" si="4"/>
        <v>0</v>
      </c>
      <c r="K136" s="19">
        <f t="shared" si="5"/>
        <v>0</v>
      </c>
      <c r="L136" s="19">
        <f t="shared" si="6"/>
        <v>0</v>
      </c>
      <c r="M136" s="19">
        <f t="shared" si="7"/>
        <v>0</v>
      </c>
      <c r="N136">
        <v>15</v>
      </c>
    </row>
    <row r="137" spans="1:14" ht="15" customHeight="1" x14ac:dyDescent="0.2">
      <c r="A137" t="s">
        <v>46</v>
      </c>
      <c r="B137" s="18">
        <v>0</v>
      </c>
      <c r="C137" s="18">
        <v>0</v>
      </c>
      <c r="D137" s="18">
        <v>1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9">
        <f t="shared" si="4"/>
        <v>1</v>
      </c>
      <c r="K137" s="19">
        <f t="shared" si="5"/>
        <v>0</v>
      </c>
      <c r="L137" s="19">
        <f t="shared" si="6"/>
        <v>1</v>
      </c>
      <c r="M137" s="19">
        <f t="shared" si="7"/>
        <v>0</v>
      </c>
      <c r="N137">
        <v>15</v>
      </c>
    </row>
    <row r="138" spans="1:14" ht="15" customHeight="1" x14ac:dyDescent="0.2">
      <c r="A138" t="s">
        <v>47</v>
      </c>
      <c r="B138" s="18">
        <v>0</v>
      </c>
      <c r="C138" s="18">
        <v>0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9">
        <f t="shared" si="4"/>
        <v>0</v>
      </c>
      <c r="K138" s="19">
        <f t="shared" si="5"/>
        <v>0</v>
      </c>
      <c r="L138" s="19">
        <f t="shared" si="6"/>
        <v>0</v>
      </c>
      <c r="M138" s="19">
        <f t="shared" si="7"/>
        <v>0</v>
      </c>
      <c r="N138">
        <v>15</v>
      </c>
    </row>
    <row r="139" spans="1:14" ht="15" customHeight="1" x14ac:dyDescent="0.2">
      <c r="A139" t="s">
        <v>48</v>
      </c>
      <c r="B139" s="18">
        <v>0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9">
        <f t="shared" ref="J139:J201" si="8">SUM(E138,G138)</f>
        <v>0</v>
      </c>
      <c r="K139" s="19">
        <f t="shared" ref="K139:K201" si="9">SUM(C139,I139)</f>
        <v>0</v>
      </c>
      <c r="L139" s="19">
        <f t="shared" ref="L139:L201" si="10">SUM(D139,F139)</f>
        <v>0</v>
      </c>
      <c r="M139" s="19">
        <f t="shared" ref="M139:M201" si="11">SUM(B139,H139)</f>
        <v>0</v>
      </c>
      <c r="N139">
        <v>15</v>
      </c>
    </row>
    <row r="140" spans="1:14" ht="15" customHeight="1" x14ac:dyDescent="0.2">
      <c r="A140" t="s">
        <v>49</v>
      </c>
      <c r="B140" s="18">
        <v>0</v>
      </c>
      <c r="C140" s="18">
        <v>0</v>
      </c>
      <c r="D140" s="18">
        <v>0</v>
      </c>
      <c r="E140" s="18">
        <v>0</v>
      </c>
      <c r="F140" s="18">
        <v>0</v>
      </c>
      <c r="G140" s="18">
        <v>1</v>
      </c>
      <c r="H140" s="18">
        <v>0</v>
      </c>
      <c r="I140" s="18">
        <v>0</v>
      </c>
      <c r="J140" s="19">
        <f t="shared" si="8"/>
        <v>0</v>
      </c>
      <c r="K140" s="19">
        <f t="shared" si="9"/>
        <v>0</v>
      </c>
      <c r="L140" s="19">
        <f t="shared" si="10"/>
        <v>0</v>
      </c>
      <c r="M140" s="19">
        <f t="shared" si="11"/>
        <v>0</v>
      </c>
      <c r="N140">
        <v>15</v>
      </c>
    </row>
    <row r="141" spans="1:14" ht="15" customHeight="1" x14ac:dyDescent="0.2">
      <c r="A141" t="s">
        <v>50</v>
      </c>
      <c r="B141" s="18">
        <v>0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9">
        <f t="shared" si="8"/>
        <v>1</v>
      </c>
      <c r="K141" s="19">
        <f t="shared" si="9"/>
        <v>0</v>
      </c>
      <c r="L141" s="19">
        <f t="shared" si="10"/>
        <v>0</v>
      </c>
      <c r="M141" s="19">
        <f t="shared" si="11"/>
        <v>0</v>
      </c>
      <c r="N141">
        <v>15</v>
      </c>
    </row>
    <row r="142" spans="1:14" ht="15" customHeight="1" x14ac:dyDescent="0.2">
      <c r="A142" t="s">
        <v>51</v>
      </c>
      <c r="B142" s="18">
        <v>0</v>
      </c>
      <c r="C142" s="18">
        <v>0</v>
      </c>
      <c r="D142" s="18">
        <v>1</v>
      </c>
      <c r="E142" s="18">
        <v>1</v>
      </c>
      <c r="F142" s="18">
        <v>0</v>
      </c>
      <c r="G142" s="18">
        <v>0</v>
      </c>
      <c r="H142" s="18">
        <v>0</v>
      </c>
      <c r="I142" s="18">
        <v>0</v>
      </c>
      <c r="J142" s="19">
        <f t="shared" si="8"/>
        <v>0</v>
      </c>
      <c r="K142" s="19">
        <f t="shared" si="9"/>
        <v>0</v>
      </c>
      <c r="L142" s="19">
        <f t="shared" si="10"/>
        <v>1</v>
      </c>
      <c r="M142" s="19">
        <f t="shared" si="11"/>
        <v>0</v>
      </c>
      <c r="N142">
        <v>15</v>
      </c>
    </row>
    <row r="143" spans="1:14" ht="15" customHeight="1" x14ac:dyDescent="0.2">
      <c r="A143" t="s">
        <v>52</v>
      </c>
      <c r="B143" s="18">
        <v>0</v>
      </c>
      <c r="C143" s="18">
        <v>0</v>
      </c>
      <c r="D143" s="18">
        <v>0</v>
      </c>
      <c r="E143" s="18">
        <v>0</v>
      </c>
      <c r="F143" s="18">
        <v>1</v>
      </c>
      <c r="G143" s="18">
        <v>0</v>
      </c>
      <c r="H143" s="18">
        <v>0</v>
      </c>
      <c r="I143" s="18">
        <v>0</v>
      </c>
      <c r="J143" s="19">
        <f t="shared" si="8"/>
        <v>1</v>
      </c>
      <c r="K143" s="19">
        <f t="shared" si="9"/>
        <v>0</v>
      </c>
      <c r="L143" s="19">
        <f t="shared" si="10"/>
        <v>1</v>
      </c>
      <c r="M143" s="19">
        <f t="shared" si="11"/>
        <v>0</v>
      </c>
      <c r="N143">
        <v>15</v>
      </c>
    </row>
    <row r="144" spans="1:14" ht="15" customHeight="1" x14ac:dyDescent="0.2">
      <c r="A144" t="s">
        <v>53</v>
      </c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1</v>
      </c>
      <c r="J144" s="19">
        <f t="shared" si="8"/>
        <v>0</v>
      </c>
      <c r="K144" s="19">
        <f t="shared" si="9"/>
        <v>1</v>
      </c>
      <c r="L144" s="19">
        <f t="shared" si="10"/>
        <v>0</v>
      </c>
      <c r="M144" s="19">
        <f t="shared" si="11"/>
        <v>0</v>
      </c>
      <c r="N144">
        <v>15</v>
      </c>
    </row>
    <row r="145" spans="1:14" ht="15" customHeight="1" x14ac:dyDescent="0.2">
      <c r="A145" t="s">
        <v>54</v>
      </c>
      <c r="B145" s="18">
        <v>0</v>
      </c>
      <c r="C145" s="18">
        <v>0</v>
      </c>
      <c r="D145" s="18">
        <v>0</v>
      </c>
      <c r="E145" s="18">
        <v>0</v>
      </c>
      <c r="F145" s="18">
        <v>0</v>
      </c>
      <c r="G145" s="18">
        <v>1</v>
      </c>
      <c r="H145" s="18">
        <v>0</v>
      </c>
      <c r="I145" s="18">
        <v>0</v>
      </c>
      <c r="J145" s="19">
        <f t="shared" si="8"/>
        <v>0</v>
      </c>
      <c r="K145" s="19">
        <f t="shared" si="9"/>
        <v>0</v>
      </c>
      <c r="L145" s="19">
        <f t="shared" si="10"/>
        <v>0</v>
      </c>
      <c r="M145" s="19">
        <f t="shared" si="11"/>
        <v>0</v>
      </c>
      <c r="N145">
        <v>15</v>
      </c>
    </row>
    <row r="146" spans="1:14" ht="15" customHeight="1" x14ac:dyDescent="0.2">
      <c r="A146" t="s">
        <v>55</v>
      </c>
      <c r="B146" s="18">
        <v>0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9">
        <f t="shared" si="8"/>
        <v>1</v>
      </c>
      <c r="K146" s="19">
        <f t="shared" si="9"/>
        <v>0</v>
      </c>
      <c r="L146" s="19">
        <f t="shared" si="10"/>
        <v>0</v>
      </c>
      <c r="M146" s="19">
        <f t="shared" si="11"/>
        <v>0</v>
      </c>
      <c r="N146">
        <v>15</v>
      </c>
    </row>
    <row r="147" spans="1:14" ht="15" customHeight="1" x14ac:dyDescent="0.2">
      <c r="A147" t="s">
        <v>56</v>
      </c>
      <c r="B147" s="18">
        <v>0</v>
      </c>
      <c r="C147" s="18">
        <v>0</v>
      </c>
      <c r="D147" s="18">
        <v>0</v>
      </c>
      <c r="E147" s="18">
        <v>0</v>
      </c>
      <c r="F147" s="18">
        <v>0</v>
      </c>
      <c r="G147" s="18">
        <v>0</v>
      </c>
      <c r="H147" s="18">
        <v>0</v>
      </c>
      <c r="I147" s="18">
        <v>0</v>
      </c>
      <c r="J147" s="19">
        <f t="shared" si="8"/>
        <v>0</v>
      </c>
      <c r="K147" s="19">
        <f t="shared" si="9"/>
        <v>0</v>
      </c>
      <c r="L147" s="19">
        <f t="shared" si="10"/>
        <v>0</v>
      </c>
      <c r="M147" s="19">
        <f t="shared" si="11"/>
        <v>0</v>
      </c>
      <c r="N147">
        <v>15</v>
      </c>
    </row>
    <row r="148" spans="1:14" ht="15" customHeight="1" x14ac:dyDescent="0.2">
      <c r="A148" t="s">
        <v>57</v>
      </c>
      <c r="B148" s="18">
        <v>0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9">
        <f t="shared" si="8"/>
        <v>0</v>
      </c>
      <c r="K148" s="19">
        <f t="shared" si="9"/>
        <v>0</v>
      </c>
      <c r="L148" s="19">
        <f t="shared" si="10"/>
        <v>0</v>
      </c>
      <c r="M148" s="19">
        <f t="shared" si="11"/>
        <v>0</v>
      </c>
      <c r="N148">
        <v>15</v>
      </c>
    </row>
    <row r="149" spans="1:14" ht="15" customHeight="1" x14ac:dyDescent="0.2">
      <c r="A149" t="s">
        <v>58</v>
      </c>
      <c r="B149" s="18">
        <v>0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9">
        <f t="shared" si="8"/>
        <v>0</v>
      </c>
      <c r="K149" s="19">
        <f t="shared" si="9"/>
        <v>0</v>
      </c>
      <c r="L149" s="19">
        <f t="shared" si="10"/>
        <v>0</v>
      </c>
      <c r="M149" s="19">
        <f t="shared" si="11"/>
        <v>0</v>
      </c>
      <c r="N149">
        <v>15</v>
      </c>
    </row>
    <row r="150" spans="1:14" ht="15" customHeight="1" x14ac:dyDescent="0.2">
      <c r="A150" t="s">
        <v>59</v>
      </c>
      <c r="B150" s="18">
        <v>0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9">
        <f t="shared" si="8"/>
        <v>0</v>
      </c>
      <c r="K150" s="19">
        <f t="shared" si="9"/>
        <v>0</v>
      </c>
      <c r="L150" s="19">
        <f t="shared" si="10"/>
        <v>0</v>
      </c>
      <c r="M150" s="19">
        <f t="shared" si="11"/>
        <v>0</v>
      </c>
      <c r="N150">
        <v>15</v>
      </c>
    </row>
    <row r="151" spans="1:14" ht="15" customHeight="1" x14ac:dyDescent="0.2">
      <c r="A151" t="s">
        <v>60</v>
      </c>
      <c r="B151" s="18">
        <v>0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9">
        <f t="shared" si="8"/>
        <v>0</v>
      </c>
      <c r="K151" s="19">
        <f t="shared" si="9"/>
        <v>0</v>
      </c>
      <c r="L151" s="19">
        <f t="shared" si="10"/>
        <v>0</v>
      </c>
      <c r="M151" s="19">
        <f t="shared" si="11"/>
        <v>0</v>
      </c>
      <c r="N151">
        <v>15</v>
      </c>
    </row>
    <row r="152" spans="1:14" ht="15" customHeight="1" x14ac:dyDescent="0.2">
      <c r="A152" t="s">
        <v>61</v>
      </c>
      <c r="B152" s="18">
        <v>0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9">
        <f t="shared" si="8"/>
        <v>0</v>
      </c>
      <c r="K152" s="19">
        <f t="shared" si="9"/>
        <v>0</v>
      </c>
      <c r="L152" s="19">
        <f t="shared" si="10"/>
        <v>0</v>
      </c>
      <c r="M152" s="19">
        <f t="shared" si="11"/>
        <v>0</v>
      </c>
      <c r="N152">
        <v>15</v>
      </c>
    </row>
    <row r="153" spans="1:14" ht="15" customHeight="1" x14ac:dyDescent="0.2">
      <c r="A153" t="s">
        <v>62</v>
      </c>
      <c r="B153" s="18">
        <v>0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2</v>
      </c>
      <c r="J153" s="19">
        <f t="shared" si="8"/>
        <v>0</v>
      </c>
      <c r="K153" s="19">
        <f t="shared" si="9"/>
        <v>2</v>
      </c>
      <c r="L153" s="19">
        <f t="shared" si="10"/>
        <v>0</v>
      </c>
      <c r="M153" s="19">
        <f t="shared" si="11"/>
        <v>0</v>
      </c>
      <c r="N153">
        <v>15</v>
      </c>
    </row>
    <row r="154" spans="1:14" ht="15" customHeight="1" x14ac:dyDescent="0.2">
      <c r="A154" t="s">
        <v>63</v>
      </c>
      <c r="B154" s="18">
        <v>0</v>
      </c>
      <c r="C154" s="18">
        <v>0</v>
      </c>
      <c r="D154" s="18">
        <v>0</v>
      </c>
      <c r="E154" s="18">
        <v>0</v>
      </c>
      <c r="F154" s="18">
        <v>0</v>
      </c>
      <c r="G154" s="18">
        <v>1</v>
      </c>
      <c r="H154" s="18">
        <v>0</v>
      </c>
      <c r="I154" s="18">
        <v>2</v>
      </c>
      <c r="J154" s="19">
        <f t="shared" si="8"/>
        <v>0</v>
      </c>
      <c r="K154" s="19">
        <f t="shared" si="9"/>
        <v>2</v>
      </c>
      <c r="L154" s="19">
        <f t="shared" si="10"/>
        <v>0</v>
      </c>
      <c r="M154" s="19">
        <f t="shared" si="11"/>
        <v>0</v>
      </c>
      <c r="N154">
        <v>15</v>
      </c>
    </row>
    <row r="155" spans="1:14" ht="15" customHeight="1" x14ac:dyDescent="0.2">
      <c r="A155" t="s">
        <v>64</v>
      </c>
      <c r="B155" s="18">
        <v>0</v>
      </c>
      <c r="C155" s="18">
        <v>0</v>
      </c>
      <c r="D155" s="18">
        <v>0</v>
      </c>
      <c r="E155" s="18">
        <v>0</v>
      </c>
      <c r="F155" s="18">
        <v>2</v>
      </c>
      <c r="G155" s="18">
        <v>0</v>
      </c>
      <c r="H155" s="18">
        <v>0</v>
      </c>
      <c r="I155" s="18">
        <v>0</v>
      </c>
      <c r="J155" s="19">
        <f t="shared" si="8"/>
        <v>1</v>
      </c>
      <c r="K155" s="19">
        <f t="shared" si="9"/>
        <v>0</v>
      </c>
      <c r="L155" s="19">
        <f t="shared" si="10"/>
        <v>2</v>
      </c>
      <c r="M155" s="19">
        <f t="shared" si="11"/>
        <v>0</v>
      </c>
      <c r="N155">
        <v>15</v>
      </c>
    </row>
    <row r="156" spans="1:14" ht="15" customHeight="1" x14ac:dyDescent="0.2">
      <c r="A156" t="s">
        <v>65</v>
      </c>
      <c r="B156" s="18">
        <v>0</v>
      </c>
      <c r="C156" s="18">
        <v>0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9">
        <f t="shared" si="8"/>
        <v>0</v>
      </c>
      <c r="K156" s="19">
        <f t="shared" si="9"/>
        <v>0</v>
      </c>
      <c r="L156" s="19">
        <f t="shared" si="10"/>
        <v>0</v>
      </c>
      <c r="M156" s="19">
        <f t="shared" si="11"/>
        <v>0</v>
      </c>
      <c r="N156">
        <v>15</v>
      </c>
    </row>
    <row r="157" spans="1:14" ht="15" customHeight="1" x14ac:dyDescent="0.2">
      <c r="A157" t="s">
        <v>66</v>
      </c>
      <c r="B157" s="18">
        <v>0</v>
      </c>
      <c r="C157" s="18">
        <v>0</v>
      </c>
      <c r="D157" s="18">
        <v>0</v>
      </c>
      <c r="E157" s="18">
        <v>0</v>
      </c>
      <c r="F157" s="18">
        <v>0</v>
      </c>
      <c r="G157" s="18">
        <v>0</v>
      </c>
      <c r="H157" s="18">
        <v>0</v>
      </c>
      <c r="I157" s="18">
        <v>0</v>
      </c>
      <c r="J157" s="19">
        <f t="shared" si="8"/>
        <v>0</v>
      </c>
      <c r="K157" s="19">
        <f t="shared" si="9"/>
        <v>0</v>
      </c>
      <c r="L157" s="19">
        <f t="shared" si="10"/>
        <v>0</v>
      </c>
      <c r="M157" s="19">
        <f t="shared" si="11"/>
        <v>0</v>
      </c>
      <c r="N157">
        <v>15</v>
      </c>
    </row>
    <row r="158" spans="1:14" ht="15" customHeight="1" x14ac:dyDescent="0.2">
      <c r="A158" t="s">
        <v>67</v>
      </c>
      <c r="B158" s="18">
        <v>0</v>
      </c>
      <c r="C158" s="18">
        <v>0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1</v>
      </c>
      <c r="J158" s="19">
        <f t="shared" si="8"/>
        <v>0</v>
      </c>
      <c r="K158" s="19">
        <f t="shared" si="9"/>
        <v>1</v>
      </c>
      <c r="L158" s="19">
        <f t="shared" si="10"/>
        <v>0</v>
      </c>
      <c r="M158" s="19">
        <f t="shared" si="11"/>
        <v>0</v>
      </c>
      <c r="N158">
        <v>15</v>
      </c>
    </row>
    <row r="159" spans="1:14" ht="15" customHeight="1" x14ac:dyDescent="0.2">
      <c r="A159" t="s">
        <v>68</v>
      </c>
      <c r="B159" s="18">
        <v>0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9">
        <f t="shared" si="8"/>
        <v>0</v>
      </c>
      <c r="K159" s="19">
        <f t="shared" si="9"/>
        <v>0</v>
      </c>
      <c r="L159" s="19">
        <f t="shared" si="10"/>
        <v>0</v>
      </c>
      <c r="M159" s="19">
        <f t="shared" si="11"/>
        <v>0</v>
      </c>
      <c r="N159">
        <v>15</v>
      </c>
    </row>
    <row r="160" spans="1:14" ht="15" customHeight="1" x14ac:dyDescent="0.2">
      <c r="A160" t="s">
        <v>69</v>
      </c>
      <c r="B160" s="18">
        <v>0</v>
      </c>
      <c r="C160" s="18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  <c r="N160">
        <v>15</v>
      </c>
    </row>
    <row r="161" spans="1:14" ht="15" customHeight="1" x14ac:dyDescent="0.2">
      <c r="A161" t="s">
        <v>70</v>
      </c>
      <c r="B161" s="18">
        <v>0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9">
        <f t="shared" si="8"/>
        <v>0</v>
      </c>
      <c r="K161" s="19">
        <f t="shared" si="9"/>
        <v>0</v>
      </c>
      <c r="L161" s="19">
        <f t="shared" si="10"/>
        <v>0</v>
      </c>
      <c r="M161" s="19">
        <f t="shared" si="11"/>
        <v>0</v>
      </c>
      <c r="N161">
        <v>15</v>
      </c>
    </row>
    <row r="162" spans="1:14" ht="15" customHeight="1" x14ac:dyDescent="0.2">
      <c r="A162" t="s">
        <v>71</v>
      </c>
      <c r="B162" s="18">
        <v>0</v>
      </c>
      <c r="C162" s="18">
        <v>0</v>
      </c>
      <c r="D162" s="18">
        <v>0</v>
      </c>
      <c r="E162" s="18">
        <v>1</v>
      </c>
      <c r="F162" s="18">
        <v>0</v>
      </c>
      <c r="G162" s="18">
        <v>1</v>
      </c>
      <c r="H162" s="18">
        <v>0</v>
      </c>
      <c r="I162" s="18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  <c r="N162">
        <v>15</v>
      </c>
    </row>
    <row r="163" spans="1:14" ht="15" customHeight="1" x14ac:dyDescent="0.2">
      <c r="A163" t="s">
        <v>72</v>
      </c>
      <c r="B163" s="18">
        <v>0</v>
      </c>
      <c r="C163" s="18">
        <v>0</v>
      </c>
      <c r="D163" s="18">
        <v>0</v>
      </c>
      <c r="E163" s="18">
        <v>0</v>
      </c>
      <c r="F163" s="18">
        <v>1</v>
      </c>
      <c r="G163" s="18">
        <v>1</v>
      </c>
      <c r="H163" s="18">
        <v>0</v>
      </c>
      <c r="I163" s="18">
        <v>0</v>
      </c>
      <c r="J163" s="19">
        <f t="shared" si="8"/>
        <v>2</v>
      </c>
      <c r="K163" s="19">
        <f t="shared" si="9"/>
        <v>0</v>
      </c>
      <c r="L163" s="19">
        <f t="shared" si="10"/>
        <v>1</v>
      </c>
      <c r="M163" s="19">
        <f t="shared" si="11"/>
        <v>0</v>
      </c>
      <c r="N163">
        <v>15</v>
      </c>
    </row>
    <row r="164" spans="1:14" ht="15" customHeight="1" x14ac:dyDescent="0.2">
      <c r="A164" t="s">
        <v>73</v>
      </c>
      <c r="B164" s="18">
        <v>0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9">
        <f t="shared" si="8"/>
        <v>1</v>
      </c>
      <c r="K164" s="19">
        <f t="shared" si="9"/>
        <v>0</v>
      </c>
      <c r="L164" s="19">
        <f t="shared" si="10"/>
        <v>0</v>
      </c>
      <c r="M164" s="19">
        <f t="shared" si="11"/>
        <v>0</v>
      </c>
      <c r="N164">
        <v>15</v>
      </c>
    </row>
    <row r="165" spans="1:14" ht="15" customHeight="1" x14ac:dyDescent="0.2">
      <c r="A165" t="s">
        <v>74</v>
      </c>
      <c r="B165" s="18">
        <v>0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9">
        <f t="shared" si="8"/>
        <v>0</v>
      </c>
      <c r="K165" s="19">
        <f t="shared" si="9"/>
        <v>0</v>
      </c>
      <c r="L165" s="19">
        <f t="shared" si="10"/>
        <v>0</v>
      </c>
      <c r="M165" s="19">
        <f t="shared" si="11"/>
        <v>0</v>
      </c>
      <c r="N165">
        <v>15</v>
      </c>
    </row>
    <row r="166" spans="1:14" ht="15" customHeight="1" x14ac:dyDescent="0.2">
      <c r="A166" t="s">
        <v>75</v>
      </c>
      <c r="B166" s="18">
        <v>0</v>
      </c>
      <c r="C166" s="18">
        <v>0</v>
      </c>
      <c r="D166" s="18">
        <v>1</v>
      </c>
      <c r="E166" s="18">
        <v>0</v>
      </c>
      <c r="F166" s="18">
        <v>0</v>
      </c>
      <c r="G166" s="18">
        <v>0</v>
      </c>
      <c r="H166" s="18">
        <v>0</v>
      </c>
      <c r="I166" s="18">
        <v>1</v>
      </c>
      <c r="J166" s="19">
        <f t="shared" si="8"/>
        <v>0</v>
      </c>
      <c r="K166" s="19">
        <f t="shared" si="9"/>
        <v>1</v>
      </c>
      <c r="L166" s="19">
        <f t="shared" si="10"/>
        <v>1</v>
      </c>
      <c r="M166" s="19">
        <f t="shared" si="11"/>
        <v>0</v>
      </c>
      <c r="N166">
        <v>15</v>
      </c>
    </row>
    <row r="167" spans="1:14" ht="15" customHeight="1" x14ac:dyDescent="0.2">
      <c r="A167" t="s">
        <v>76</v>
      </c>
      <c r="B167" s="18">
        <v>0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9">
        <f t="shared" si="8"/>
        <v>0</v>
      </c>
      <c r="K167" s="19">
        <f t="shared" si="9"/>
        <v>0</v>
      </c>
      <c r="L167" s="19">
        <f t="shared" si="10"/>
        <v>0</v>
      </c>
      <c r="M167" s="19">
        <f t="shared" si="11"/>
        <v>0</v>
      </c>
      <c r="N167">
        <v>15</v>
      </c>
    </row>
    <row r="168" spans="1:14" ht="15" customHeight="1" x14ac:dyDescent="0.2">
      <c r="A168" t="s">
        <v>77</v>
      </c>
      <c r="B168" s="18">
        <v>0</v>
      </c>
      <c r="C168" s="18">
        <v>0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9">
        <f t="shared" si="8"/>
        <v>0</v>
      </c>
      <c r="K168" s="19">
        <f t="shared" si="9"/>
        <v>0</v>
      </c>
      <c r="L168" s="19">
        <f t="shared" si="10"/>
        <v>0</v>
      </c>
      <c r="M168" s="19">
        <f t="shared" si="11"/>
        <v>0</v>
      </c>
      <c r="N168">
        <v>15</v>
      </c>
    </row>
    <row r="169" spans="1:14" ht="15" customHeight="1" x14ac:dyDescent="0.2">
      <c r="A169" t="s">
        <v>78</v>
      </c>
      <c r="B169" s="18">
        <v>0</v>
      </c>
      <c r="C169" s="18">
        <v>0</v>
      </c>
      <c r="D169" s="18">
        <v>0</v>
      </c>
      <c r="E169" s="18">
        <v>0</v>
      </c>
      <c r="F169" s="18">
        <v>1</v>
      </c>
      <c r="G169" s="18">
        <v>0</v>
      </c>
      <c r="H169" s="18">
        <v>0</v>
      </c>
      <c r="I169" s="18">
        <v>0</v>
      </c>
      <c r="J169" s="19">
        <f t="shared" si="8"/>
        <v>0</v>
      </c>
      <c r="K169" s="19">
        <f t="shared" si="9"/>
        <v>0</v>
      </c>
      <c r="L169" s="19">
        <f t="shared" si="10"/>
        <v>1</v>
      </c>
      <c r="M169" s="19">
        <f t="shared" si="11"/>
        <v>0</v>
      </c>
      <c r="N169">
        <v>15</v>
      </c>
    </row>
    <row r="170" spans="1:14" ht="15" customHeight="1" x14ac:dyDescent="0.2">
      <c r="A170" t="s">
        <v>79</v>
      </c>
      <c r="B170" s="18">
        <v>0</v>
      </c>
      <c r="C170" s="18">
        <v>0</v>
      </c>
      <c r="D170" s="18">
        <v>1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9">
        <f t="shared" si="8"/>
        <v>0</v>
      </c>
      <c r="K170" s="19">
        <f t="shared" si="9"/>
        <v>0</v>
      </c>
      <c r="L170" s="19">
        <f t="shared" si="10"/>
        <v>1</v>
      </c>
      <c r="M170" s="19">
        <f t="shared" si="11"/>
        <v>0</v>
      </c>
      <c r="N170">
        <v>15</v>
      </c>
    </row>
    <row r="171" spans="1:14" ht="15" customHeight="1" x14ac:dyDescent="0.2">
      <c r="A171" t="s">
        <v>80</v>
      </c>
      <c r="B171" s="18">
        <v>0</v>
      </c>
      <c r="C171" s="18">
        <v>0</v>
      </c>
      <c r="D171" s="18">
        <v>1</v>
      </c>
      <c r="E171" s="18">
        <v>0</v>
      </c>
      <c r="F171" s="18">
        <v>0</v>
      </c>
      <c r="G171" s="18">
        <v>1</v>
      </c>
      <c r="H171" s="18">
        <v>0</v>
      </c>
      <c r="I171" s="18">
        <v>1</v>
      </c>
      <c r="J171" s="19">
        <f t="shared" si="8"/>
        <v>0</v>
      </c>
      <c r="K171" s="19">
        <f t="shared" si="9"/>
        <v>1</v>
      </c>
      <c r="L171" s="19">
        <f t="shared" si="10"/>
        <v>1</v>
      </c>
      <c r="M171" s="19">
        <f t="shared" si="11"/>
        <v>0</v>
      </c>
      <c r="N171">
        <v>15</v>
      </c>
    </row>
    <row r="172" spans="1:14" ht="15" customHeight="1" x14ac:dyDescent="0.2">
      <c r="A172" t="s">
        <v>81</v>
      </c>
      <c r="B172" s="18">
        <v>0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9">
        <f t="shared" si="8"/>
        <v>1</v>
      </c>
      <c r="K172" s="19">
        <f t="shared" si="9"/>
        <v>0</v>
      </c>
      <c r="L172" s="19">
        <f t="shared" si="10"/>
        <v>0</v>
      </c>
      <c r="M172" s="19">
        <f t="shared" si="11"/>
        <v>0</v>
      </c>
      <c r="N172">
        <v>15</v>
      </c>
    </row>
    <row r="173" spans="1:14" ht="15" customHeight="1" x14ac:dyDescent="0.2">
      <c r="A173" t="s">
        <v>82</v>
      </c>
      <c r="B173" s="18">
        <v>0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9">
        <f t="shared" si="8"/>
        <v>0</v>
      </c>
      <c r="K173" s="19">
        <f t="shared" si="9"/>
        <v>0</v>
      </c>
      <c r="L173" s="19">
        <f t="shared" si="10"/>
        <v>0</v>
      </c>
      <c r="M173" s="19">
        <f t="shared" si="11"/>
        <v>0</v>
      </c>
      <c r="N173">
        <v>15</v>
      </c>
    </row>
    <row r="174" spans="1:14" ht="15" customHeight="1" x14ac:dyDescent="0.2">
      <c r="A174" t="s">
        <v>83</v>
      </c>
      <c r="B174" s="18">
        <v>0</v>
      </c>
      <c r="C174" s="18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9">
        <f t="shared" si="8"/>
        <v>0</v>
      </c>
      <c r="K174" s="19">
        <f t="shared" si="9"/>
        <v>0</v>
      </c>
      <c r="L174" s="19">
        <f t="shared" si="10"/>
        <v>0</v>
      </c>
      <c r="M174" s="19">
        <f t="shared" si="11"/>
        <v>0</v>
      </c>
      <c r="N174">
        <v>15</v>
      </c>
    </row>
    <row r="175" spans="1:14" ht="15" customHeight="1" x14ac:dyDescent="0.2">
      <c r="A175" t="s">
        <v>84</v>
      </c>
      <c r="B175" s="18">
        <v>0</v>
      </c>
      <c r="C175" s="18">
        <v>0</v>
      </c>
      <c r="D175" s="18">
        <v>0</v>
      </c>
      <c r="E175" s="18">
        <v>1</v>
      </c>
      <c r="F175" s="18">
        <v>0</v>
      </c>
      <c r="G175" s="18">
        <v>0</v>
      </c>
      <c r="H175" s="18">
        <v>0</v>
      </c>
      <c r="I175" s="18">
        <v>1</v>
      </c>
      <c r="J175" s="19">
        <f t="shared" si="8"/>
        <v>0</v>
      </c>
      <c r="K175" s="19">
        <f t="shared" si="9"/>
        <v>1</v>
      </c>
      <c r="L175" s="19">
        <f t="shared" si="10"/>
        <v>0</v>
      </c>
      <c r="M175" s="19">
        <f t="shared" si="11"/>
        <v>0</v>
      </c>
      <c r="N175">
        <v>15</v>
      </c>
    </row>
    <row r="176" spans="1:14" ht="15" customHeight="1" x14ac:dyDescent="0.2">
      <c r="A176" t="s">
        <v>85</v>
      </c>
      <c r="B176" s="18">
        <v>0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9">
        <f t="shared" si="8"/>
        <v>1</v>
      </c>
      <c r="K176" s="19">
        <f t="shared" si="9"/>
        <v>0</v>
      </c>
      <c r="L176" s="19">
        <f t="shared" si="10"/>
        <v>0</v>
      </c>
      <c r="M176" s="19">
        <f t="shared" si="11"/>
        <v>0</v>
      </c>
      <c r="N176">
        <v>15</v>
      </c>
    </row>
    <row r="177" spans="1:14" ht="15" customHeight="1" x14ac:dyDescent="0.2">
      <c r="A177" t="s">
        <v>86</v>
      </c>
      <c r="B177" s="18">
        <v>0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9">
        <f t="shared" si="8"/>
        <v>0</v>
      </c>
      <c r="K177" s="19">
        <f t="shared" si="9"/>
        <v>0</v>
      </c>
      <c r="L177" s="19">
        <f t="shared" si="10"/>
        <v>0</v>
      </c>
      <c r="M177" s="19">
        <f t="shared" si="11"/>
        <v>0</v>
      </c>
      <c r="N177">
        <v>15</v>
      </c>
    </row>
    <row r="178" spans="1:14" ht="15" customHeight="1" x14ac:dyDescent="0.2">
      <c r="A178" t="s">
        <v>87</v>
      </c>
      <c r="B178" s="18">
        <v>0</v>
      </c>
      <c r="C178" s="18">
        <v>0</v>
      </c>
      <c r="D178" s="18">
        <v>0</v>
      </c>
      <c r="E178" s="18">
        <v>0</v>
      </c>
      <c r="F178" s="18">
        <v>1</v>
      </c>
      <c r="G178" s="18">
        <v>0</v>
      </c>
      <c r="H178" s="18">
        <v>0</v>
      </c>
      <c r="I178" s="18">
        <v>0</v>
      </c>
      <c r="J178" s="19">
        <f t="shared" si="8"/>
        <v>0</v>
      </c>
      <c r="K178" s="19">
        <f t="shared" si="9"/>
        <v>0</v>
      </c>
      <c r="L178" s="19">
        <f t="shared" si="10"/>
        <v>1</v>
      </c>
      <c r="M178" s="19">
        <f t="shared" si="11"/>
        <v>0</v>
      </c>
      <c r="N178">
        <v>15</v>
      </c>
    </row>
    <row r="179" spans="1:14" ht="15" customHeight="1" x14ac:dyDescent="0.2">
      <c r="A179" t="s">
        <v>88</v>
      </c>
      <c r="B179" s="18">
        <v>0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9">
        <f t="shared" si="8"/>
        <v>0</v>
      </c>
      <c r="K179" s="19">
        <f t="shared" si="9"/>
        <v>0</v>
      </c>
      <c r="L179" s="19">
        <f t="shared" si="10"/>
        <v>0</v>
      </c>
      <c r="M179" s="19">
        <f t="shared" si="11"/>
        <v>0</v>
      </c>
      <c r="N179">
        <v>15</v>
      </c>
    </row>
    <row r="180" spans="1:14" ht="15" customHeight="1" x14ac:dyDescent="0.2">
      <c r="A180" t="s">
        <v>89</v>
      </c>
      <c r="B180" s="18">
        <v>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9">
        <f t="shared" si="8"/>
        <v>0</v>
      </c>
      <c r="K180" s="19">
        <f t="shared" si="9"/>
        <v>0</v>
      </c>
      <c r="L180" s="19">
        <f t="shared" si="10"/>
        <v>0</v>
      </c>
      <c r="M180" s="19">
        <f t="shared" si="11"/>
        <v>0</v>
      </c>
      <c r="N180">
        <v>15</v>
      </c>
    </row>
    <row r="181" spans="1:14" ht="15" customHeight="1" x14ac:dyDescent="0.2">
      <c r="A181" t="s">
        <v>90</v>
      </c>
      <c r="B181" s="18">
        <v>0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9">
        <f t="shared" si="8"/>
        <v>0</v>
      </c>
      <c r="K181" s="19">
        <f t="shared" si="9"/>
        <v>0</v>
      </c>
      <c r="L181" s="19">
        <f t="shared" si="10"/>
        <v>0</v>
      </c>
      <c r="M181" s="19">
        <f t="shared" si="11"/>
        <v>0</v>
      </c>
      <c r="N181">
        <v>15</v>
      </c>
    </row>
    <row r="182" spans="1:14" ht="15" customHeight="1" x14ac:dyDescent="0.2">
      <c r="A182" t="s">
        <v>91</v>
      </c>
      <c r="B182" s="18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  <c r="N182">
        <v>15</v>
      </c>
    </row>
    <row r="183" spans="1:14" ht="15" customHeight="1" x14ac:dyDescent="0.2">
      <c r="A183" t="s">
        <v>92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  <c r="N183">
        <v>15</v>
      </c>
    </row>
    <row r="184" spans="1:14" ht="15" customHeight="1" x14ac:dyDescent="0.2">
      <c r="A184" t="s">
        <v>93</v>
      </c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9">
        <f t="shared" si="8"/>
        <v>0</v>
      </c>
      <c r="K184" s="19">
        <f t="shared" si="9"/>
        <v>0</v>
      </c>
      <c r="L184" s="19">
        <f t="shared" si="10"/>
        <v>0</v>
      </c>
      <c r="M184" s="19">
        <f t="shared" si="11"/>
        <v>0</v>
      </c>
      <c r="N184">
        <v>15</v>
      </c>
    </row>
    <row r="185" spans="1:14" ht="15" customHeight="1" x14ac:dyDescent="0.2">
      <c r="A185" t="s">
        <v>94</v>
      </c>
      <c r="B185" s="18">
        <v>0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9">
        <f t="shared" si="8"/>
        <v>0</v>
      </c>
      <c r="K185" s="19">
        <f t="shared" si="9"/>
        <v>0</v>
      </c>
      <c r="L185" s="19">
        <f t="shared" si="10"/>
        <v>0</v>
      </c>
      <c r="M185" s="19">
        <f t="shared" si="11"/>
        <v>0</v>
      </c>
      <c r="N185">
        <v>15</v>
      </c>
    </row>
    <row r="186" spans="1:14" ht="15" customHeight="1" x14ac:dyDescent="0.2">
      <c r="A186" t="s">
        <v>95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9">
        <f t="shared" si="8"/>
        <v>0</v>
      </c>
      <c r="K186" s="19">
        <f t="shared" si="9"/>
        <v>0</v>
      </c>
      <c r="L186" s="19">
        <f t="shared" si="10"/>
        <v>0</v>
      </c>
      <c r="M186" s="19">
        <f t="shared" si="11"/>
        <v>0</v>
      </c>
      <c r="N186">
        <v>15</v>
      </c>
    </row>
    <row r="187" spans="1:14" ht="15" customHeight="1" x14ac:dyDescent="0.2">
      <c r="A187" t="s">
        <v>96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G187" s="18">
        <v>1</v>
      </c>
      <c r="H187" s="18">
        <v>0</v>
      </c>
      <c r="I187" s="18">
        <v>0</v>
      </c>
      <c r="J187" s="19">
        <f t="shared" si="8"/>
        <v>0</v>
      </c>
      <c r="K187" s="19">
        <f t="shared" si="9"/>
        <v>0</v>
      </c>
      <c r="L187" s="19">
        <f t="shared" si="10"/>
        <v>0</v>
      </c>
      <c r="M187" s="19">
        <f t="shared" si="11"/>
        <v>0</v>
      </c>
      <c r="N187">
        <v>15</v>
      </c>
    </row>
    <row r="188" spans="1:14" ht="15" customHeight="1" x14ac:dyDescent="0.2">
      <c r="A188" t="s">
        <v>97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9">
        <f t="shared" si="8"/>
        <v>1</v>
      </c>
      <c r="K188" s="19">
        <f t="shared" si="9"/>
        <v>0</v>
      </c>
      <c r="L188" s="19">
        <f t="shared" si="10"/>
        <v>0</v>
      </c>
      <c r="M188" s="19">
        <f t="shared" si="11"/>
        <v>0</v>
      </c>
      <c r="N188">
        <v>15</v>
      </c>
    </row>
    <row r="189" spans="1:14" ht="15" customHeight="1" x14ac:dyDescent="0.2">
      <c r="A189" t="s">
        <v>98</v>
      </c>
      <c r="B189" s="18">
        <v>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9">
        <f t="shared" si="8"/>
        <v>0</v>
      </c>
      <c r="K189" s="19">
        <f t="shared" si="9"/>
        <v>0</v>
      </c>
      <c r="L189" s="19">
        <f t="shared" si="10"/>
        <v>0</v>
      </c>
      <c r="M189" s="19">
        <f t="shared" si="11"/>
        <v>0</v>
      </c>
      <c r="N189">
        <v>15</v>
      </c>
    </row>
    <row r="190" spans="1:14" ht="15" customHeight="1" x14ac:dyDescent="0.2">
      <c r="A190" t="s">
        <v>99</v>
      </c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9">
        <f t="shared" si="8"/>
        <v>0</v>
      </c>
      <c r="K190" s="19">
        <f t="shared" si="9"/>
        <v>0</v>
      </c>
      <c r="L190" s="19">
        <f t="shared" si="10"/>
        <v>0</v>
      </c>
      <c r="M190" s="19">
        <f t="shared" si="11"/>
        <v>0</v>
      </c>
      <c r="N190">
        <v>15</v>
      </c>
    </row>
    <row r="191" spans="1:14" ht="15" customHeight="1" x14ac:dyDescent="0.2">
      <c r="A191" t="s">
        <v>100</v>
      </c>
      <c r="B191" s="18">
        <v>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9">
        <f t="shared" si="8"/>
        <v>0</v>
      </c>
      <c r="K191" s="19">
        <f t="shared" si="9"/>
        <v>0</v>
      </c>
      <c r="L191" s="19">
        <f t="shared" si="10"/>
        <v>0</v>
      </c>
      <c r="M191" s="19">
        <f t="shared" si="11"/>
        <v>0</v>
      </c>
      <c r="N191">
        <v>15</v>
      </c>
    </row>
    <row r="192" spans="1:14" ht="15" customHeight="1" x14ac:dyDescent="0.2">
      <c r="A192" t="s">
        <v>101</v>
      </c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9">
        <f t="shared" si="8"/>
        <v>0</v>
      </c>
      <c r="K192" s="19">
        <f t="shared" si="9"/>
        <v>0</v>
      </c>
      <c r="L192" s="19">
        <f t="shared" si="10"/>
        <v>0</v>
      </c>
      <c r="M192" s="19">
        <f t="shared" si="11"/>
        <v>0</v>
      </c>
      <c r="N192">
        <v>15</v>
      </c>
    </row>
    <row r="193" spans="1:14" ht="15" customHeight="1" x14ac:dyDescent="0.2">
      <c r="A193" t="s">
        <v>102</v>
      </c>
      <c r="B193" s="18">
        <v>0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9">
        <f t="shared" si="8"/>
        <v>0</v>
      </c>
      <c r="K193" s="19">
        <f t="shared" si="9"/>
        <v>0</v>
      </c>
      <c r="L193" s="19">
        <f t="shared" si="10"/>
        <v>0</v>
      </c>
      <c r="M193" s="19">
        <f t="shared" si="11"/>
        <v>0</v>
      </c>
      <c r="N193">
        <v>15</v>
      </c>
    </row>
    <row r="194" spans="1:14" ht="15" customHeight="1" x14ac:dyDescent="0.2">
      <c r="A194" t="s">
        <v>103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9">
        <f t="shared" si="8"/>
        <v>0</v>
      </c>
      <c r="K194" s="19">
        <f t="shared" si="9"/>
        <v>0</v>
      </c>
      <c r="L194" s="19">
        <f t="shared" si="10"/>
        <v>0</v>
      </c>
      <c r="M194" s="19">
        <f t="shared" si="11"/>
        <v>0</v>
      </c>
      <c r="N194">
        <v>15</v>
      </c>
    </row>
    <row r="195" spans="1:14" ht="15" customHeight="1" x14ac:dyDescent="0.2">
      <c r="A195" t="s">
        <v>104</v>
      </c>
      <c r="B195" s="18">
        <v>0</v>
      </c>
      <c r="C195" s="18">
        <v>0</v>
      </c>
      <c r="D195" s="18">
        <v>0</v>
      </c>
      <c r="E195" s="18">
        <v>0</v>
      </c>
      <c r="F195" s="18">
        <v>1</v>
      </c>
      <c r="G195" s="18">
        <v>0</v>
      </c>
      <c r="H195" s="18">
        <v>0</v>
      </c>
      <c r="I195" s="18">
        <v>0</v>
      </c>
      <c r="J195" s="19">
        <f t="shared" si="8"/>
        <v>0</v>
      </c>
      <c r="K195" s="19">
        <f t="shared" si="9"/>
        <v>0</v>
      </c>
      <c r="L195" s="19">
        <f t="shared" si="10"/>
        <v>1</v>
      </c>
      <c r="M195" s="19">
        <f t="shared" si="11"/>
        <v>0</v>
      </c>
      <c r="N195">
        <v>15</v>
      </c>
    </row>
    <row r="196" spans="1:14" ht="15" customHeight="1" x14ac:dyDescent="0.2">
      <c r="A196" t="s">
        <v>105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  <c r="N196">
        <v>15</v>
      </c>
    </row>
    <row r="197" spans="1:14" ht="15" customHeight="1" x14ac:dyDescent="0.2">
      <c r="A197" t="s">
        <v>106</v>
      </c>
      <c r="B197" s="18">
        <v>0</v>
      </c>
      <c r="C197" s="18">
        <v>0</v>
      </c>
      <c r="D197" s="18">
        <v>0</v>
      </c>
      <c r="E197" s="18">
        <v>0</v>
      </c>
      <c r="F197" s="18">
        <v>1</v>
      </c>
      <c r="G197" s="18">
        <v>0</v>
      </c>
      <c r="H197" s="18">
        <v>0</v>
      </c>
      <c r="I197" s="18">
        <v>0</v>
      </c>
      <c r="J197" s="19">
        <f t="shared" si="8"/>
        <v>0</v>
      </c>
      <c r="K197" s="19">
        <f t="shared" si="9"/>
        <v>0</v>
      </c>
      <c r="L197" s="19">
        <f t="shared" si="10"/>
        <v>1</v>
      </c>
      <c r="M197" s="19">
        <f t="shared" si="11"/>
        <v>0</v>
      </c>
      <c r="N197">
        <v>15</v>
      </c>
    </row>
    <row r="198" spans="1:14" ht="15" customHeight="1" x14ac:dyDescent="0.2">
      <c r="A198" t="s">
        <v>107</v>
      </c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0</v>
      </c>
      <c r="J198" s="19">
        <f t="shared" si="8"/>
        <v>0</v>
      </c>
      <c r="K198" s="19">
        <f t="shared" si="9"/>
        <v>0</v>
      </c>
      <c r="L198" s="19">
        <f t="shared" si="10"/>
        <v>0</v>
      </c>
      <c r="M198" s="19">
        <f t="shared" si="11"/>
        <v>0</v>
      </c>
      <c r="N198">
        <v>15</v>
      </c>
    </row>
    <row r="199" spans="1:14" ht="15" customHeight="1" x14ac:dyDescent="0.2">
      <c r="A199" t="s">
        <v>108</v>
      </c>
      <c r="B199" s="18">
        <v>0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  <c r="N199">
        <v>15</v>
      </c>
    </row>
    <row r="200" spans="1:14" ht="15" customHeight="1" x14ac:dyDescent="0.2">
      <c r="A200" t="s">
        <v>109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9">
        <f t="shared" si="8"/>
        <v>0</v>
      </c>
      <c r="K200" s="19">
        <f t="shared" si="9"/>
        <v>0</v>
      </c>
      <c r="L200" s="19">
        <f t="shared" si="10"/>
        <v>0</v>
      </c>
      <c r="M200" s="19">
        <f t="shared" si="11"/>
        <v>0</v>
      </c>
      <c r="N200">
        <v>15</v>
      </c>
    </row>
    <row r="201" spans="1:14" ht="15" customHeight="1" x14ac:dyDescent="0.2">
      <c r="A201" t="s">
        <v>110</v>
      </c>
      <c r="B201" s="18">
        <v>0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9">
        <f t="shared" si="8"/>
        <v>0</v>
      </c>
      <c r="K201" s="19">
        <f t="shared" si="9"/>
        <v>0</v>
      </c>
      <c r="L201" s="19">
        <f t="shared" si="10"/>
        <v>0</v>
      </c>
      <c r="M201" s="19">
        <f t="shared" si="11"/>
        <v>0</v>
      </c>
      <c r="N201">
        <v>15</v>
      </c>
    </row>
    <row r="202" spans="1:14" ht="15" customHeight="1" x14ac:dyDescent="0.2">
      <c r="B202" s="19">
        <f t="shared" ref="B202:N202" si="12">SUM(B10:B201)</f>
        <v>0</v>
      </c>
      <c r="C202" s="19">
        <f t="shared" si="12"/>
        <v>4</v>
      </c>
      <c r="D202" s="19">
        <f t="shared" si="12"/>
        <v>16</v>
      </c>
      <c r="E202" s="19">
        <f t="shared" si="12"/>
        <v>5</v>
      </c>
      <c r="F202" s="19">
        <f t="shared" si="12"/>
        <v>17</v>
      </c>
      <c r="G202" s="19">
        <f t="shared" si="12"/>
        <v>19</v>
      </c>
      <c r="H202" s="19">
        <f t="shared" si="12"/>
        <v>0</v>
      </c>
      <c r="I202" s="19">
        <f t="shared" si="12"/>
        <v>18</v>
      </c>
      <c r="J202" s="20">
        <f t="shared" si="12"/>
        <v>24</v>
      </c>
      <c r="K202" s="20">
        <f t="shared" si="12"/>
        <v>22</v>
      </c>
      <c r="L202" s="20">
        <f t="shared" si="12"/>
        <v>33</v>
      </c>
      <c r="M202" s="20">
        <f t="shared" si="12"/>
        <v>0</v>
      </c>
      <c r="N202" s="80">
        <f t="shared" si="12"/>
        <v>2880</v>
      </c>
    </row>
    <row r="204" spans="1:14" ht="15" customHeight="1" x14ac:dyDescent="0.2">
      <c r="K204" s="88" t="s">
        <v>212</v>
      </c>
      <c r="L204" s="6">
        <f>SUM(L36:L89,L132:L185)</f>
        <v>25</v>
      </c>
      <c r="N204" s="28">
        <f>SUM(N36:N89,N132:N185)/60</f>
        <v>27</v>
      </c>
    </row>
    <row r="205" spans="1:14" ht="15" customHeight="1" x14ac:dyDescent="0.2">
      <c r="K205" s="88" t="s">
        <v>213</v>
      </c>
      <c r="L205" s="6">
        <f>L202-L204</f>
        <v>8</v>
      </c>
      <c r="N205" s="28">
        <f>48-N204</f>
        <v>21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G199" sqref="G199"/>
    </sheetView>
  </sheetViews>
  <sheetFormatPr defaultColWidth="12.140625" defaultRowHeight="15" customHeight="1" x14ac:dyDescent="0.2"/>
  <cols>
    <col min="1" max="1" width="12.140625" bestFit="1" customWidth="1"/>
    <col min="2" max="2" width="10.42578125" customWidth="1"/>
    <col min="3" max="3" width="10.42578125" style="45" customWidth="1"/>
    <col min="4" max="4" width="9.85546875" customWidth="1"/>
    <col min="5" max="5" width="10.85546875" customWidth="1"/>
    <col min="6" max="7" width="10.42578125" customWidth="1"/>
    <col min="8" max="8" width="9.85546875" customWidth="1"/>
    <col min="9" max="9" width="9.85546875" style="45" customWidth="1"/>
    <col min="10" max="10" width="9.85546875" customWidth="1"/>
    <col min="11" max="11" width="9.5703125" customWidth="1"/>
    <col min="12" max="12" width="10.7109375" customWidth="1"/>
    <col min="13" max="13" width="10.140625" customWidth="1"/>
  </cols>
  <sheetData>
    <row r="1" spans="1:13" ht="15" customHeight="1" x14ac:dyDescent="0.3">
      <c r="A1" s="111" t="s">
        <v>0</v>
      </c>
      <c r="B1" s="111"/>
      <c r="C1" s="112" t="s">
        <v>152</v>
      </c>
      <c r="D1" s="112"/>
      <c r="E1" s="112"/>
      <c r="F1" s="112"/>
    </row>
    <row r="2" spans="1:13" ht="15" customHeight="1" x14ac:dyDescent="0.3">
      <c r="A2" s="111" t="s">
        <v>2</v>
      </c>
      <c r="B2" s="111"/>
      <c r="C2" s="112" t="s">
        <v>147</v>
      </c>
      <c r="D2" s="112"/>
      <c r="E2" s="112"/>
      <c r="F2" s="112"/>
    </row>
    <row r="3" spans="1:13" ht="15" customHeight="1" x14ac:dyDescent="0.3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3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33" customHeight="1" x14ac:dyDescent="0.3">
      <c r="A7" s="2" t="s">
        <v>8</v>
      </c>
      <c r="B7" s="3" t="s">
        <v>134</v>
      </c>
      <c r="C7" s="43" t="s">
        <v>136</v>
      </c>
      <c r="D7" s="3" t="s">
        <v>134</v>
      </c>
      <c r="E7" s="3" t="s">
        <v>136</v>
      </c>
      <c r="F7" s="3" t="s">
        <v>133</v>
      </c>
      <c r="G7" s="3" t="s">
        <v>135</v>
      </c>
      <c r="H7" s="3" t="s">
        <v>133</v>
      </c>
      <c r="I7" s="43" t="s">
        <v>135</v>
      </c>
    </row>
    <row r="8" spans="1:13" s="1" customFormat="1" ht="15" customHeight="1" x14ac:dyDescent="0.3">
      <c r="A8" s="2" t="s">
        <v>13</v>
      </c>
      <c r="B8" s="4" t="s">
        <v>128</v>
      </c>
      <c r="C8" s="44" t="s">
        <v>128</v>
      </c>
      <c r="D8" s="4" t="s">
        <v>129</v>
      </c>
      <c r="E8" s="4" t="s">
        <v>129</v>
      </c>
      <c r="F8" s="4" t="s">
        <v>128</v>
      </c>
      <c r="G8" s="4" t="s">
        <v>128</v>
      </c>
      <c r="H8" s="4" t="s">
        <v>129</v>
      </c>
      <c r="I8" s="44" t="s">
        <v>129</v>
      </c>
    </row>
    <row r="9" spans="1:13" s="1" customFormat="1" ht="30" customHeight="1" x14ac:dyDescent="0.2">
      <c r="B9" s="17" t="s">
        <v>113</v>
      </c>
      <c r="C9" s="55" t="s">
        <v>114</v>
      </c>
      <c r="D9" s="17" t="s">
        <v>111</v>
      </c>
      <c r="E9" s="16" t="s">
        <v>112</v>
      </c>
      <c r="F9" s="17" t="s">
        <v>111</v>
      </c>
      <c r="G9" s="16" t="s">
        <v>112</v>
      </c>
      <c r="H9" s="17" t="s">
        <v>113</v>
      </c>
      <c r="I9" s="55" t="s">
        <v>114</v>
      </c>
      <c r="J9" s="17" t="s">
        <v>113</v>
      </c>
      <c r="K9" s="17" t="s">
        <v>111</v>
      </c>
      <c r="L9" s="16" t="s">
        <v>114</v>
      </c>
      <c r="M9" s="16" t="s">
        <v>112</v>
      </c>
    </row>
    <row r="10" spans="1:13" ht="15" customHeight="1" x14ac:dyDescent="0.2">
      <c r="A10" t="s">
        <v>5</v>
      </c>
      <c r="B10" s="18">
        <v>0</v>
      </c>
      <c r="C10" s="59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59">
        <v>0</v>
      </c>
      <c r="J10" s="19">
        <f>SUM(B10,H10)</f>
        <v>0</v>
      </c>
      <c r="K10" s="19">
        <f>SUM(D10,F10)</f>
        <v>0</v>
      </c>
      <c r="L10" s="19">
        <f>SUM(C10,I10)</f>
        <v>0</v>
      </c>
      <c r="M10" s="19">
        <f>SUM(E10,G10)</f>
        <v>0</v>
      </c>
    </row>
    <row r="11" spans="1:13" ht="15" customHeight="1" x14ac:dyDescent="0.2">
      <c r="A11" t="s">
        <v>16</v>
      </c>
      <c r="B11" s="18">
        <v>0</v>
      </c>
      <c r="C11" s="59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59">
        <v>0</v>
      </c>
      <c r="J11" s="19">
        <f t="shared" ref="J11:J74" si="0">SUM(B11,H11)</f>
        <v>0</v>
      </c>
      <c r="K11" s="19">
        <f t="shared" ref="K11:K74" si="1">SUM(D11,F11)</f>
        <v>0</v>
      </c>
      <c r="L11" s="19">
        <f t="shared" ref="L11:L74" si="2">SUM(C11,I11)</f>
        <v>0</v>
      </c>
      <c r="M11" s="19">
        <f t="shared" ref="M11:M74" si="3">SUM(E11,G11)</f>
        <v>0</v>
      </c>
    </row>
    <row r="12" spans="1:13" ht="15" customHeight="1" x14ac:dyDescent="0.2">
      <c r="A12" t="s">
        <v>17</v>
      </c>
      <c r="B12" s="18">
        <v>0</v>
      </c>
      <c r="C12" s="59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59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">
      <c r="A13" t="s">
        <v>18</v>
      </c>
      <c r="B13" s="18">
        <v>0</v>
      </c>
      <c r="C13" s="59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59">
        <v>0</v>
      </c>
      <c r="J13" s="19">
        <f t="shared" si="0"/>
        <v>0</v>
      </c>
      <c r="K13" s="19">
        <f t="shared" si="1"/>
        <v>0</v>
      </c>
      <c r="L13" s="19">
        <f t="shared" si="2"/>
        <v>0</v>
      </c>
      <c r="M13" s="19">
        <f t="shared" si="3"/>
        <v>0</v>
      </c>
    </row>
    <row r="14" spans="1:13" ht="15" customHeight="1" x14ac:dyDescent="0.2">
      <c r="A14" t="s">
        <v>19</v>
      </c>
      <c r="B14" s="18">
        <v>0</v>
      </c>
      <c r="C14" s="59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59">
        <v>0</v>
      </c>
      <c r="J14" s="19">
        <f t="shared" si="0"/>
        <v>0</v>
      </c>
      <c r="K14" s="19">
        <f t="shared" si="1"/>
        <v>0</v>
      </c>
      <c r="L14" s="19">
        <f t="shared" si="2"/>
        <v>0</v>
      </c>
      <c r="M14" s="19">
        <f t="shared" si="3"/>
        <v>0</v>
      </c>
    </row>
    <row r="15" spans="1:13" ht="15" customHeight="1" x14ac:dyDescent="0.2">
      <c r="A15" t="s">
        <v>20</v>
      </c>
      <c r="B15" s="18">
        <v>0</v>
      </c>
      <c r="C15" s="59">
        <v>0</v>
      </c>
      <c r="D15" s="18">
        <v>0</v>
      </c>
      <c r="E15" s="18">
        <v>0</v>
      </c>
      <c r="F15" s="18">
        <v>0</v>
      </c>
      <c r="G15" s="18">
        <v>0</v>
      </c>
      <c r="H15" s="18">
        <v>1</v>
      </c>
      <c r="I15" s="59">
        <v>0</v>
      </c>
      <c r="J15" s="19">
        <f t="shared" si="0"/>
        <v>1</v>
      </c>
      <c r="K15" s="19">
        <f t="shared" si="1"/>
        <v>0</v>
      </c>
      <c r="L15" s="19">
        <f t="shared" si="2"/>
        <v>0</v>
      </c>
      <c r="M15" s="19">
        <f t="shared" si="3"/>
        <v>0</v>
      </c>
    </row>
    <row r="16" spans="1:13" ht="15" customHeight="1" x14ac:dyDescent="0.2">
      <c r="A16" t="s">
        <v>21</v>
      </c>
      <c r="B16" s="18">
        <v>0</v>
      </c>
      <c r="C16" s="59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59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">
      <c r="A17" t="s">
        <v>22</v>
      </c>
      <c r="B17" s="18">
        <v>0</v>
      </c>
      <c r="C17" s="59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59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">
      <c r="A18" t="s">
        <v>23</v>
      </c>
      <c r="B18" s="18">
        <v>0</v>
      </c>
      <c r="C18" s="59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59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">
      <c r="A19" t="s">
        <v>24</v>
      </c>
      <c r="B19" s="18">
        <v>0</v>
      </c>
      <c r="C19" s="59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59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">
      <c r="A20" t="s">
        <v>25</v>
      </c>
      <c r="B20" s="18">
        <v>0</v>
      </c>
      <c r="C20" s="59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59">
        <v>0</v>
      </c>
      <c r="J20" s="19">
        <f t="shared" si="0"/>
        <v>0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">
      <c r="A21" t="s">
        <v>26</v>
      </c>
      <c r="B21" s="18">
        <v>0</v>
      </c>
      <c r="C21" s="59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59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">
      <c r="A22" t="s">
        <v>27</v>
      </c>
      <c r="B22" s="18">
        <v>0</v>
      </c>
      <c r="C22" s="59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59">
        <v>0</v>
      </c>
      <c r="J22" s="19">
        <f t="shared" si="0"/>
        <v>0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">
      <c r="A23" t="s">
        <v>28</v>
      </c>
      <c r="B23" s="18">
        <v>0</v>
      </c>
      <c r="C23" s="59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59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">
      <c r="A24" t="s">
        <v>29</v>
      </c>
      <c r="B24" s="18">
        <v>0</v>
      </c>
      <c r="C24" s="59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59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">
      <c r="A25" t="s">
        <v>30</v>
      </c>
      <c r="B25" s="18">
        <v>0</v>
      </c>
      <c r="C25" s="59">
        <v>0</v>
      </c>
      <c r="D25" s="18">
        <v>0</v>
      </c>
      <c r="E25" s="18">
        <v>0</v>
      </c>
      <c r="F25" s="18">
        <v>1</v>
      </c>
      <c r="G25" s="18">
        <v>0</v>
      </c>
      <c r="H25" s="18">
        <v>0</v>
      </c>
      <c r="I25" s="59">
        <v>0</v>
      </c>
      <c r="J25" s="19">
        <f t="shared" si="0"/>
        <v>0</v>
      </c>
      <c r="K25" s="19">
        <f t="shared" si="1"/>
        <v>1</v>
      </c>
      <c r="L25" s="19">
        <f t="shared" si="2"/>
        <v>0</v>
      </c>
      <c r="M25" s="19">
        <f t="shared" si="3"/>
        <v>0</v>
      </c>
    </row>
    <row r="26" spans="1:13" ht="15" customHeight="1" x14ac:dyDescent="0.2">
      <c r="A26" t="s">
        <v>31</v>
      </c>
      <c r="B26" s="18">
        <v>0</v>
      </c>
      <c r="C26" s="59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59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">
      <c r="A27" t="s">
        <v>32</v>
      </c>
      <c r="B27" s="18">
        <v>0</v>
      </c>
      <c r="C27" s="59">
        <v>0</v>
      </c>
      <c r="D27" s="18">
        <v>0</v>
      </c>
      <c r="E27" s="18">
        <v>0</v>
      </c>
      <c r="F27" s="18">
        <v>0</v>
      </c>
      <c r="G27" s="18">
        <v>0</v>
      </c>
      <c r="H27" s="18">
        <v>1</v>
      </c>
      <c r="I27" s="59">
        <v>0</v>
      </c>
      <c r="J27" s="19">
        <f t="shared" si="0"/>
        <v>1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">
      <c r="A28" t="s">
        <v>33</v>
      </c>
      <c r="B28" s="18">
        <v>0</v>
      </c>
      <c r="C28" s="59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59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">
      <c r="A29" t="s">
        <v>34</v>
      </c>
      <c r="B29" s="18">
        <v>0</v>
      </c>
      <c r="C29" s="59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59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">
      <c r="A30" t="s">
        <v>35</v>
      </c>
      <c r="B30" s="18">
        <v>1</v>
      </c>
      <c r="C30" s="59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59">
        <v>0</v>
      </c>
      <c r="J30" s="19">
        <f t="shared" si="0"/>
        <v>1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">
      <c r="A31" t="s">
        <v>36</v>
      </c>
      <c r="B31" s="18">
        <v>0</v>
      </c>
      <c r="C31" s="59">
        <v>0</v>
      </c>
      <c r="D31" s="18">
        <v>0</v>
      </c>
      <c r="E31" s="18">
        <v>0</v>
      </c>
      <c r="F31" s="18">
        <v>0</v>
      </c>
      <c r="G31" s="18">
        <v>1</v>
      </c>
      <c r="H31" s="18">
        <v>0</v>
      </c>
      <c r="I31" s="59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1</v>
      </c>
    </row>
    <row r="32" spans="1:13" ht="15" customHeight="1" x14ac:dyDescent="0.2">
      <c r="A32" t="s">
        <v>37</v>
      </c>
      <c r="B32" s="18">
        <v>0</v>
      </c>
      <c r="C32" s="59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59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">
      <c r="A33" t="s">
        <v>38</v>
      </c>
      <c r="B33" s="18">
        <v>0</v>
      </c>
      <c r="C33" s="59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59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">
      <c r="A34" t="s">
        <v>39</v>
      </c>
      <c r="B34" s="18">
        <v>0</v>
      </c>
      <c r="C34" s="59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59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">
      <c r="A35" t="s">
        <v>40</v>
      </c>
      <c r="B35" s="18">
        <v>0</v>
      </c>
      <c r="C35" s="59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59">
        <v>0</v>
      </c>
      <c r="J35" s="19">
        <f t="shared" si="0"/>
        <v>0</v>
      </c>
      <c r="K35" s="19">
        <f t="shared" si="1"/>
        <v>0</v>
      </c>
      <c r="L35" s="19">
        <f t="shared" si="2"/>
        <v>0</v>
      </c>
      <c r="M35" s="19">
        <f t="shared" si="3"/>
        <v>0</v>
      </c>
    </row>
    <row r="36" spans="1:13" ht="15" customHeight="1" x14ac:dyDescent="0.2">
      <c r="A36" t="s">
        <v>41</v>
      </c>
      <c r="B36" s="18">
        <v>1</v>
      </c>
      <c r="C36" s="59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59">
        <v>0</v>
      </c>
      <c r="J36" s="19">
        <f t="shared" si="0"/>
        <v>1</v>
      </c>
      <c r="K36" s="19">
        <f t="shared" si="1"/>
        <v>0</v>
      </c>
      <c r="L36" s="19">
        <f t="shared" si="2"/>
        <v>0</v>
      </c>
      <c r="M36" s="19">
        <f t="shared" si="3"/>
        <v>0</v>
      </c>
    </row>
    <row r="37" spans="1:13" ht="15" customHeight="1" x14ac:dyDescent="0.2">
      <c r="A37" t="s">
        <v>42</v>
      </c>
      <c r="B37" s="18">
        <v>1</v>
      </c>
      <c r="C37" s="59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59">
        <v>0</v>
      </c>
      <c r="J37" s="19">
        <f t="shared" si="0"/>
        <v>1</v>
      </c>
      <c r="K37" s="19">
        <f t="shared" si="1"/>
        <v>0</v>
      </c>
      <c r="L37" s="19">
        <f t="shared" si="2"/>
        <v>0</v>
      </c>
      <c r="M37" s="19">
        <f t="shared" si="3"/>
        <v>0</v>
      </c>
    </row>
    <row r="38" spans="1:13" ht="15" customHeight="1" x14ac:dyDescent="0.2">
      <c r="A38" t="s">
        <v>43</v>
      </c>
      <c r="B38" s="18">
        <v>0</v>
      </c>
      <c r="C38" s="59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59">
        <v>0</v>
      </c>
      <c r="J38" s="19">
        <f t="shared" si="0"/>
        <v>0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">
      <c r="A39" t="s">
        <v>44</v>
      </c>
      <c r="B39" s="18">
        <v>0</v>
      </c>
      <c r="C39" s="59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59">
        <v>0</v>
      </c>
      <c r="J39" s="19">
        <f t="shared" si="0"/>
        <v>0</v>
      </c>
      <c r="K39" s="19">
        <f t="shared" si="1"/>
        <v>0</v>
      </c>
      <c r="L39" s="19">
        <f t="shared" si="2"/>
        <v>0</v>
      </c>
      <c r="M39" s="19">
        <f t="shared" si="3"/>
        <v>0</v>
      </c>
    </row>
    <row r="40" spans="1:13" ht="15" customHeight="1" x14ac:dyDescent="0.2">
      <c r="A40" t="s">
        <v>45</v>
      </c>
      <c r="B40" s="18">
        <v>1</v>
      </c>
      <c r="C40" s="59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59">
        <v>0</v>
      </c>
      <c r="J40" s="19">
        <f t="shared" si="0"/>
        <v>1</v>
      </c>
      <c r="K40" s="19">
        <f t="shared" si="1"/>
        <v>0</v>
      </c>
      <c r="L40" s="19">
        <f t="shared" si="2"/>
        <v>0</v>
      </c>
      <c r="M40" s="19">
        <f t="shared" si="3"/>
        <v>0</v>
      </c>
    </row>
    <row r="41" spans="1:13" ht="15" customHeight="1" x14ac:dyDescent="0.2">
      <c r="A41" t="s">
        <v>46</v>
      </c>
      <c r="B41" s="18">
        <v>0</v>
      </c>
      <c r="C41" s="59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59">
        <v>0</v>
      </c>
      <c r="J41" s="19">
        <f t="shared" si="0"/>
        <v>0</v>
      </c>
      <c r="K41" s="19">
        <f t="shared" si="1"/>
        <v>0</v>
      </c>
      <c r="L41" s="19">
        <f t="shared" si="2"/>
        <v>0</v>
      </c>
      <c r="M41" s="19">
        <f t="shared" si="3"/>
        <v>0</v>
      </c>
    </row>
    <row r="42" spans="1:13" ht="15" customHeight="1" x14ac:dyDescent="0.2">
      <c r="A42" t="s">
        <v>47</v>
      </c>
      <c r="B42" s="18">
        <v>0</v>
      </c>
      <c r="C42" s="59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59">
        <v>0</v>
      </c>
      <c r="J42" s="19">
        <f t="shared" si="0"/>
        <v>0</v>
      </c>
      <c r="K42" s="19">
        <f t="shared" si="1"/>
        <v>0</v>
      </c>
      <c r="L42" s="19">
        <f t="shared" si="2"/>
        <v>0</v>
      </c>
      <c r="M42" s="19">
        <f t="shared" si="3"/>
        <v>0</v>
      </c>
    </row>
    <row r="43" spans="1:13" ht="15" customHeight="1" x14ac:dyDescent="0.2">
      <c r="A43" t="s">
        <v>48</v>
      </c>
      <c r="B43" s="18">
        <v>0</v>
      </c>
      <c r="C43" s="59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59">
        <v>0</v>
      </c>
      <c r="J43" s="19">
        <f t="shared" si="0"/>
        <v>0</v>
      </c>
      <c r="K43" s="19">
        <f t="shared" si="1"/>
        <v>0</v>
      </c>
      <c r="L43" s="19">
        <f t="shared" si="2"/>
        <v>0</v>
      </c>
      <c r="M43" s="19">
        <f t="shared" si="3"/>
        <v>0</v>
      </c>
    </row>
    <row r="44" spans="1:13" ht="15" customHeight="1" x14ac:dyDescent="0.2">
      <c r="A44" t="s">
        <v>49</v>
      </c>
      <c r="B44" s="18">
        <v>0</v>
      </c>
      <c r="C44" s="59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59">
        <v>0</v>
      </c>
      <c r="J44" s="19">
        <f t="shared" si="0"/>
        <v>0</v>
      </c>
      <c r="K44" s="19">
        <f t="shared" si="1"/>
        <v>0</v>
      </c>
      <c r="L44" s="19">
        <f t="shared" si="2"/>
        <v>0</v>
      </c>
      <c r="M44" s="19">
        <f t="shared" si="3"/>
        <v>0</v>
      </c>
    </row>
    <row r="45" spans="1:13" ht="15" customHeight="1" x14ac:dyDescent="0.2">
      <c r="A45" t="s">
        <v>50</v>
      </c>
      <c r="B45" s="18">
        <v>0</v>
      </c>
      <c r="C45" s="59">
        <v>0</v>
      </c>
      <c r="D45" s="18">
        <v>0</v>
      </c>
      <c r="E45" s="18">
        <v>0</v>
      </c>
      <c r="F45" s="18">
        <v>0</v>
      </c>
      <c r="G45" s="18">
        <v>0</v>
      </c>
      <c r="H45" s="18">
        <v>1</v>
      </c>
      <c r="I45" s="59">
        <v>0</v>
      </c>
      <c r="J45" s="19">
        <f t="shared" si="0"/>
        <v>1</v>
      </c>
      <c r="K45" s="19">
        <f t="shared" si="1"/>
        <v>0</v>
      </c>
      <c r="L45" s="19">
        <f t="shared" si="2"/>
        <v>0</v>
      </c>
      <c r="M45" s="19">
        <f t="shared" si="3"/>
        <v>0</v>
      </c>
    </row>
    <row r="46" spans="1:13" ht="15" customHeight="1" x14ac:dyDescent="0.2">
      <c r="A46" t="s">
        <v>51</v>
      </c>
      <c r="B46" s="18">
        <v>0</v>
      </c>
      <c r="C46" s="59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59">
        <v>0</v>
      </c>
      <c r="J46" s="19">
        <f t="shared" si="0"/>
        <v>0</v>
      </c>
      <c r="K46" s="19">
        <f t="shared" si="1"/>
        <v>0</v>
      </c>
      <c r="L46" s="19">
        <f t="shared" si="2"/>
        <v>0</v>
      </c>
      <c r="M46" s="19">
        <f t="shared" si="3"/>
        <v>0</v>
      </c>
    </row>
    <row r="47" spans="1:13" ht="15" customHeight="1" x14ac:dyDescent="0.2">
      <c r="A47" t="s">
        <v>52</v>
      </c>
      <c r="B47" s="18">
        <v>0</v>
      </c>
      <c r="C47" s="59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59">
        <v>0</v>
      </c>
      <c r="J47" s="19">
        <f t="shared" si="0"/>
        <v>0</v>
      </c>
      <c r="K47" s="19">
        <f t="shared" si="1"/>
        <v>0</v>
      </c>
      <c r="L47" s="19">
        <f t="shared" si="2"/>
        <v>0</v>
      </c>
      <c r="M47" s="19">
        <f t="shared" si="3"/>
        <v>0</v>
      </c>
    </row>
    <row r="48" spans="1:13" ht="15" customHeight="1" x14ac:dyDescent="0.2">
      <c r="A48" t="s">
        <v>53</v>
      </c>
      <c r="B48" s="18">
        <v>1</v>
      </c>
      <c r="C48" s="59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59">
        <v>0</v>
      </c>
      <c r="J48" s="19">
        <f t="shared" si="0"/>
        <v>1</v>
      </c>
      <c r="K48" s="19">
        <f t="shared" si="1"/>
        <v>0</v>
      </c>
      <c r="L48" s="19">
        <f t="shared" si="2"/>
        <v>0</v>
      </c>
      <c r="M48" s="19">
        <f t="shared" si="3"/>
        <v>0</v>
      </c>
    </row>
    <row r="49" spans="1:13" ht="15" customHeight="1" x14ac:dyDescent="0.2">
      <c r="A49" t="s">
        <v>54</v>
      </c>
      <c r="B49" s="18">
        <v>0</v>
      </c>
      <c r="C49" s="59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59">
        <v>0</v>
      </c>
      <c r="J49" s="19">
        <f t="shared" si="0"/>
        <v>0</v>
      </c>
      <c r="K49" s="19">
        <f t="shared" si="1"/>
        <v>0</v>
      </c>
      <c r="L49" s="19">
        <f t="shared" si="2"/>
        <v>0</v>
      </c>
      <c r="M49" s="19">
        <f t="shared" si="3"/>
        <v>0</v>
      </c>
    </row>
    <row r="50" spans="1:13" ht="15" customHeight="1" x14ac:dyDescent="0.2">
      <c r="A50" t="s">
        <v>55</v>
      </c>
      <c r="B50" s="18">
        <v>0</v>
      </c>
      <c r="C50" s="59">
        <v>0</v>
      </c>
      <c r="D50" s="18">
        <v>0</v>
      </c>
      <c r="E50" s="18">
        <v>0</v>
      </c>
      <c r="F50" s="18">
        <v>0</v>
      </c>
      <c r="G50" s="18">
        <v>0</v>
      </c>
      <c r="H50" s="18">
        <v>1</v>
      </c>
      <c r="I50" s="59">
        <v>0</v>
      </c>
      <c r="J50" s="19">
        <f t="shared" si="0"/>
        <v>1</v>
      </c>
      <c r="K50" s="19">
        <f t="shared" si="1"/>
        <v>0</v>
      </c>
      <c r="L50" s="19">
        <f t="shared" si="2"/>
        <v>0</v>
      </c>
      <c r="M50" s="19">
        <f t="shared" si="3"/>
        <v>0</v>
      </c>
    </row>
    <row r="51" spans="1:13" ht="15" customHeight="1" x14ac:dyDescent="0.2">
      <c r="A51" t="s">
        <v>56</v>
      </c>
      <c r="B51" s="18">
        <v>0</v>
      </c>
      <c r="C51" s="59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59">
        <v>0</v>
      </c>
      <c r="J51" s="19">
        <f t="shared" si="0"/>
        <v>0</v>
      </c>
      <c r="K51" s="19">
        <f t="shared" si="1"/>
        <v>0</v>
      </c>
      <c r="L51" s="19">
        <f t="shared" si="2"/>
        <v>0</v>
      </c>
      <c r="M51" s="19">
        <f t="shared" si="3"/>
        <v>0</v>
      </c>
    </row>
    <row r="52" spans="1:13" ht="15" customHeight="1" x14ac:dyDescent="0.2">
      <c r="A52" t="s">
        <v>57</v>
      </c>
      <c r="B52" s="18">
        <v>1</v>
      </c>
      <c r="C52" s="59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59">
        <v>0</v>
      </c>
      <c r="J52" s="19">
        <f t="shared" si="0"/>
        <v>1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">
      <c r="A53" t="s">
        <v>58</v>
      </c>
      <c r="B53" s="18">
        <v>1</v>
      </c>
      <c r="C53" s="59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59">
        <v>0</v>
      </c>
      <c r="J53" s="19">
        <f t="shared" si="0"/>
        <v>1</v>
      </c>
      <c r="K53" s="19">
        <f t="shared" si="1"/>
        <v>0</v>
      </c>
      <c r="L53" s="19">
        <f t="shared" si="2"/>
        <v>0</v>
      </c>
      <c r="M53" s="19">
        <f t="shared" si="3"/>
        <v>0</v>
      </c>
    </row>
    <row r="54" spans="1:13" ht="15" customHeight="1" x14ac:dyDescent="0.2">
      <c r="A54" t="s">
        <v>59</v>
      </c>
      <c r="B54" s="18">
        <v>0</v>
      </c>
      <c r="C54" s="59">
        <v>0</v>
      </c>
      <c r="D54" s="18">
        <v>0</v>
      </c>
      <c r="E54" s="18">
        <v>0</v>
      </c>
      <c r="F54" s="18">
        <v>0</v>
      </c>
      <c r="G54" s="18">
        <v>0</v>
      </c>
      <c r="H54" s="18">
        <v>1</v>
      </c>
      <c r="I54" s="59">
        <v>0</v>
      </c>
      <c r="J54" s="19">
        <f t="shared" si="0"/>
        <v>1</v>
      </c>
      <c r="K54" s="19">
        <f t="shared" si="1"/>
        <v>0</v>
      </c>
      <c r="L54" s="19">
        <f t="shared" si="2"/>
        <v>0</v>
      </c>
      <c r="M54" s="19">
        <f t="shared" si="3"/>
        <v>0</v>
      </c>
    </row>
    <row r="55" spans="1:13" ht="15" customHeight="1" x14ac:dyDescent="0.2">
      <c r="A55" t="s">
        <v>60</v>
      </c>
      <c r="B55" s="18">
        <v>0</v>
      </c>
      <c r="C55" s="59">
        <v>0</v>
      </c>
      <c r="D55" s="18">
        <v>1</v>
      </c>
      <c r="E55" s="18">
        <v>0</v>
      </c>
      <c r="F55" s="18">
        <v>0</v>
      </c>
      <c r="G55" s="18">
        <v>0</v>
      </c>
      <c r="H55" s="18">
        <v>0</v>
      </c>
      <c r="I55" s="59">
        <v>0</v>
      </c>
      <c r="J55" s="19">
        <f t="shared" si="0"/>
        <v>0</v>
      </c>
      <c r="K55" s="19">
        <f t="shared" si="1"/>
        <v>1</v>
      </c>
      <c r="L55" s="19">
        <f t="shared" si="2"/>
        <v>0</v>
      </c>
      <c r="M55" s="19">
        <f t="shared" si="3"/>
        <v>0</v>
      </c>
    </row>
    <row r="56" spans="1:13" ht="15" customHeight="1" x14ac:dyDescent="0.2">
      <c r="A56" t="s">
        <v>61</v>
      </c>
      <c r="B56" s="18">
        <v>0</v>
      </c>
      <c r="C56" s="59">
        <v>0</v>
      </c>
      <c r="D56" s="18">
        <v>0</v>
      </c>
      <c r="E56" s="18">
        <v>0</v>
      </c>
      <c r="F56" s="18">
        <v>0</v>
      </c>
      <c r="G56" s="18">
        <v>0</v>
      </c>
      <c r="H56" s="18">
        <v>1</v>
      </c>
      <c r="I56" s="59">
        <v>0</v>
      </c>
      <c r="J56" s="19">
        <f t="shared" si="0"/>
        <v>1</v>
      </c>
      <c r="K56" s="19">
        <f t="shared" si="1"/>
        <v>0</v>
      </c>
      <c r="L56" s="19">
        <f t="shared" si="2"/>
        <v>0</v>
      </c>
      <c r="M56" s="19">
        <f t="shared" si="3"/>
        <v>0</v>
      </c>
    </row>
    <row r="57" spans="1:13" ht="15" customHeight="1" x14ac:dyDescent="0.2">
      <c r="A57" t="s">
        <v>62</v>
      </c>
      <c r="B57" s="18">
        <v>1</v>
      </c>
      <c r="C57" s="59">
        <v>0</v>
      </c>
      <c r="D57" s="18">
        <v>0</v>
      </c>
      <c r="E57" s="18">
        <v>0</v>
      </c>
      <c r="F57" s="18">
        <v>0</v>
      </c>
      <c r="G57" s="18">
        <v>0</v>
      </c>
      <c r="H57" s="18">
        <v>1</v>
      </c>
      <c r="I57" s="59">
        <v>0</v>
      </c>
      <c r="J57" s="19">
        <f t="shared" si="0"/>
        <v>2</v>
      </c>
      <c r="K57" s="19">
        <f t="shared" si="1"/>
        <v>0</v>
      </c>
      <c r="L57" s="19">
        <f t="shared" si="2"/>
        <v>0</v>
      </c>
      <c r="M57" s="19">
        <f t="shared" si="3"/>
        <v>0</v>
      </c>
    </row>
    <row r="58" spans="1:13" ht="15" customHeight="1" x14ac:dyDescent="0.2">
      <c r="A58" t="s">
        <v>63</v>
      </c>
      <c r="B58" s="18">
        <v>0</v>
      </c>
      <c r="C58" s="59">
        <v>0</v>
      </c>
      <c r="D58" s="18">
        <v>0</v>
      </c>
      <c r="E58" s="18">
        <v>0</v>
      </c>
      <c r="F58" s="18">
        <v>0</v>
      </c>
      <c r="G58" s="18">
        <v>0</v>
      </c>
      <c r="H58" s="18">
        <v>2</v>
      </c>
      <c r="I58" s="59">
        <v>0</v>
      </c>
      <c r="J58" s="19">
        <f t="shared" si="0"/>
        <v>2</v>
      </c>
      <c r="K58" s="19">
        <f t="shared" si="1"/>
        <v>0</v>
      </c>
      <c r="L58" s="19">
        <f t="shared" si="2"/>
        <v>0</v>
      </c>
      <c r="M58" s="19">
        <f t="shared" si="3"/>
        <v>0</v>
      </c>
    </row>
    <row r="59" spans="1:13" ht="15" customHeight="1" x14ac:dyDescent="0.2">
      <c r="A59" t="s">
        <v>64</v>
      </c>
      <c r="B59" s="18">
        <v>0</v>
      </c>
      <c r="C59" s="59">
        <v>0</v>
      </c>
      <c r="D59" s="18">
        <v>0</v>
      </c>
      <c r="E59" s="18">
        <v>0</v>
      </c>
      <c r="F59" s="18">
        <v>1</v>
      </c>
      <c r="G59" s="18">
        <v>0</v>
      </c>
      <c r="H59" s="18">
        <v>0</v>
      </c>
      <c r="I59" s="59">
        <v>0</v>
      </c>
      <c r="J59" s="19">
        <f t="shared" si="0"/>
        <v>0</v>
      </c>
      <c r="K59" s="19">
        <f t="shared" si="1"/>
        <v>1</v>
      </c>
      <c r="L59" s="19">
        <f t="shared" si="2"/>
        <v>0</v>
      </c>
      <c r="M59" s="19">
        <f t="shared" si="3"/>
        <v>0</v>
      </c>
    </row>
    <row r="60" spans="1:13" ht="15" customHeight="1" x14ac:dyDescent="0.2">
      <c r="A60" t="s">
        <v>65</v>
      </c>
      <c r="B60" s="18">
        <v>0</v>
      </c>
      <c r="C60" s="59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59">
        <v>0</v>
      </c>
      <c r="J60" s="19">
        <f t="shared" si="0"/>
        <v>0</v>
      </c>
      <c r="K60" s="19">
        <f t="shared" si="1"/>
        <v>0</v>
      </c>
      <c r="L60" s="19">
        <f t="shared" si="2"/>
        <v>0</v>
      </c>
      <c r="M60" s="19">
        <f t="shared" si="3"/>
        <v>0</v>
      </c>
    </row>
    <row r="61" spans="1:13" ht="15" customHeight="1" x14ac:dyDescent="0.2">
      <c r="A61" t="s">
        <v>66</v>
      </c>
      <c r="B61" s="18">
        <v>0</v>
      </c>
      <c r="C61" s="59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59">
        <v>0</v>
      </c>
      <c r="J61" s="19">
        <f t="shared" si="0"/>
        <v>0</v>
      </c>
      <c r="K61" s="19">
        <f t="shared" si="1"/>
        <v>0</v>
      </c>
      <c r="L61" s="19">
        <f t="shared" si="2"/>
        <v>0</v>
      </c>
      <c r="M61" s="19">
        <f t="shared" si="3"/>
        <v>0</v>
      </c>
    </row>
    <row r="62" spans="1:13" ht="15" customHeight="1" x14ac:dyDescent="0.2">
      <c r="A62" t="s">
        <v>67</v>
      </c>
      <c r="B62" s="18">
        <v>0</v>
      </c>
      <c r="C62" s="59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59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">
      <c r="A63" t="s">
        <v>68</v>
      </c>
      <c r="B63" s="18">
        <v>0</v>
      </c>
      <c r="C63" s="59">
        <v>0</v>
      </c>
      <c r="D63" s="18">
        <v>0</v>
      </c>
      <c r="E63" s="18">
        <v>0</v>
      </c>
      <c r="F63" s="18">
        <v>1</v>
      </c>
      <c r="G63" s="18">
        <v>0</v>
      </c>
      <c r="H63" s="18">
        <v>0</v>
      </c>
      <c r="I63" s="59">
        <v>0</v>
      </c>
      <c r="J63" s="19">
        <f t="shared" si="0"/>
        <v>0</v>
      </c>
      <c r="K63" s="19">
        <f t="shared" si="1"/>
        <v>1</v>
      </c>
      <c r="L63" s="19">
        <f t="shared" si="2"/>
        <v>0</v>
      </c>
      <c r="M63" s="19">
        <f t="shared" si="3"/>
        <v>0</v>
      </c>
    </row>
    <row r="64" spans="1:13" s="33" customFormat="1" ht="15" customHeight="1" x14ac:dyDescent="0.2">
      <c r="A64" s="33" t="s">
        <v>69</v>
      </c>
      <c r="B64" s="61">
        <v>0</v>
      </c>
      <c r="C64" s="61">
        <v>1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2">
        <f t="shared" si="0"/>
        <v>0</v>
      </c>
      <c r="K64" s="62">
        <f t="shared" si="1"/>
        <v>0</v>
      </c>
      <c r="L64" s="62">
        <f t="shared" si="2"/>
        <v>1</v>
      </c>
      <c r="M64" s="62">
        <f t="shared" si="3"/>
        <v>0</v>
      </c>
    </row>
    <row r="65" spans="1:13" ht="15" customHeight="1" x14ac:dyDescent="0.2">
      <c r="A65" t="s">
        <v>70</v>
      </c>
      <c r="B65" s="18">
        <v>0</v>
      </c>
      <c r="C65" s="59">
        <v>0</v>
      </c>
      <c r="D65" s="18">
        <v>2</v>
      </c>
      <c r="E65" s="18">
        <v>0</v>
      </c>
      <c r="F65" s="18">
        <v>1</v>
      </c>
      <c r="G65" s="18">
        <v>0</v>
      </c>
      <c r="H65" s="18">
        <v>0</v>
      </c>
      <c r="I65" s="59">
        <v>0</v>
      </c>
      <c r="J65" s="19">
        <f t="shared" si="0"/>
        <v>0</v>
      </c>
      <c r="K65" s="19">
        <f t="shared" si="1"/>
        <v>3</v>
      </c>
      <c r="L65" s="19">
        <f t="shared" si="2"/>
        <v>0</v>
      </c>
      <c r="M65" s="19">
        <f t="shared" si="3"/>
        <v>0</v>
      </c>
    </row>
    <row r="66" spans="1:13" ht="15" customHeight="1" x14ac:dyDescent="0.2">
      <c r="A66" t="s">
        <v>71</v>
      </c>
      <c r="B66" s="18">
        <v>0</v>
      </c>
      <c r="C66" s="59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59">
        <v>0</v>
      </c>
      <c r="J66" s="19">
        <f t="shared" si="0"/>
        <v>0</v>
      </c>
      <c r="K66" s="19">
        <f t="shared" si="1"/>
        <v>0</v>
      </c>
      <c r="L66" s="19">
        <f t="shared" si="2"/>
        <v>0</v>
      </c>
      <c r="M66" s="19">
        <f t="shared" si="3"/>
        <v>0</v>
      </c>
    </row>
    <row r="67" spans="1:13" ht="15" customHeight="1" x14ac:dyDescent="0.2">
      <c r="A67" t="s">
        <v>72</v>
      </c>
      <c r="B67" s="18">
        <v>0</v>
      </c>
      <c r="C67" s="59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59">
        <v>0</v>
      </c>
      <c r="J67" s="19">
        <f t="shared" si="0"/>
        <v>0</v>
      </c>
      <c r="K67" s="19">
        <f t="shared" si="1"/>
        <v>0</v>
      </c>
      <c r="L67" s="19">
        <f t="shared" si="2"/>
        <v>0</v>
      </c>
      <c r="M67" s="19">
        <f t="shared" si="3"/>
        <v>0</v>
      </c>
    </row>
    <row r="68" spans="1:13" ht="15" customHeight="1" x14ac:dyDescent="0.2">
      <c r="A68" t="s">
        <v>73</v>
      </c>
      <c r="B68" s="18">
        <v>0</v>
      </c>
      <c r="C68" s="59">
        <v>0</v>
      </c>
      <c r="D68" s="18">
        <v>0</v>
      </c>
      <c r="E68" s="18">
        <v>0</v>
      </c>
      <c r="F68" s="18">
        <v>1</v>
      </c>
      <c r="G68" s="18">
        <v>0</v>
      </c>
      <c r="H68" s="18">
        <v>0</v>
      </c>
      <c r="I68" s="59">
        <v>0</v>
      </c>
      <c r="J68" s="19">
        <f t="shared" si="0"/>
        <v>0</v>
      </c>
      <c r="K68" s="19">
        <f t="shared" si="1"/>
        <v>1</v>
      </c>
      <c r="L68" s="19">
        <f t="shared" si="2"/>
        <v>0</v>
      </c>
      <c r="M68" s="19">
        <f t="shared" si="3"/>
        <v>0</v>
      </c>
    </row>
    <row r="69" spans="1:13" ht="15" customHeight="1" x14ac:dyDescent="0.2">
      <c r="A69" t="s">
        <v>74</v>
      </c>
      <c r="B69" s="18">
        <v>0</v>
      </c>
      <c r="C69" s="59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59">
        <v>0</v>
      </c>
      <c r="J69" s="19">
        <f t="shared" si="0"/>
        <v>0</v>
      </c>
      <c r="K69" s="19">
        <f t="shared" si="1"/>
        <v>0</v>
      </c>
      <c r="L69" s="19">
        <f t="shared" si="2"/>
        <v>0</v>
      </c>
      <c r="M69" s="19">
        <f t="shared" si="3"/>
        <v>0</v>
      </c>
    </row>
    <row r="70" spans="1:13" ht="15" customHeight="1" x14ac:dyDescent="0.2">
      <c r="A70" t="s">
        <v>75</v>
      </c>
      <c r="B70" s="18">
        <v>1</v>
      </c>
      <c r="C70" s="59">
        <v>0</v>
      </c>
      <c r="D70" s="18">
        <v>0</v>
      </c>
      <c r="E70" s="18">
        <v>0</v>
      </c>
      <c r="F70" s="18">
        <v>0</v>
      </c>
      <c r="G70" s="18">
        <v>0</v>
      </c>
      <c r="H70" s="18">
        <v>2</v>
      </c>
      <c r="I70" s="59">
        <v>0</v>
      </c>
      <c r="J70" s="19">
        <f t="shared" si="0"/>
        <v>3</v>
      </c>
      <c r="K70" s="19">
        <f t="shared" si="1"/>
        <v>0</v>
      </c>
      <c r="L70" s="19">
        <f t="shared" si="2"/>
        <v>0</v>
      </c>
      <c r="M70" s="19">
        <f t="shared" si="3"/>
        <v>0</v>
      </c>
    </row>
    <row r="71" spans="1:13" ht="15" customHeight="1" x14ac:dyDescent="0.2">
      <c r="A71" t="s">
        <v>76</v>
      </c>
      <c r="B71" s="18">
        <v>2</v>
      </c>
      <c r="C71" s="59">
        <v>0</v>
      </c>
      <c r="D71" s="18">
        <v>0</v>
      </c>
      <c r="E71" s="18">
        <v>0</v>
      </c>
      <c r="F71" s="18">
        <v>1</v>
      </c>
      <c r="G71" s="18">
        <v>0</v>
      </c>
      <c r="H71" s="18">
        <v>0</v>
      </c>
      <c r="I71" s="59">
        <v>0</v>
      </c>
      <c r="J71" s="19">
        <f t="shared" si="0"/>
        <v>2</v>
      </c>
      <c r="K71" s="19">
        <f t="shared" si="1"/>
        <v>1</v>
      </c>
      <c r="L71" s="19">
        <f t="shared" si="2"/>
        <v>0</v>
      </c>
      <c r="M71" s="19">
        <f t="shared" si="3"/>
        <v>0</v>
      </c>
    </row>
    <row r="72" spans="1:13" ht="15" customHeight="1" x14ac:dyDescent="0.2">
      <c r="A72" t="s">
        <v>77</v>
      </c>
      <c r="B72" s="18">
        <v>0</v>
      </c>
      <c r="C72" s="59">
        <v>0</v>
      </c>
      <c r="D72" s="18">
        <v>1</v>
      </c>
      <c r="E72" s="18">
        <v>0</v>
      </c>
      <c r="F72" s="18">
        <v>0</v>
      </c>
      <c r="G72" s="18">
        <v>0</v>
      </c>
      <c r="H72" s="18">
        <v>0</v>
      </c>
      <c r="I72" s="59">
        <v>0</v>
      </c>
      <c r="J72" s="19">
        <f t="shared" si="0"/>
        <v>0</v>
      </c>
      <c r="K72" s="19">
        <f t="shared" si="1"/>
        <v>1</v>
      </c>
      <c r="L72" s="19">
        <f t="shared" si="2"/>
        <v>0</v>
      </c>
      <c r="M72" s="19">
        <f t="shared" si="3"/>
        <v>0</v>
      </c>
    </row>
    <row r="73" spans="1:13" ht="15" customHeight="1" x14ac:dyDescent="0.2">
      <c r="A73" t="s">
        <v>78</v>
      </c>
      <c r="B73" s="18">
        <v>0</v>
      </c>
      <c r="C73" s="59">
        <v>0</v>
      </c>
      <c r="D73" s="18">
        <v>0</v>
      </c>
      <c r="E73" s="18">
        <v>0</v>
      </c>
      <c r="F73" s="18">
        <v>0</v>
      </c>
      <c r="G73" s="18">
        <v>0</v>
      </c>
      <c r="H73" s="18">
        <v>1</v>
      </c>
      <c r="I73" s="59">
        <v>0</v>
      </c>
      <c r="J73" s="19">
        <f t="shared" si="0"/>
        <v>1</v>
      </c>
      <c r="K73" s="19">
        <f t="shared" si="1"/>
        <v>0</v>
      </c>
      <c r="L73" s="19">
        <f t="shared" si="2"/>
        <v>0</v>
      </c>
      <c r="M73" s="19">
        <f t="shared" si="3"/>
        <v>0</v>
      </c>
    </row>
    <row r="74" spans="1:13" ht="15" customHeight="1" x14ac:dyDescent="0.2">
      <c r="A74" t="s">
        <v>79</v>
      </c>
      <c r="B74" s="18">
        <v>0</v>
      </c>
      <c r="C74" s="59">
        <v>0</v>
      </c>
      <c r="D74" s="18">
        <v>1</v>
      </c>
      <c r="E74" s="18">
        <v>0</v>
      </c>
      <c r="F74" s="18">
        <v>0</v>
      </c>
      <c r="G74" s="18">
        <v>0</v>
      </c>
      <c r="H74" s="18">
        <v>0</v>
      </c>
      <c r="I74" s="59">
        <v>0</v>
      </c>
      <c r="J74" s="19">
        <f t="shared" si="0"/>
        <v>0</v>
      </c>
      <c r="K74" s="19">
        <f t="shared" si="1"/>
        <v>1</v>
      </c>
      <c r="L74" s="19">
        <f t="shared" si="2"/>
        <v>0</v>
      </c>
      <c r="M74" s="19">
        <f t="shared" si="3"/>
        <v>0</v>
      </c>
    </row>
    <row r="75" spans="1:13" ht="15" customHeight="1" x14ac:dyDescent="0.2">
      <c r="A75" t="s">
        <v>80</v>
      </c>
      <c r="B75" s="18">
        <v>0</v>
      </c>
      <c r="C75" s="59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59">
        <v>0</v>
      </c>
      <c r="J75" s="19">
        <f t="shared" ref="J75:J138" si="4">SUM(B75,H75)</f>
        <v>0</v>
      </c>
      <c r="K75" s="19">
        <f t="shared" ref="K75:K138" si="5">SUM(D75,F75)</f>
        <v>0</v>
      </c>
      <c r="L75" s="19">
        <f t="shared" ref="L75:L138" si="6">SUM(C75,I75)</f>
        <v>0</v>
      </c>
      <c r="M75" s="19">
        <f t="shared" ref="M75:M138" si="7">SUM(E75,G75)</f>
        <v>0</v>
      </c>
    </row>
    <row r="76" spans="1:13" ht="15" customHeight="1" x14ac:dyDescent="0.2">
      <c r="A76" t="s">
        <v>81</v>
      </c>
      <c r="B76" s="18">
        <v>0</v>
      </c>
      <c r="C76" s="59">
        <v>0</v>
      </c>
      <c r="D76" s="18">
        <v>0</v>
      </c>
      <c r="E76" s="18">
        <v>0</v>
      </c>
      <c r="F76" s="18">
        <v>0</v>
      </c>
      <c r="G76" s="18">
        <v>0</v>
      </c>
      <c r="H76" s="18">
        <v>1</v>
      </c>
      <c r="I76" s="59">
        <v>0</v>
      </c>
      <c r="J76" s="19">
        <f t="shared" si="4"/>
        <v>1</v>
      </c>
      <c r="K76" s="19">
        <f t="shared" si="5"/>
        <v>0</v>
      </c>
      <c r="L76" s="19">
        <f t="shared" si="6"/>
        <v>0</v>
      </c>
      <c r="M76" s="19">
        <f t="shared" si="7"/>
        <v>0</v>
      </c>
    </row>
    <row r="77" spans="1:13" ht="15" customHeight="1" x14ac:dyDescent="0.2">
      <c r="A77" t="s">
        <v>82</v>
      </c>
      <c r="B77" s="18">
        <v>0</v>
      </c>
      <c r="C77" s="59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59">
        <v>0</v>
      </c>
      <c r="J77" s="19">
        <f t="shared" si="4"/>
        <v>0</v>
      </c>
      <c r="K77" s="19">
        <f t="shared" si="5"/>
        <v>0</v>
      </c>
      <c r="L77" s="19">
        <f t="shared" si="6"/>
        <v>0</v>
      </c>
      <c r="M77" s="19">
        <f t="shared" si="7"/>
        <v>0</v>
      </c>
    </row>
    <row r="78" spans="1:13" ht="15" customHeight="1" x14ac:dyDescent="0.2">
      <c r="A78" t="s">
        <v>83</v>
      </c>
      <c r="B78" s="18">
        <v>0</v>
      </c>
      <c r="C78" s="59">
        <v>0</v>
      </c>
      <c r="D78" s="18">
        <v>0</v>
      </c>
      <c r="E78" s="18">
        <v>0</v>
      </c>
      <c r="F78" s="18">
        <v>0</v>
      </c>
      <c r="G78" s="18">
        <v>0</v>
      </c>
      <c r="H78" s="18">
        <v>1</v>
      </c>
      <c r="I78" s="59">
        <v>0</v>
      </c>
      <c r="J78" s="19">
        <f t="shared" si="4"/>
        <v>1</v>
      </c>
      <c r="K78" s="19">
        <f t="shared" si="5"/>
        <v>0</v>
      </c>
      <c r="L78" s="19">
        <f t="shared" si="6"/>
        <v>0</v>
      </c>
      <c r="M78" s="19">
        <f t="shared" si="7"/>
        <v>0</v>
      </c>
    </row>
    <row r="79" spans="1:13" ht="15" customHeight="1" x14ac:dyDescent="0.2">
      <c r="A79" t="s">
        <v>84</v>
      </c>
      <c r="B79" s="18">
        <v>1</v>
      </c>
      <c r="C79" s="59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59">
        <v>0</v>
      </c>
      <c r="J79" s="19">
        <f t="shared" si="4"/>
        <v>1</v>
      </c>
      <c r="K79" s="19">
        <f t="shared" si="5"/>
        <v>0</v>
      </c>
      <c r="L79" s="19">
        <f t="shared" si="6"/>
        <v>0</v>
      </c>
      <c r="M79" s="19">
        <f t="shared" si="7"/>
        <v>0</v>
      </c>
    </row>
    <row r="80" spans="1:13" ht="15" customHeight="1" x14ac:dyDescent="0.2">
      <c r="A80" t="s">
        <v>85</v>
      </c>
      <c r="B80" s="18">
        <v>0</v>
      </c>
      <c r="C80" s="59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59">
        <v>0</v>
      </c>
      <c r="J80" s="19">
        <f t="shared" si="4"/>
        <v>0</v>
      </c>
      <c r="K80" s="19">
        <f t="shared" si="5"/>
        <v>0</v>
      </c>
      <c r="L80" s="19">
        <f t="shared" si="6"/>
        <v>0</v>
      </c>
      <c r="M80" s="19">
        <f t="shared" si="7"/>
        <v>0</v>
      </c>
    </row>
    <row r="81" spans="1:13" ht="15" customHeight="1" x14ac:dyDescent="0.2">
      <c r="A81" t="s">
        <v>86</v>
      </c>
      <c r="B81" s="18">
        <v>1</v>
      </c>
      <c r="C81" s="59">
        <v>0</v>
      </c>
      <c r="D81" s="18">
        <v>1</v>
      </c>
      <c r="E81" s="18">
        <v>0</v>
      </c>
      <c r="F81" s="18">
        <v>0</v>
      </c>
      <c r="G81" s="18">
        <v>0</v>
      </c>
      <c r="H81" s="18">
        <v>0</v>
      </c>
      <c r="I81" s="59">
        <v>0</v>
      </c>
      <c r="J81" s="19">
        <f t="shared" si="4"/>
        <v>1</v>
      </c>
      <c r="K81" s="19">
        <f t="shared" si="5"/>
        <v>1</v>
      </c>
      <c r="L81" s="19">
        <f t="shared" si="6"/>
        <v>0</v>
      </c>
      <c r="M81" s="19">
        <f t="shared" si="7"/>
        <v>0</v>
      </c>
    </row>
    <row r="82" spans="1:13" ht="15" customHeight="1" x14ac:dyDescent="0.2">
      <c r="A82" t="s">
        <v>87</v>
      </c>
      <c r="B82" s="18">
        <v>0</v>
      </c>
      <c r="C82" s="59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59">
        <v>0</v>
      </c>
      <c r="J82" s="19">
        <f t="shared" si="4"/>
        <v>0</v>
      </c>
      <c r="K82" s="19">
        <f t="shared" si="5"/>
        <v>0</v>
      </c>
      <c r="L82" s="19">
        <f t="shared" si="6"/>
        <v>0</v>
      </c>
      <c r="M82" s="19">
        <f t="shared" si="7"/>
        <v>0</v>
      </c>
    </row>
    <row r="83" spans="1:13" ht="15" customHeight="1" x14ac:dyDescent="0.2">
      <c r="A83" t="s">
        <v>88</v>
      </c>
      <c r="B83" s="18">
        <v>0</v>
      </c>
      <c r="C83" s="59">
        <v>0</v>
      </c>
      <c r="D83" s="18">
        <v>0</v>
      </c>
      <c r="E83" s="18">
        <v>0</v>
      </c>
      <c r="F83" s="18">
        <v>3</v>
      </c>
      <c r="G83" s="18">
        <v>0</v>
      </c>
      <c r="H83" s="18">
        <v>1</v>
      </c>
      <c r="I83" s="59">
        <v>0</v>
      </c>
      <c r="J83" s="19">
        <f t="shared" si="4"/>
        <v>1</v>
      </c>
      <c r="K83" s="19">
        <f t="shared" si="5"/>
        <v>3</v>
      </c>
      <c r="L83" s="19">
        <f t="shared" si="6"/>
        <v>0</v>
      </c>
      <c r="M83" s="19">
        <f t="shared" si="7"/>
        <v>0</v>
      </c>
    </row>
    <row r="84" spans="1:13" ht="15" customHeight="1" x14ac:dyDescent="0.2">
      <c r="A84" t="s">
        <v>89</v>
      </c>
      <c r="B84" s="18">
        <v>0</v>
      </c>
      <c r="C84" s="59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59">
        <v>0</v>
      </c>
      <c r="J84" s="19">
        <f t="shared" si="4"/>
        <v>0</v>
      </c>
      <c r="K84" s="19">
        <f t="shared" si="5"/>
        <v>0</v>
      </c>
      <c r="L84" s="19">
        <f t="shared" si="6"/>
        <v>0</v>
      </c>
      <c r="M84" s="19">
        <f t="shared" si="7"/>
        <v>0</v>
      </c>
    </row>
    <row r="85" spans="1:13" ht="15" customHeight="1" x14ac:dyDescent="0.2">
      <c r="A85" t="s">
        <v>90</v>
      </c>
      <c r="B85" s="18">
        <v>0</v>
      </c>
      <c r="C85" s="59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59">
        <v>0</v>
      </c>
      <c r="J85" s="19">
        <f t="shared" si="4"/>
        <v>0</v>
      </c>
      <c r="K85" s="19">
        <f t="shared" si="5"/>
        <v>0</v>
      </c>
      <c r="L85" s="19">
        <f t="shared" si="6"/>
        <v>0</v>
      </c>
      <c r="M85" s="19">
        <f t="shared" si="7"/>
        <v>0</v>
      </c>
    </row>
    <row r="86" spans="1:13" ht="15" customHeight="1" x14ac:dyDescent="0.2">
      <c r="A86" t="s">
        <v>91</v>
      </c>
      <c r="B86" s="18">
        <v>0</v>
      </c>
      <c r="C86" s="59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59">
        <v>0</v>
      </c>
      <c r="J86" s="19">
        <f t="shared" si="4"/>
        <v>0</v>
      </c>
      <c r="K86" s="19">
        <f t="shared" si="5"/>
        <v>0</v>
      </c>
      <c r="L86" s="19">
        <f t="shared" si="6"/>
        <v>0</v>
      </c>
      <c r="M86" s="19">
        <f t="shared" si="7"/>
        <v>0</v>
      </c>
    </row>
    <row r="87" spans="1:13" ht="15" customHeight="1" x14ac:dyDescent="0.2">
      <c r="A87" t="s">
        <v>92</v>
      </c>
      <c r="B87" s="18">
        <v>0</v>
      </c>
      <c r="C87" s="59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59">
        <v>0</v>
      </c>
      <c r="J87" s="19">
        <f t="shared" si="4"/>
        <v>0</v>
      </c>
      <c r="K87" s="19">
        <f t="shared" si="5"/>
        <v>0</v>
      </c>
      <c r="L87" s="19">
        <f t="shared" si="6"/>
        <v>0</v>
      </c>
      <c r="M87" s="19">
        <f t="shared" si="7"/>
        <v>0</v>
      </c>
    </row>
    <row r="88" spans="1:13" s="33" customFormat="1" ht="15" customHeight="1" x14ac:dyDescent="0.2">
      <c r="A88" s="33" t="s">
        <v>93</v>
      </c>
      <c r="B88" s="61">
        <v>0</v>
      </c>
      <c r="C88" s="61">
        <v>0</v>
      </c>
      <c r="D88" s="61">
        <v>0</v>
      </c>
      <c r="E88" s="61">
        <v>0</v>
      </c>
      <c r="F88" s="61">
        <v>0</v>
      </c>
      <c r="G88" s="61">
        <v>0</v>
      </c>
      <c r="H88" s="61">
        <v>0</v>
      </c>
      <c r="I88" s="61">
        <v>1</v>
      </c>
      <c r="J88" s="62">
        <f t="shared" si="4"/>
        <v>0</v>
      </c>
      <c r="K88" s="62">
        <f t="shared" si="5"/>
        <v>0</v>
      </c>
      <c r="L88" s="62">
        <f t="shared" si="6"/>
        <v>1</v>
      </c>
      <c r="M88" s="62">
        <f t="shared" si="7"/>
        <v>0</v>
      </c>
    </row>
    <row r="89" spans="1:13" ht="15" customHeight="1" x14ac:dyDescent="0.2">
      <c r="A89" t="s">
        <v>94</v>
      </c>
      <c r="B89" s="18">
        <v>0</v>
      </c>
      <c r="C89" s="59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59">
        <v>0</v>
      </c>
      <c r="J89" s="19">
        <f t="shared" si="4"/>
        <v>0</v>
      </c>
      <c r="K89" s="19">
        <f t="shared" si="5"/>
        <v>0</v>
      </c>
      <c r="L89" s="19">
        <f t="shared" si="6"/>
        <v>0</v>
      </c>
      <c r="M89" s="19">
        <f t="shared" si="7"/>
        <v>0</v>
      </c>
    </row>
    <row r="90" spans="1:13" ht="15" customHeight="1" x14ac:dyDescent="0.2">
      <c r="A90" t="s">
        <v>95</v>
      </c>
      <c r="B90" s="18">
        <v>0</v>
      </c>
      <c r="C90" s="59">
        <v>0</v>
      </c>
      <c r="D90" s="18">
        <v>1</v>
      </c>
      <c r="E90" s="18">
        <v>0</v>
      </c>
      <c r="F90" s="18">
        <v>0</v>
      </c>
      <c r="G90" s="18">
        <v>0</v>
      </c>
      <c r="H90" s="18">
        <v>1</v>
      </c>
      <c r="I90" s="59">
        <v>0</v>
      </c>
      <c r="J90" s="19">
        <f t="shared" si="4"/>
        <v>1</v>
      </c>
      <c r="K90" s="19">
        <f t="shared" si="5"/>
        <v>1</v>
      </c>
      <c r="L90" s="19">
        <f t="shared" si="6"/>
        <v>0</v>
      </c>
      <c r="M90" s="19">
        <f t="shared" si="7"/>
        <v>0</v>
      </c>
    </row>
    <row r="91" spans="1:13" ht="15" customHeight="1" x14ac:dyDescent="0.2">
      <c r="A91" t="s">
        <v>96</v>
      </c>
      <c r="B91" s="18">
        <v>0</v>
      </c>
      <c r="C91" s="59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59">
        <v>0</v>
      </c>
      <c r="J91" s="19">
        <f t="shared" si="4"/>
        <v>0</v>
      </c>
      <c r="K91" s="19">
        <f t="shared" si="5"/>
        <v>0</v>
      </c>
      <c r="L91" s="19">
        <f t="shared" si="6"/>
        <v>0</v>
      </c>
      <c r="M91" s="19">
        <f t="shared" si="7"/>
        <v>0</v>
      </c>
    </row>
    <row r="92" spans="1:13" ht="15" customHeight="1" x14ac:dyDescent="0.2">
      <c r="A92" t="s">
        <v>97</v>
      </c>
      <c r="B92" s="18">
        <v>0</v>
      </c>
      <c r="C92" s="59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59">
        <v>0</v>
      </c>
      <c r="J92" s="19">
        <f t="shared" si="4"/>
        <v>0</v>
      </c>
      <c r="K92" s="19">
        <f t="shared" si="5"/>
        <v>0</v>
      </c>
      <c r="L92" s="19">
        <f t="shared" si="6"/>
        <v>0</v>
      </c>
      <c r="M92" s="19">
        <f t="shared" si="7"/>
        <v>0</v>
      </c>
    </row>
    <row r="93" spans="1:13" ht="15" customHeight="1" x14ac:dyDescent="0.2">
      <c r="A93" t="s">
        <v>98</v>
      </c>
      <c r="B93" s="18">
        <v>1</v>
      </c>
      <c r="C93" s="59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59">
        <v>0</v>
      </c>
      <c r="J93" s="19">
        <f t="shared" si="4"/>
        <v>1</v>
      </c>
      <c r="K93" s="19">
        <f t="shared" si="5"/>
        <v>0</v>
      </c>
      <c r="L93" s="19">
        <f t="shared" si="6"/>
        <v>0</v>
      </c>
      <c r="M93" s="19">
        <f t="shared" si="7"/>
        <v>0</v>
      </c>
    </row>
    <row r="94" spans="1:13" ht="15" customHeight="1" x14ac:dyDescent="0.2">
      <c r="A94" t="s">
        <v>99</v>
      </c>
      <c r="B94" s="18">
        <v>0</v>
      </c>
      <c r="C94" s="59">
        <v>0</v>
      </c>
      <c r="D94" s="18">
        <v>0</v>
      </c>
      <c r="E94" s="18">
        <v>0</v>
      </c>
      <c r="F94" s="18">
        <v>1</v>
      </c>
      <c r="G94" s="18">
        <v>0</v>
      </c>
      <c r="H94" s="18">
        <v>0</v>
      </c>
      <c r="I94" s="59">
        <v>0</v>
      </c>
      <c r="J94" s="19">
        <f t="shared" si="4"/>
        <v>0</v>
      </c>
      <c r="K94" s="19">
        <f t="shared" si="5"/>
        <v>1</v>
      </c>
      <c r="L94" s="19">
        <f t="shared" si="6"/>
        <v>0</v>
      </c>
      <c r="M94" s="19">
        <f t="shared" si="7"/>
        <v>0</v>
      </c>
    </row>
    <row r="95" spans="1:13" ht="15" customHeight="1" x14ac:dyDescent="0.2">
      <c r="A95" t="s">
        <v>100</v>
      </c>
      <c r="B95" s="18">
        <v>0</v>
      </c>
      <c r="C95" s="59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59">
        <v>0</v>
      </c>
      <c r="J95" s="19">
        <f t="shared" si="4"/>
        <v>0</v>
      </c>
      <c r="K95" s="19">
        <f t="shared" si="5"/>
        <v>0</v>
      </c>
      <c r="L95" s="19">
        <f t="shared" si="6"/>
        <v>0</v>
      </c>
      <c r="M95" s="19">
        <f t="shared" si="7"/>
        <v>0</v>
      </c>
    </row>
    <row r="96" spans="1:13" ht="15" customHeight="1" x14ac:dyDescent="0.2">
      <c r="A96" t="s">
        <v>101</v>
      </c>
      <c r="B96" s="18">
        <v>0</v>
      </c>
      <c r="C96" s="59">
        <v>0</v>
      </c>
      <c r="D96" s="18">
        <v>1</v>
      </c>
      <c r="E96" s="18">
        <v>0</v>
      </c>
      <c r="F96" s="18">
        <v>0</v>
      </c>
      <c r="G96" s="18">
        <v>0</v>
      </c>
      <c r="H96" s="18">
        <v>0</v>
      </c>
      <c r="I96" s="59">
        <v>0</v>
      </c>
      <c r="J96" s="19">
        <f t="shared" si="4"/>
        <v>0</v>
      </c>
      <c r="K96" s="19">
        <f t="shared" si="5"/>
        <v>1</v>
      </c>
      <c r="L96" s="19">
        <f t="shared" si="6"/>
        <v>0</v>
      </c>
      <c r="M96" s="19">
        <f t="shared" si="7"/>
        <v>0</v>
      </c>
    </row>
    <row r="97" spans="1:13" ht="15" customHeight="1" x14ac:dyDescent="0.2">
      <c r="A97" t="s">
        <v>102</v>
      </c>
      <c r="B97" s="18">
        <v>1</v>
      </c>
      <c r="C97" s="59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59">
        <v>0</v>
      </c>
      <c r="J97" s="19">
        <f t="shared" si="4"/>
        <v>1</v>
      </c>
      <c r="K97" s="19">
        <f t="shared" si="5"/>
        <v>0</v>
      </c>
      <c r="L97" s="19">
        <f t="shared" si="6"/>
        <v>0</v>
      </c>
      <c r="M97" s="19">
        <f t="shared" si="7"/>
        <v>0</v>
      </c>
    </row>
    <row r="98" spans="1:13" ht="15" customHeight="1" x14ac:dyDescent="0.2">
      <c r="A98" t="s">
        <v>103</v>
      </c>
      <c r="B98" s="18">
        <v>0</v>
      </c>
      <c r="C98" s="59">
        <v>0</v>
      </c>
      <c r="D98" s="18">
        <v>0</v>
      </c>
      <c r="E98" s="18">
        <v>0</v>
      </c>
      <c r="F98" s="18">
        <v>0</v>
      </c>
      <c r="G98" s="18">
        <v>0</v>
      </c>
      <c r="H98" s="18">
        <v>1</v>
      </c>
      <c r="I98" s="59">
        <v>0</v>
      </c>
      <c r="J98" s="19">
        <f t="shared" si="4"/>
        <v>1</v>
      </c>
      <c r="K98" s="19">
        <f t="shared" si="5"/>
        <v>0</v>
      </c>
      <c r="L98" s="19">
        <f t="shared" si="6"/>
        <v>0</v>
      </c>
      <c r="M98" s="19">
        <f t="shared" si="7"/>
        <v>0</v>
      </c>
    </row>
    <row r="99" spans="1:13" ht="15" customHeight="1" x14ac:dyDescent="0.2">
      <c r="A99" t="s">
        <v>104</v>
      </c>
      <c r="B99" s="18">
        <v>0</v>
      </c>
      <c r="C99" s="59">
        <v>0</v>
      </c>
      <c r="D99" s="18">
        <v>0</v>
      </c>
      <c r="E99" s="18">
        <v>0</v>
      </c>
      <c r="F99" s="18">
        <v>1</v>
      </c>
      <c r="G99" s="18">
        <v>0</v>
      </c>
      <c r="H99" s="18">
        <v>0</v>
      </c>
      <c r="I99" s="59">
        <v>0</v>
      </c>
      <c r="J99" s="19">
        <f t="shared" si="4"/>
        <v>0</v>
      </c>
      <c r="K99" s="19">
        <f t="shared" si="5"/>
        <v>1</v>
      </c>
      <c r="L99" s="19">
        <f t="shared" si="6"/>
        <v>0</v>
      </c>
      <c r="M99" s="19">
        <f t="shared" si="7"/>
        <v>0</v>
      </c>
    </row>
    <row r="100" spans="1:13" ht="15" customHeight="1" x14ac:dyDescent="0.2">
      <c r="A100" t="s">
        <v>105</v>
      </c>
      <c r="B100" s="18">
        <v>0</v>
      </c>
      <c r="C100" s="59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59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">
      <c r="A101" t="s">
        <v>106</v>
      </c>
      <c r="B101" s="18">
        <v>0</v>
      </c>
      <c r="C101" s="59">
        <v>0</v>
      </c>
      <c r="D101" s="18">
        <v>0</v>
      </c>
      <c r="E101" s="18">
        <v>0</v>
      </c>
      <c r="F101" s="18">
        <v>0</v>
      </c>
      <c r="G101" s="18">
        <v>0</v>
      </c>
      <c r="H101" s="18">
        <v>0</v>
      </c>
      <c r="I101" s="59">
        <v>0</v>
      </c>
      <c r="J101" s="19">
        <f t="shared" si="4"/>
        <v>0</v>
      </c>
      <c r="K101" s="19">
        <f t="shared" si="5"/>
        <v>0</v>
      </c>
      <c r="L101" s="19">
        <f t="shared" si="6"/>
        <v>0</v>
      </c>
      <c r="M101" s="19">
        <f t="shared" si="7"/>
        <v>0</v>
      </c>
    </row>
    <row r="102" spans="1:13" ht="15" customHeight="1" x14ac:dyDescent="0.2">
      <c r="A102" t="s">
        <v>107</v>
      </c>
      <c r="B102" s="18">
        <v>0</v>
      </c>
      <c r="C102" s="59">
        <v>0</v>
      </c>
      <c r="D102" s="18">
        <v>1</v>
      </c>
      <c r="E102" s="18">
        <v>0</v>
      </c>
      <c r="F102" s="18">
        <v>0</v>
      </c>
      <c r="G102" s="18">
        <v>0</v>
      </c>
      <c r="H102" s="18">
        <v>0</v>
      </c>
      <c r="I102" s="59">
        <v>0</v>
      </c>
      <c r="J102" s="19">
        <f t="shared" si="4"/>
        <v>0</v>
      </c>
      <c r="K102" s="19">
        <f t="shared" si="5"/>
        <v>1</v>
      </c>
      <c r="L102" s="19">
        <f t="shared" si="6"/>
        <v>0</v>
      </c>
      <c r="M102" s="19">
        <f t="shared" si="7"/>
        <v>0</v>
      </c>
    </row>
    <row r="103" spans="1:13" ht="15" customHeight="1" x14ac:dyDescent="0.2">
      <c r="A103" t="s">
        <v>108</v>
      </c>
      <c r="B103" s="18">
        <v>0</v>
      </c>
      <c r="C103" s="59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1</v>
      </c>
      <c r="I103" s="59">
        <v>0</v>
      </c>
      <c r="J103" s="19">
        <f t="shared" si="4"/>
        <v>1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">
      <c r="A104" t="s">
        <v>109</v>
      </c>
      <c r="B104" s="18">
        <v>0</v>
      </c>
      <c r="C104" s="59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59">
        <v>0</v>
      </c>
      <c r="J104" s="19">
        <f t="shared" si="4"/>
        <v>0</v>
      </c>
      <c r="K104" s="19">
        <f t="shared" si="5"/>
        <v>0</v>
      </c>
      <c r="L104" s="19">
        <f t="shared" si="6"/>
        <v>0</v>
      </c>
      <c r="M104" s="19">
        <f t="shared" si="7"/>
        <v>0</v>
      </c>
    </row>
    <row r="105" spans="1:13" ht="15" customHeight="1" x14ac:dyDescent="0.2">
      <c r="A105" t="s">
        <v>110</v>
      </c>
      <c r="B105" s="18">
        <v>0</v>
      </c>
      <c r="C105" s="59">
        <v>0</v>
      </c>
      <c r="D105" s="18">
        <v>0</v>
      </c>
      <c r="E105" s="18">
        <v>0</v>
      </c>
      <c r="F105" s="18">
        <v>1</v>
      </c>
      <c r="G105" s="18">
        <v>0</v>
      </c>
      <c r="H105" s="18">
        <v>0</v>
      </c>
      <c r="I105" s="59">
        <v>0</v>
      </c>
      <c r="J105" s="19">
        <f t="shared" si="4"/>
        <v>0</v>
      </c>
      <c r="K105" s="19">
        <f t="shared" si="5"/>
        <v>1</v>
      </c>
      <c r="L105" s="19">
        <f t="shared" si="6"/>
        <v>0</v>
      </c>
      <c r="M105" s="19">
        <f t="shared" si="7"/>
        <v>0</v>
      </c>
    </row>
    <row r="106" spans="1:13" ht="15" customHeight="1" x14ac:dyDescent="0.2">
      <c r="A106" t="s">
        <v>5</v>
      </c>
      <c r="B106" s="18">
        <v>0</v>
      </c>
      <c r="C106" s="59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59">
        <v>0</v>
      </c>
      <c r="J106" s="19">
        <f t="shared" si="4"/>
        <v>0</v>
      </c>
      <c r="K106" s="19">
        <f t="shared" si="5"/>
        <v>0</v>
      </c>
      <c r="L106" s="19">
        <f t="shared" si="6"/>
        <v>0</v>
      </c>
      <c r="M106" s="19">
        <f t="shared" si="7"/>
        <v>0</v>
      </c>
    </row>
    <row r="107" spans="1:13" ht="15" customHeight="1" x14ac:dyDescent="0.2">
      <c r="A107" t="s">
        <v>16</v>
      </c>
      <c r="B107" s="18">
        <v>0</v>
      </c>
      <c r="C107" s="59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59">
        <v>0</v>
      </c>
      <c r="J107" s="19">
        <f t="shared" si="4"/>
        <v>0</v>
      </c>
      <c r="K107" s="19">
        <f t="shared" si="5"/>
        <v>0</v>
      </c>
      <c r="L107" s="19">
        <f t="shared" si="6"/>
        <v>0</v>
      </c>
      <c r="M107" s="19">
        <f t="shared" si="7"/>
        <v>0</v>
      </c>
    </row>
    <row r="108" spans="1:13" ht="15" customHeight="1" x14ac:dyDescent="0.2">
      <c r="A108" t="s">
        <v>17</v>
      </c>
      <c r="B108" s="18">
        <v>0</v>
      </c>
      <c r="C108" s="59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59">
        <v>0</v>
      </c>
      <c r="J108" s="19">
        <f t="shared" si="4"/>
        <v>0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">
      <c r="A109" t="s">
        <v>18</v>
      </c>
      <c r="B109" s="18">
        <v>0</v>
      </c>
      <c r="C109" s="59">
        <v>0</v>
      </c>
      <c r="D109" s="18">
        <v>0</v>
      </c>
      <c r="E109" s="18">
        <v>0</v>
      </c>
      <c r="F109" s="18">
        <v>1</v>
      </c>
      <c r="G109" s="18">
        <v>0</v>
      </c>
      <c r="H109" s="18">
        <v>0</v>
      </c>
      <c r="I109" s="59">
        <v>0</v>
      </c>
      <c r="J109" s="19">
        <f t="shared" si="4"/>
        <v>0</v>
      </c>
      <c r="K109" s="19">
        <f t="shared" si="5"/>
        <v>1</v>
      </c>
      <c r="L109" s="19">
        <f t="shared" si="6"/>
        <v>0</v>
      </c>
      <c r="M109" s="19">
        <f t="shared" si="7"/>
        <v>0</v>
      </c>
    </row>
    <row r="110" spans="1:13" ht="15" customHeight="1" x14ac:dyDescent="0.2">
      <c r="A110" t="s">
        <v>19</v>
      </c>
      <c r="B110" s="18">
        <v>0</v>
      </c>
      <c r="C110" s="59">
        <v>0</v>
      </c>
      <c r="D110" s="18">
        <v>0</v>
      </c>
      <c r="E110" s="18">
        <v>0</v>
      </c>
      <c r="F110" s="18">
        <v>0</v>
      </c>
      <c r="G110" s="18">
        <v>0</v>
      </c>
      <c r="H110" s="18">
        <v>0</v>
      </c>
      <c r="I110" s="59">
        <v>0</v>
      </c>
      <c r="J110" s="19">
        <f t="shared" si="4"/>
        <v>0</v>
      </c>
      <c r="K110" s="19">
        <f t="shared" si="5"/>
        <v>0</v>
      </c>
      <c r="L110" s="19">
        <f t="shared" si="6"/>
        <v>0</v>
      </c>
      <c r="M110" s="19">
        <f t="shared" si="7"/>
        <v>0</v>
      </c>
    </row>
    <row r="111" spans="1:13" ht="15" customHeight="1" x14ac:dyDescent="0.2">
      <c r="A111" t="s">
        <v>20</v>
      </c>
      <c r="B111" s="18">
        <v>0</v>
      </c>
      <c r="C111" s="59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59">
        <v>0</v>
      </c>
      <c r="J111" s="19">
        <f t="shared" si="4"/>
        <v>0</v>
      </c>
      <c r="K111" s="19">
        <f t="shared" si="5"/>
        <v>0</v>
      </c>
      <c r="L111" s="19">
        <f t="shared" si="6"/>
        <v>0</v>
      </c>
      <c r="M111" s="19">
        <f t="shared" si="7"/>
        <v>0</v>
      </c>
    </row>
    <row r="112" spans="1:13" ht="15" customHeight="1" x14ac:dyDescent="0.2">
      <c r="A112" t="s">
        <v>21</v>
      </c>
      <c r="B112" s="18">
        <v>0</v>
      </c>
      <c r="C112" s="59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59">
        <v>0</v>
      </c>
      <c r="J112" s="19">
        <f t="shared" si="4"/>
        <v>0</v>
      </c>
      <c r="K112" s="19">
        <f t="shared" si="5"/>
        <v>0</v>
      </c>
      <c r="L112" s="19">
        <f t="shared" si="6"/>
        <v>0</v>
      </c>
      <c r="M112" s="19">
        <f t="shared" si="7"/>
        <v>0</v>
      </c>
    </row>
    <row r="113" spans="1:13" ht="15" customHeight="1" x14ac:dyDescent="0.2">
      <c r="A113" t="s">
        <v>22</v>
      </c>
      <c r="B113" s="18">
        <v>0</v>
      </c>
      <c r="C113" s="59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59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">
      <c r="A114" t="s">
        <v>23</v>
      </c>
      <c r="B114" s="18">
        <v>0</v>
      </c>
      <c r="C114" s="59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59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">
      <c r="A115" t="s">
        <v>24</v>
      </c>
      <c r="B115" s="18">
        <v>0</v>
      </c>
      <c r="C115" s="59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59">
        <v>0</v>
      </c>
      <c r="J115" s="19">
        <f t="shared" si="4"/>
        <v>0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">
      <c r="A116" t="s">
        <v>25</v>
      </c>
      <c r="B116" s="18">
        <v>0</v>
      </c>
      <c r="C116" s="59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59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">
      <c r="A117" t="s">
        <v>26</v>
      </c>
      <c r="B117" s="18">
        <v>0</v>
      </c>
      <c r="C117" s="59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59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">
      <c r="A118" t="s">
        <v>27</v>
      </c>
      <c r="B118" s="18">
        <v>0</v>
      </c>
      <c r="C118" s="59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59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">
      <c r="A119" t="s">
        <v>28</v>
      </c>
      <c r="B119" s="18">
        <v>0</v>
      </c>
      <c r="C119" s="59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59">
        <v>0</v>
      </c>
      <c r="J119" s="19">
        <f t="shared" si="4"/>
        <v>0</v>
      </c>
      <c r="K119" s="19">
        <f t="shared" si="5"/>
        <v>0</v>
      </c>
      <c r="L119" s="19">
        <f t="shared" si="6"/>
        <v>0</v>
      </c>
      <c r="M119" s="19">
        <f t="shared" si="7"/>
        <v>0</v>
      </c>
    </row>
    <row r="120" spans="1:13" ht="15" customHeight="1" x14ac:dyDescent="0.2">
      <c r="A120" t="s">
        <v>29</v>
      </c>
      <c r="B120" s="18">
        <v>0</v>
      </c>
      <c r="C120" s="59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59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">
      <c r="A121" t="s">
        <v>30</v>
      </c>
      <c r="B121" s="18">
        <v>0</v>
      </c>
      <c r="C121" s="59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59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">
      <c r="A122" t="s">
        <v>31</v>
      </c>
      <c r="B122" s="18">
        <v>1</v>
      </c>
      <c r="C122" s="59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59">
        <v>0</v>
      </c>
      <c r="J122" s="19">
        <f t="shared" si="4"/>
        <v>1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">
      <c r="A123" t="s">
        <v>32</v>
      </c>
      <c r="B123" s="18">
        <v>0</v>
      </c>
      <c r="C123" s="59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1</v>
      </c>
      <c r="I123" s="59">
        <v>0</v>
      </c>
      <c r="J123" s="19">
        <f t="shared" si="4"/>
        <v>1</v>
      </c>
      <c r="K123" s="19">
        <f t="shared" si="5"/>
        <v>0</v>
      </c>
      <c r="L123" s="19">
        <f t="shared" si="6"/>
        <v>0</v>
      </c>
      <c r="M123" s="19">
        <f t="shared" si="7"/>
        <v>0</v>
      </c>
    </row>
    <row r="124" spans="1:13" ht="15" customHeight="1" x14ac:dyDescent="0.2">
      <c r="A124" t="s">
        <v>33</v>
      </c>
      <c r="B124" s="18">
        <v>0</v>
      </c>
      <c r="C124" s="59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59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">
      <c r="A125" t="s">
        <v>34</v>
      </c>
      <c r="B125" s="18">
        <v>0</v>
      </c>
      <c r="C125" s="59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59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">
      <c r="A126" t="s">
        <v>35</v>
      </c>
      <c r="B126" s="18">
        <v>0</v>
      </c>
      <c r="C126" s="59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59">
        <v>0</v>
      </c>
      <c r="J126" s="19">
        <f t="shared" si="4"/>
        <v>0</v>
      </c>
      <c r="K126" s="19">
        <f t="shared" si="5"/>
        <v>0</v>
      </c>
      <c r="L126" s="19">
        <f t="shared" si="6"/>
        <v>0</v>
      </c>
      <c r="M126" s="19">
        <f t="shared" si="7"/>
        <v>0</v>
      </c>
    </row>
    <row r="127" spans="1:13" ht="15" customHeight="1" x14ac:dyDescent="0.2">
      <c r="A127" t="s">
        <v>36</v>
      </c>
      <c r="B127" s="18">
        <v>0</v>
      </c>
      <c r="C127" s="59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59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">
      <c r="A128" t="s">
        <v>37</v>
      </c>
      <c r="B128" s="18">
        <v>0</v>
      </c>
      <c r="C128" s="59">
        <v>0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59">
        <v>0</v>
      </c>
      <c r="J128" s="19">
        <f t="shared" si="4"/>
        <v>0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s="33" customFormat="1" ht="15" customHeight="1" x14ac:dyDescent="0.2">
      <c r="A129" s="33" t="s">
        <v>38</v>
      </c>
      <c r="B129" s="61">
        <v>0</v>
      </c>
      <c r="C129" s="61">
        <v>1</v>
      </c>
      <c r="D129" s="61">
        <v>0</v>
      </c>
      <c r="E129" s="61">
        <v>0</v>
      </c>
      <c r="F129" s="61">
        <v>0</v>
      </c>
      <c r="G129" s="61">
        <v>0</v>
      </c>
      <c r="H129" s="61">
        <v>0</v>
      </c>
      <c r="I129" s="61">
        <v>0</v>
      </c>
      <c r="J129" s="62">
        <f t="shared" si="4"/>
        <v>0</v>
      </c>
      <c r="K129" s="62">
        <f t="shared" si="5"/>
        <v>0</v>
      </c>
      <c r="L129" s="62">
        <f t="shared" si="6"/>
        <v>1</v>
      </c>
      <c r="M129" s="62">
        <f t="shared" si="7"/>
        <v>0</v>
      </c>
    </row>
    <row r="130" spans="1:13" ht="15" customHeight="1" x14ac:dyDescent="0.2">
      <c r="A130" t="s">
        <v>39</v>
      </c>
      <c r="B130" s="18">
        <v>0</v>
      </c>
      <c r="C130" s="59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59">
        <v>0</v>
      </c>
      <c r="J130" s="19">
        <f t="shared" si="4"/>
        <v>0</v>
      </c>
      <c r="K130" s="19">
        <f t="shared" si="5"/>
        <v>0</v>
      </c>
      <c r="L130" s="19">
        <f t="shared" si="6"/>
        <v>0</v>
      </c>
      <c r="M130" s="19">
        <f t="shared" si="7"/>
        <v>0</v>
      </c>
    </row>
    <row r="131" spans="1:13" ht="15" customHeight="1" x14ac:dyDescent="0.2">
      <c r="A131" t="s">
        <v>40</v>
      </c>
      <c r="B131" s="18">
        <v>0</v>
      </c>
      <c r="C131" s="59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59">
        <v>0</v>
      </c>
      <c r="J131" s="19">
        <f t="shared" si="4"/>
        <v>0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">
      <c r="A132" t="s">
        <v>41</v>
      </c>
      <c r="B132" s="18">
        <v>1</v>
      </c>
      <c r="C132" s="59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59">
        <v>0</v>
      </c>
      <c r="J132" s="19">
        <f t="shared" si="4"/>
        <v>1</v>
      </c>
      <c r="K132" s="19">
        <f t="shared" si="5"/>
        <v>0</v>
      </c>
      <c r="L132" s="19">
        <f t="shared" si="6"/>
        <v>0</v>
      </c>
      <c r="M132" s="19">
        <f t="shared" si="7"/>
        <v>0</v>
      </c>
    </row>
    <row r="133" spans="1:13" ht="15" customHeight="1" x14ac:dyDescent="0.2">
      <c r="A133" t="s">
        <v>42</v>
      </c>
      <c r="B133" s="18">
        <v>1</v>
      </c>
      <c r="C133" s="59">
        <v>0</v>
      </c>
      <c r="D133" s="18">
        <v>0</v>
      </c>
      <c r="E133" s="18">
        <v>0</v>
      </c>
      <c r="F133" s="18">
        <v>0</v>
      </c>
      <c r="G133" s="18">
        <v>0</v>
      </c>
      <c r="H133" s="18">
        <v>0</v>
      </c>
      <c r="I133" s="59">
        <v>0</v>
      </c>
      <c r="J133" s="19">
        <f t="shared" si="4"/>
        <v>1</v>
      </c>
      <c r="K133" s="19">
        <f t="shared" si="5"/>
        <v>0</v>
      </c>
      <c r="L133" s="19">
        <f t="shared" si="6"/>
        <v>0</v>
      </c>
      <c r="M133" s="19">
        <f t="shared" si="7"/>
        <v>0</v>
      </c>
    </row>
    <row r="134" spans="1:13" ht="15" customHeight="1" x14ac:dyDescent="0.2">
      <c r="A134" t="s">
        <v>43</v>
      </c>
      <c r="B134" s="18">
        <v>0</v>
      </c>
      <c r="C134" s="59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59">
        <v>0</v>
      </c>
      <c r="J134" s="19">
        <f t="shared" si="4"/>
        <v>0</v>
      </c>
      <c r="K134" s="19">
        <f t="shared" si="5"/>
        <v>0</v>
      </c>
      <c r="L134" s="19">
        <f t="shared" si="6"/>
        <v>0</v>
      </c>
      <c r="M134" s="19">
        <f t="shared" si="7"/>
        <v>0</v>
      </c>
    </row>
    <row r="135" spans="1:13" ht="15" customHeight="1" x14ac:dyDescent="0.2">
      <c r="A135" t="s">
        <v>44</v>
      </c>
      <c r="B135" s="18">
        <v>0</v>
      </c>
      <c r="C135" s="59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59">
        <v>0</v>
      </c>
      <c r="J135" s="19">
        <f t="shared" si="4"/>
        <v>0</v>
      </c>
      <c r="K135" s="19">
        <f t="shared" si="5"/>
        <v>0</v>
      </c>
      <c r="L135" s="19">
        <f t="shared" si="6"/>
        <v>0</v>
      </c>
      <c r="M135" s="19">
        <f t="shared" si="7"/>
        <v>0</v>
      </c>
    </row>
    <row r="136" spans="1:13" ht="15" customHeight="1" x14ac:dyDescent="0.2">
      <c r="A136" t="s">
        <v>45</v>
      </c>
      <c r="B136" s="18">
        <v>0</v>
      </c>
      <c r="C136" s="59">
        <v>0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59">
        <v>0</v>
      </c>
      <c r="J136" s="19">
        <f t="shared" si="4"/>
        <v>0</v>
      </c>
      <c r="K136" s="19">
        <f t="shared" si="5"/>
        <v>0</v>
      </c>
      <c r="L136" s="19">
        <f t="shared" si="6"/>
        <v>0</v>
      </c>
      <c r="M136" s="19">
        <f t="shared" si="7"/>
        <v>0</v>
      </c>
    </row>
    <row r="137" spans="1:13" s="33" customFormat="1" ht="15" customHeight="1" x14ac:dyDescent="0.2">
      <c r="A137" s="33" t="s">
        <v>46</v>
      </c>
      <c r="B137" s="61">
        <v>0</v>
      </c>
      <c r="C137" s="61">
        <v>0</v>
      </c>
      <c r="D137" s="61">
        <v>0</v>
      </c>
      <c r="E137" s="61">
        <v>0</v>
      </c>
      <c r="F137" s="61">
        <v>0</v>
      </c>
      <c r="G137" s="61">
        <v>0</v>
      </c>
      <c r="H137" s="61">
        <v>0</v>
      </c>
      <c r="I137" s="61">
        <v>1</v>
      </c>
      <c r="J137" s="62">
        <f t="shared" si="4"/>
        <v>0</v>
      </c>
      <c r="K137" s="62">
        <f t="shared" si="5"/>
        <v>0</v>
      </c>
      <c r="L137" s="62">
        <f t="shared" si="6"/>
        <v>1</v>
      </c>
      <c r="M137" s="62">
        <f t="shared" si="7"/>
        <v>0</v>
      </c>
    </row>
    <row r="138" spans="1:13" ht="15" customHeight="1" x14ac:dyDescent="0.2">
      <c r="A138" t="s">
        <v>47</v>
      </c>
      <c r="B138" s="18">
        <v>0</v>
      </c>
      <c r="C138" s="59">
        <v>0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59">
        <v>0</v>
      </c>
      <c r="J138" s="19">
        <f t="shared" si="4"/>
        <v>0</v>
      </c>
      <c r="K138" s="19">
        <f t="shared" si="5"/>
        <v>0</v>
      </c>
      <c r="L138" s="19">
        <f t="shared" si="6"/>
        <v>0</v>
      </c>
      <c r="M138" s="19">
        <f t="shared" si="7"/>
        <v>0</v>
      </c>
    </row>
    <row r="139" spans="1:13" ht="15" customHeight="1" x14ac:dyDescent="0.2">
      <c r="A139" t="s">
        <v>48</v>
      </c>
      <c r="B139" s="18">
        <v>1</v>
      </c>
      <c r="C139" s="59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59">
        <v>0</v>
      </c>
      <c r="J139" s="19">
        <f t="shared" ref="J139:J201" si="8">SUM(B139,H139)</f>
        <v>1</v>
      </c>
      <c r="K139" s="19">
        <f t="shared" ref="K139:K201" si="9">SUM(D139,F139)</f>
        <v>0</v>
      </c>
      <c r="L139" s="19">
        <f t="shared" ref="L139:L201" si="10">SUM(C139,I139)</f>
        <v>0</v>
      </c>
      <c r="M139" s="19">
        <f t="shared" ref="M139:M201" si="11">SUM(E139,G139)</f>
        <v>0</v>
      </c>
    </row>
    <row r="140" spans="1:13" ht="15" customHeight="1" x14ac:dyDescent="0.2">
      <c r="A140" t="s">
        <v>49</v>
      </c>
      <c r="B140" s="18">
        <v>1</v>
      </c>
      <c r="C140" s="59">
        <v>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59">
        <v>0</v>
      </c>
      <c r="J140" s="19">
        <f t="shared" si="8"/>
        <v>1</v>
      </c>
      <c r="K140" s="19">
        <f t="shared" si="9"/>
        <v>0</v>
      </c>
      <c r="L140" s="19">
        <f t="shared" si="10"/>
        <v>0</v>
      </c>
      <c r="M140" s="19">
        <f t="shared" si="11"/>
        <v>0</v>
      </c>
    </row>
    <row r="141" spans="1:13" ht="15" customHeight="1" x14ac:dyDescent="0.2">
      <c r="A141" t="s">
        <v>50</v>
      </c>
      <c r="B141" s="18">
        <v>0</v>
      </c>
      <c r="C141" s="59">
        <v>0</v>
      </c>
      <c r="D141" s="18">
        <v>1</v>
      </c>
      <c r="E141" s="18">
        <v>0</v>
      </c>
      <c r="F141" s="18">
        <v>0</v>
      </c>
      <c r="G141" s="18">
        <v>0</v>
      </c>
      <c r="H141" s="18">
        <v>0</v>
      </c>
      <c r="I141" s="59">
        <v>0</v>
      </c>
      <c r="J141" s="19">
        <f t="shared" si="8"/>
        <v>0</v>
      </c>
      <c r="K141" s="19">
        <f t="shared" si="9"/>
        <v>1</v>
      </c>
      <c r="L141" s="19">
        <f t="shared" si="10"/>
        <v>0</v>
      </c>
      <c r="M141" s="19">
        <f t="shared" si="11"/>
        <v>0</v>
      </c>
    </row>
    <row r="142" spans="1:13" ht="15" customHeight="1" x14ac:dyDescent="0.2">
      <c r="A142" t="s">
        <v>51</v>
      </c>
      <c r="B142" s="18">
        <v>0</v>
      </c>
      <c r="C142" s="59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1</v>
      </c>
      <c r="I142" s="59">
        <v>0</v>
      </c>
      <c r="J142" s="19">
        <f t="shared" si="8"/>
        <v>1</v>
      </c>
      <c r="K142" s="19">
        <f t="shared" si="9"/>
        <v>0</v>
      </c>
      <c r="L142" s="19">
        <f t="shared" si="10"/>
        <v>0</v>
      </c>
      <c r="M142" s="19">
        <f t="shared" si="11"/>
        <v>0</v>
      </c>
    </row>
    <row r="143" spans="1:13" ht="15" customHeight="1" x14ac:dyDescent="0.2">
      <c r="A143" t="s">
        <v>52</v>
      </c>
      <c r="B143" s="18">
        <v>0</v>
      </c>
      <c r="C143" s="59">
        <v>0</v>
      </c>
      <c r="D143" s="18">
        <v>0</v>
      </c>
      <c r="E143" s="18">
        <v>0</v>
      </c>
      <c r="F143" s="18">
        <v>1</v>
      </c>
      <c r="G143" s="18">
        <v>0</v>
      </c>
      <c r="H143" s="18">
        <v>0</v>
      </c>
      <c r="I143" s="59">
        <v>0</v>
      </c>
      <c r="J143" s="19">
        <f t="shared" si="8"/>
        <v>0</v>
      </c>
      <c r="K143" s="19">
        <f t="shared" si="9"/>
        <v>1</v>
      </c>
      <c r="L143" s="19">
        <f t="shared" si="10"/>
        <v>0</v>
      </c>
      <c r="M143" s="19">
        <f t="shared" si="11"/>
        <v>0</v>
      </c>
    </row>
    <row r="144" spans="1:13" ht="15" customHeight="1" x14ac:dyDescent="0.2">
      <c r="A144" t="s">
        <v>53</v>
      </c>
      <c r="B144" s="18">
        <v>0</v>
      </c>
      <c r="C144" s="59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59">
        <v>0</v>
      </c>
      <c r="J144" s="19">
        <f t="shared" si="8"/>
        <v>0</v>
      </c>
      <c r="K144" s="19">
        <f t="shared" si="9"/>
        <v>0</v>
      </c>
      <c r="L144" s="19">
        <f t="shared" si="10"/>
        <v>0</v>
      </c>
      <c r="M144" s="19">
        <f t="shared" si="11"/>
        <v>0</v>
      </c>
    </row>
    <row r="145" spans="1:13" ht="15" customHeight="1" x14ac:dyDescent="0.2">
      <c r="A145" t="s">
        <v>54</v>
      </c>
      <c r="B145" s="18">
        <v>0</v>
      </c>
      <c r="C145" s="59">
        <v>0</v>
      </c>
      <c r="D145" s="18">
        <v>0</v>
      </c>
      <c r="E145" s="18">
        <v>0</v>
      </c>
      <c r="F145" s="18">
        <v>0</v>
      </c>
      <c r="G145" s="18">
        <v>0</v>
      </c>
      <c r="H145" s="18">
        <v>0</v>
      </c>
      <c r="I145" s="59">
        <v>0</v>
      </c>
      <c r="J145" s="19">
        <f t="shared" si="8"/>
        <v>0</v>
      </c>
      <c r="K145" s="19">
        <f t="shared" si="9"/>
        <v>0</v>
      </c>
      <c r="L145" s="19">
        <f t="shared" si="10"/>
        <v>0</v>
      </c>
      <c r="M145" s="19">
        <f t="shared" si="11"/>
        <v>0</v>
      </c>
    </row>
    <row r="146" spans="1:13" ht="15" customHeight="1" x14ac:dyDescent="0.2">
      <c r="A146" t="s">
        <v>55</v>
      </c>
      <c r="B146" s="18">
        <v>0</v>
      </c>
      <c r="C146" s="59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59">
        <v>0</v>
      </c>
      <c r="J146" s="19">
        <f t="shared" si="8"/>
        <v>0</v>
      </c>
      <c r="K146" s="19">
        <f t="shared" si="9"/>
        <v>0</v>
      </c>
      <c r="L146" s="19">
        <f t="shared" si="10"/>
        <v>0</v>
      </c>
      <c r="M146" s="19">
        <f t="shared" si="11"/>
        <v>0</v>
      </c>
    </row>
    <row r="147" spans="1:13" ht="15" customHeight="1" x14ac:dyDescent="0.2">
      <c r="A147" t="s">
        <v>56</v>
      </c>
      <c r="B147" s="18">
        <v>0</v>
      </c>
      <c r="C147" s="59">
        <v>0</v>
      </c>
      <c r="D147" s="18">
        <v>0</v>
      </c>
      <c r="E147" s="18">
        <v>0</v>
      </c>
      <c r="F147" s="18">
        <v>1</v>
      </c>
      <c r="G147" s="18">
        <v>0</v>
      </c>
      <c r="H147" s="18">
        <v>0</v>
      </c>
      <c r="I147" s="59">
        <v>0</v>
      </c>
      <c r="J147" s="19">
        <f t="shared" si="8"/>
        <v>0</v>
      </c>
      <c r="K147" s="19">
        <f t="shared" si="9"/>
        <v>1</v>
      </c>
      <c r="L147" s="19">
        <f t="shared" si="10"/>
        <v>0</v>
      </c>
      <c r="M147" s="19">
        <f t="shared" si="11"/>
        <v>0</v>
      </c>
    </row>
    <row r="148" spans="1:13" ht="15" customHeight="1" x14ac:dyDescent="0.2">
      <c r="A148" t="s">
        <v>57</v>
      </c>
      <c r="B148" s="18">
        <v>2</v>
      </c>
      <c r="C148" s="59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59">
        <v>0</v>
      </c>
      <c r="J148" s="19">
        <f t="shared" si="8"/>
        <v>2</v>
      </c>
      <c r="K148" s="19">
        <f t="shared" si="9"/>
        <v>0</v>
      </c>
      <c r="L148" s="19">
        <f t="shared" si="10"/>
        <v>0</v>
      </c>
      <c r="M148" s="19">
        <f t="shared" si="11"/>
        <v>0</v>
      </c>
    </row>
    <row r="149" spans="1:13" ht="15" customHeight="1" x14ac:dyDescent="0.2">
      <c r="A149" t="s">
        <v>58</v>
      </c>
      <c r="B149" s="18">
        <v>2</v>
      </c>
      <c r="C149" s="59">
        <v>0</v>
      </c>
      <c r="D149" s="18">
        <v>1</v>
      </c>
      <c r="E149" s="18">
        <v>0</v>
      </c>
      <c r="F149" s="18">
        <v>0</v>
      </c>
      <c r="G149" s="18">
        <v>0</v>
      </c>
      <c r="H149" s="18">
        <v>0</v>
      </c>
      <c r="I149" s="59">
        <v>0</v>
      </c>
      <c r="J149" s="19">
        <f t="shared" si="8"/>
        <v>2</v>
      </c>
      <c r="K149" s="19">
        <f t="shared" si="9"/>
        <v>1</v>
      </c>
      <c r="L149" s="19">
        <f t="shared" si="10"/>
        <v>0</v>
      </c>
      <c r="M149" s="19">
        <f t="shared" si="11"/>
        <v>0</v>
      </c>
    </row>
    <row r="150" spans="1:13" ht="15" customHeight="1" x14ac:dyDescent="0.2">
      <c r="A150" t="s">
        <v>59</v>
      </c>
      <c r="B150" s="18">
        <v>0</v>
      </c>
      <c r="C150" s="59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59">
        <v>0</v>
      </c>
      <c r="J150" s="19">
        <f t="shared" si="8"/>
        <v>0</v>
      </c>
      <c r="K150" s="19">
        <f t="shared" si="9"/>
        <v>0</v>
      </c>
      <c r="L150" s="19">
        <f t="shared" si="10"/>
        <v>0</v>
      </c>
      <c r="M150" s="19">
        <f t="shared" si="11"/>
        <v>0</v>
      </c>
    </row>
    <row r="151" spans="1:13" ht="15" customHeight="1" x14ac:dyDescent="0.2">
      <c r="A151" t="s">
        <v>60</v>
      </c>
      <c r="B151" s="18">
        <v>1</v>
      </c>
      <c r="C151" s="59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59">
        <v>0</v>
      </c>
      <c r="J151" s="19">
        <f t="shared" si="8"/>
        <v>1</v>
      </c>
      <c r="K151" s="19">
        <f t="shared" si="9"/>
        <v>0</v>
      </c>
      <c r="L151" s="19">
        <f t="shared" si="10"/>
        <v>0</v>
      </c>
      <c r="M151" s="19">
        <f t="shared" si="11"/>
        <v>0</v>
      </c>
    </row>
    <row r="152" spans="1:13" ht="15" customHeight="1" x14ac:dyDescent="0.2">
      <c r="A152" t="s">
        <v>61</v>
      </c>
      <c r="B152" s="18">
        <v>1</v>
      </c>
      <c r="C152" s="59">
        <v>0</v>
      </c>
      <c r="D152" s="18">
        <v>0</v>
      </c>
      <c r="E152" s="18">
        <v>0</v>
      </c>
      <c r="F152" s="18">
        <v>2</v>
      </c>
      <c r="G152" s="18">
        <v>0</v>
      </c>
      <c r="H152" s="18">
        <v>0</v>
      </c>
      <c r="I152" s="59">
        <v>0</v>
      </c>
      <c r="J152" s="19">
        <f t="shared" si="8"/>
        <v>1</v>
      </c>
      <c r="K152" s="19">
        <f t="shared" si="9"/>
        <v>2</v>
      </c>
      <c r="L152" s="19">
        <f t="shared" si="10"/>
        <v>0</v>
      </c>
      <c r="M152" s="19">
        <f t="shared" si="11"/>
        <v>0</v>
      </c>
    </row>
    <row r="153" spans="1:13" ht="15" customHeight="1" x14ac:dyDescent="0.2">
      <c r="A153" t="s">
        <v>62</v>
      </c>
      <c r="B153" s="18">
        <v>0</v>
      </c>
      <c r="C153" s="59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59">
        <v>0</v>
      </c>
      <c r="J153" s="19">
        <f t="shared" si="8"/>
        <v>0</v>
      </c>
      <c r="K153" s="19">
        <f t="shared" si="9"/>
        <v>0</v>
      </c>
      <c r="L153" s="19">
        <f t="shared" si="10"/>
        <v>0</v>
      </c>
      <c r="M153" s="19">
        <f t="shared" si="11"/>
        <v>0</v>
      </c>
    </row>
    <row r="154" spans="1:13" ht="15" customHeight="1" x14ac:dyDescent="0.2">
      <c r="A154" t="s">
        <v>63</v>
      </c>
      <c r="B154" s="18">
        <v>0</v>
      </c>
      <c r="C154" s="59">
        <v>0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59">
        <v>0</v>
      </c>
      <c r="J154" s="19">
        <f t="shared" si="8"/>
        <v>0</v>
      </c>
      <c r="K154" s="19">
        <f t="shared" si="9"/>
        <v>0</v>
      </c>
      <c r="L154" s="19">
        <f t="shared" si="10"/>
        <v>0</v>
      </c>
      <c r="M154" s="19">
        <f t="shared" si="11"/>
        <v>0</v>
      </c>
    </row>
    <row r="155" spans="1:13" ht="15" customHeight="1" x14ac:dyDescent="0.2">
      <c r="A155" t="s">
        <v>64</v>
      </c>
      <c r="B155" s="18">
        <v>1</v>
      </c>
      <c r="C155" s="59">
        <v>0</v>
      </c>
      <c r="D155" s="18">
        <v>0</v>
      </c>
      <c r="E155" s="18">
        <v>0</v>
      </c>
      <c r="F155" s="18">
        <v>1</v>
      </c>
      <c r="G155" s="18">
        <v>0</v>
      </c>
      <c r="H155" s="18">
        <v>0</v>
      </c>
      <c r="I155" s="59">
        <v>0</v>
      </c>
      <c r="J155" s="19">
        <f t="shared" si="8"/>
        <v>1</v>
      </c>
      <c r="K155" s="19">
        <f t="shared" si="9"/>
        <v>1</v>
      </c>
      <c r="L155" s="19">
        <f t="shared" si="10"/>
        <v>0</v>
      </c>
      <c r="M155" s="19">
        <f t="shared" si="11"/>
        <v>0</v>
      </c>
    </row>
    <row r="156" spans="1:13" ht="15" customHeight="1" x14ac:dyDescent="0.2">
      <c r="A156" t="s">
        <v>65</v>
      </c>
      <c r="B156" s="18">
        <v>1</v>
      </c>
      <c r="C156" s="59">
        <v>0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59">
        <v>0</v>
      </c>
      <c r="J156" s="19">
        <f t="shared" si="8"/>
        <v>1</v>
      </c>
      <c r="K156" s="19">
        <f t="shared" si="9"/>
        <v>0</v>
      </c>
      <c r="L156" s="19">
        <f t="shared" si="10"/>
        <v>0</v>
      </c>
      <c r="M156" s="19">
        <f t="shared" si="11"/>
        <v>0</v>
      </c>
    </row>
    <row r="157" spans="1:13" ht="15" customHeight="1" x14ac:dyDescent="0.2">
      <c r="A157" t="s">
        <v>66</v>
      </c>
      <c r="B157" s="18">
        <v>1</v>
      </c>
      <c r="C157" s="59">
        <v>0</v>
      </c>
      <c r="D157" s="18">
        <v>1</v>
      </c>
      <c r="E157" s="18">
        <v>0</v>
      </c>
      <c r="F157" s="18">
        <v>0</v>
      </c>
      <c r="G157" s="18">
        <v>0</v>
      </c>
      <c r="H157" s="18">
        <v>0</v>
      </c>
      <c r="I157" s="59">
        <v>0</v>
      </c>
      <c r="J157" s="19">
        <f t="shared" si="8"/>
        <v>1</v>
      </c>
      <c r="K157" s="19">
        <f t="shared" si="9"/>
        <v>1</v>
      </c>
      <c r="L157" s="19">
        <f t="shared" si="10"/>
        <v>0</v>
      </c>
      <c r="M157" s="19">
        <f t="shared" si="11"/>
        <v>0</v>
      </c>
    </row>
    <row r="158" spans="1:13" ht="15" customHeight="1" x14ac:dyDescent="0.2">
      <c r="A158" t="s">
        <v>67</v>
      </c>
      <c r="B158" s="18">
        <v>0</v>
      </c>
      <c r="C158" s="59">
        <v>0</v>
      </c>
      <c r="D158" s="18">
        <v>0</v>
      </c>
      <c r="E158" s="18">
        <v>0</v>
      </c>
      <c r="F158" s="18">
        <v>0</v>
      </c>
      <c r="G158" s="18">
        <v>0</v>
      </c>
      <c r="H158" s="18">
        <v>1</v>
      </c>
      <c r="I158" s="59">
        <v>0</v>
      </c>
      <c r="J158" s="19">
        <f t="shared" si="8"/>
        <v>1</v>
      </c>
      <c r="K158" s="19">
        <f t="shared" si="9"/>
        <v>0</v>
      </c>
      <c r="L158" s="19">
        <f t="shared" si="10"/>
        <v>0</v>
      </c>
      <c r="M158" s="19">
        <f t="shared" si="11"/>
        <v>0</v>
      </c>
    </row>
    <row r="159" spans="1:13" ht="15" customHeight="1" x14ac:dyDescent="0.2">
      <c r="A159" t="s">
        <v>68</v>
      </c>
      <c r="B159" s="18">
        <v>0</v>
      </c>
      <c r="C159" s="59">
        <v>0</v>
      </c>
      <c r="D159" s="18">
        <v>1</v>
      </c>
      <c r="E159" s="18">
        <v>0</v>
      </c>
      <c r="F159" s="18">
        <v>1</v>
      </c>
      <c r="G159" s="18">
        <v>0</v>
      </c>
      <c r="H159" s="18">
        <v>0</v>
      </c>
      <c r="I159" s="59">
        <v>0</v>
      </c>
      <c r="J159" s="19">
        <f t="shared" si="8"/>
        <v>0</v>
      </c>
      <c r="K159" s="19">
        <f t="shared" si="9"/>
        <v>2</v>
      </c>
      <c r="L159" s="19">
        <f t="shared" si="10"/>
        <v>0</v>
      </c>
      <c r="M159" s="19">
        <f t="shared" si="11"/>
        <v>0</v>
      </c>
    </row>
    <row r="160" spans="1:13" ht="15" customHeight="1" x14ac:dyDescent="0.2">
      <c r="A160" t="s">
        <v>69</v>
      </c>
      <c r="B160" s="18">
        <v>0</v>
      </c>
      <c r="C160" s="59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59">
        <v>0</v>
      </c>
      <c r="J160" s="19">
        <f t="shared" si="8"/>
        <v>0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">
      <c r="A161" t="s">
        <v>70</v>
      </c>
      <c r="B161" s="18">
        <v>0</v>
      </c>
      <c r="C161" s="59">
        <v>0</v>
      </c>
      <c r="D161" s="18">
        <v>1</v>
      </c>
      <c r="E161" s="18">
        <v>0</v>
      </c>
      <c r="F161" s="18">
        <v>0</v>
      </c>
      <c r="G161" s="18">
        <v>0</v>
      </c>
      <c r="H161" s="18">
        <v>0</v>
      </c>
      <c r="I161" s="59">
        <v>0</v>
      </c>
      <c r="J161" s="19">
        <f t="shared" si="8"/>
        <v>0</v>
      </c>
      <c r="K161" s="19">
        <f t="shared" si="9"/>
        <v>1</v>
      </c>
      <c r="L161" s="19">
        <f t="shared" si="10"/>
        <v>0</v>
      </c>
      <c r="M161" s="19">
        <f t="shared" si="11"/>
        <v>0</v>
      </c>
    </row>
    <row r="162" spans="1:13" ht="15" customHeight="1" x14ac:dyDescent="0.2">
      <c r="A162" t="s">
        <v>71</v>
      </c>
      <c r="B162" s="18">
        <v>0</v>
      </c>
      <c r="C162" s="59">
        <v>0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59">
        <v>0</v>
      </c>
      <c r="J162" s="19">
        <f t="shared" si="8"/>
        <v>0</v>
      </c>
      <c r="K162" s="19">
        <f t="shared" si="9"/>
        <v>0</v>
      </c>
      <c r="L162" s="19">
        <f t="shared" si="10"/>
        <v>0</v>
      </c>
      <c r="M162" s="19">
        <f t="shared" si="11"/>
        <v>0</v>
      </c>
    </row>
    <row r="163" spans="1:13" ht="15" customHeight="1" x14ac:dyDescent="0.2">
      <c r="A163" t="s">
        <v>72</v>
      </c>
      <c r="B163" s="18">
        <v>0</v>
      </c>
      <c r="C163" s="59">
        <v>0</v>
      </c>
      <c r="D163" s="18">
        <v>0</v>
      </c>
      <c r="E163" s="18">
        <v>0</v>
      </c>
      <c r="F163" s="18">
        <v>1</v>
      </c>
      <c r="G163" s="18">
        <v>0</v>
      </c>
      <c r="H163" s="18">
        <v>2</v>
      </c>
      <c r="I163" s="59">
        <v>0</v>
      </c>
      <c r="J163" s="19">
        <f t="shared" si="8"/>
        <v>2</v>
      </c>
      <c r="K163" s="19">
        <f t="shared" si="9"/>
        <v>1</v>
      </c>
      <c r="L163" s="19">
        <f t="shared" si="10"/>
        <v>0</v>
      </c>
      <c r="M163" s="19">
        <f t="shared" si="11"/>
        <v>0</v>
      </c>
    </row>
    <row r="164" spans="1:13" ht="15" customHeight="1" x14ac:dyDescent="0.2">
      <c r="A164" t="s">
        <v>73</v>
      </c>
      <c r="B164" s="18">
        <v>0</v>
      </c>
      <c r="C164" s="59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59">
        <v>0</v>
      </c>
      <c r="J164" s="19">
        <f t="shared" si="8"/>
        <v>0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">
      <c r="A165" t="s">
        <v>74</v>
      </c>
      <c r="B165" s="18">
        <v>0</v>
      </c>
      <c r="C165" s="59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2</v>
      </c>
      <c r="I165" s="59">
        <v>0</v>
      </c>
      <c r="J165" s="19">
        <f t="shared" si="8"/>
        <v>2</v>
      </c>
      <c r="K165" s="19">
        <f t="shared" si="9"/>
        <v>0</v>
      </c>
      <c r="L165" s="19">
        <f t="shared" si="10"/>
        <v>0</v>
      </c>
      <c r="M165" s="19">
        <f t="shared" si="11"/>
        <v>0</v>
      </c>
    </row>
    <row r="166" spans="1:13" ht="15" customHeight="1" x14ac:dyDescent="0.2">
      <c r="A166" t="s">
        <v>75</v>
      </c>
      <c r="B166" s="18">
        <v>0</v>
      </c>
      <c r="C166" s="59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1</v>
      </c>
      <c r="I166" s="59">
        <v>0</v>
      </c>
      <c r="J166" s="19">
        <f t="shared" si="8"/>
        <v>1</v>
      </c>
      <c r="K166" s="19">
        <f t="shared" si="9"/>
        <v>0</v>
      </c>
      <c r="L166" s="19">
        <f t="shared" si="10"/>
        <v>0</v>
      </c>
      <c r="M166" s="19">
        <f t="shared" si="11"/>
        <v>0</v>
      </c>
    </row>
    <row r="167" spans="1:13" ht="15" customHeight="1" x14ac:dyDescent="0.2">
      <c r="A167" t="s">
        <v>76</v>
      </c>
      <c r="B167" s="18">
        <v>0</v>
      </c>
      <c r="C167" s="59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1</v>
      </c>
      <c r="I167" s="59">
        <v>0</v>
      </c>
      <c r="J167" s="19">
        <f t="shared" si="8"/>
        <v>1</v>
      </c>
      <c r="K167" s="19">
        <f t="shared" si="9"/>
        <v>0</v>
      </c>
      <c r="L167" s="19">
        <f t="shared" si="10"/>
        <v>0</v>
      </c>
      <c r="M167" s="19">
        <f t="shared" si="11"/>
        <v>0</v>
      </c>
    </row>
    <row r="168" spans="1:13" ht="15" customHeight="1" x14ac:dyDescent="0.2">
      <c r="A168" t="s">
        <v>77</v>
      </c>
      <c r="B168" s="18">
        <v>0</v>
      </c>
      <c r="C168" s="59">
        <v>0</v>
      </c>
      <c r="D168" s="18">
        <v>0</v>
      </c>
      <c r="E168" s="18">
        <v>0</v>
      </c>
      <c r="F168" s="18">
        <v>1</v>
      </c>
      <c r="G168" s="18">
        <v>2</v>
      </c>
      <c r="H168" s="18">
        <v>0</v>
      </c>
      <c r="I168" s="59">
        <v>0</v>
      </c>
      <c r="J168" s="19">
        <f t="shared" si="8"/>
        <v>0</v>
      </c>
      <c r="K168" s="19">
        <f t="shared" si="9"/>
        <v>1</v>
      </c>
      <c r="L168" s="19">
        <f t="shared" si="10"/>
        <v>0</v>
      </c>
      <c r="M168" s="19">
        <f t="shared" si="11"/>
        <v>2</v>
      </c>
    </row>
    <row r="169" spans="1:13" ht="15" customHeight="1" x14ac:dyDescent="0.2">
      <c r="A169" t="s">
        <v>78</v>
      </c>
      <c r="B169" s="18">
        <v>1</v>
      </c>
      <c r="C169" s="59">
        <v>0</v>
      </c>
      <c r="D169" s="18">
        <v>0</v>
      </c>
      <c r="E169" s="18">
        <v>0</v>
      </c>
      <c r="F169" s="18">
        <v>0</v>
      </c>
      <c r="G169" s="18">
        <v>0</v>
      </c>
      <c r="H169" s="18">
        <v>1</v>
      </c>
      <c r="I169" s="59">
        <v>0</v>
      </c>
      <c r="J169" s="19">
        <f t="shared" si="8"/>
        <v>2</v>
      </c>
      <c r="K169" s="19">
        <f t="shared" si="9"/>
        <v>0</v>
      </c>
      <c r="L169" s="19">
        <f t="shared" si="10"/>
        <v>0</v>
      </c>
      <c r="M169" s="19">
        <f t="shared" si="11"/>
        <v>0</v>
      </c>
    </row>
    <row r="170" spans="1:13" ht="15" customHeight="1" x14ac:dyDescent="0.2">
      <c r="A170" t="s">
        <v>79</v>
      </c>
      <c r="B170" s="18">
        <v>0</v>
      </c>
      <c r="C170" s="59">
        <v>0</v>
      </c>
      <c r="D170" s="18">
        <v>0</v>
      </c>
      <c r="E170" s="18">
        <v>0</v>
      </c>
      <c r="F170" s="18">
        <v>1</v>
      </c>
      <c r="G170" s="18">
        <v>0</v>
      </c>
      <c r="H170" s="18">
        <v>0</v>
      </c>
      <c r="I170" s="59">
        <v>0</v>
      </c>
      <c r="J170" s="19">
        <f t="shared" si="8"/>
        <v>0</v>
      </c>
      <c r="K170" s="19">
        <f t="shared" si="9"/>
        <v>1</v>
      </c>
      <c r="L170" s="19">
        <f t="shared" si="10"/>
        <v>0</v>
      </c>
      <c r="M170" s="19">
        <f t="shared" si="11"/>
        <v>0</v>
      </c>
    </row>
    <row r="171" spans="1:13" ht="15" customHeight="1" x14ac:dyDescent="0.2">
      <c r="A171" t="s">
        <v>80</v>
      </c>
      <c r="B171" s="18">
        <v>0</v>
      </c>
      <c r="C171" s="59">
        <v>0</v>
      </c>
      <c r="D171" s="18">
        <v>0</v>
      </c>
      <c r="E171" s="18">
        <v>0</v>
      </c>
      <c r="F171" s="18">
        <v>1</v>
      </c>
      <c r="G171" s="18">
        <v>0</v>
      </c>
      <c r="H171" s="18">
        <v>0</v>
      </c>
      <c r="I171" s="59">
        <v>0</v>
      </c>
      <c r="J171" s="19">
        <f t="shared" si="8"/>
        <v>0</v>
      </c>
      <c r="K171" s="19">
        <f t="shared" si="9"/>
        <v>1</v>
      </c>
      <c r="L171" s="19">
        <f t="shared" si="10"/>
        <v>0</v>
      </c>
      <c r="M171" s="19">
        <f t="shared" si="11"/>
        <v>0</v>
      </c>
    </row>
    <row r="172" spans="1:13" ht="15" customHeight="1" x14ac:dyDescent="0.2">
      <c r="A172" t="s">
        <v>81</v>
      </c>
      <c r="B172" s="18">
        <v>0</v>
      </c>
      <c r="C172" s="59">
        <v>0</v>
      </c>
      <c r="D172" s="18">
        <v>1</v>
      </c>
      <c r="E172" s="18">
        <v>0</v>
      </c>
      <c r="F172" s="18">
        <v>1</v>
      </c>
      <c r="G172" s="18">
        <v>0</v>
      </c>
      <c r="H172" s="18">
        <v>0</v>
      </c>
      <c r="I172" s="59">
        <v>0</v>
      </c>
      <c r="J172" s="19">
        <f t="shared" si="8"/>
        <v>0</v>
      </c>
      <c r="K172" s="19">
        <f t="shared" si="9"/>
        <v>2</v>
      </c>
      <c r="L172" s="19">
        <f t="shared" si="10"/>
        <v>0</v>
      </c>
      <c r="M172" s="19">
        <f t="shared" si="11"/>
        <v>0</v>
      </c>
    </row>
    <row r="173" spans="1:13" ht="15" customHeight="1" x14ac:dyDescent="0.2">
      <c r="A173" t="s">
        <v>82</v>
      </c>
      <c r="B173" s="18">
        <v>2</v>
      </c>
      <c r="C173" s="59">
        <v>0</v>
      </c>
      <c r="D173" s="18">
        <v>0</v>
      </c>
      <c r="E173" s="18">
        <v>0</v>
      </c>
      <c r="F173" s="18">
        <v>1</v>
      </c>
      <c r="G173" s="18">
        <v>0</v>
      </c>
      <c r="H173" s="18">
        <v>1</v>
      </c>
      <c r="I173" s="59">
        <v>0</v>
      </c>
      <c r="J173" s="19">
        <f t="shared" si="8"/>
        <v>3</v>
      </c>
      <c r="K173" s="19">
        <f t="shared" si="9"/>
        <v>1</v>
      </c>
      <c r="L173" s="19">
        <f t="shared" si="10"/>
        <v>0</v>
      </c>
      <c r="M173" s="19">
        <f t="shared" si="11"/>
        <v>0</v>
      </c>
    </row>
    <row r="174" spans="1:13" ht="15" customHeight="1" x14ac:dyDescent="0.2">
      <c r="A174" t="s">
        <v>83</v>
      </c>
      <c r="B174" s="18">
        <v>0</v>
      </c>
      <c r="C174" s="59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59">
        <v>0</v>
      </c>
      <c r="J174" s="19">
        <f t="shared" si="8"/>
        <v>0</v>
      </c>
      <c r="K174" s="19">
        <f t="shared" si="9"/>
        <v>0</v>
      </c>
      <c r="L174" s="19">
        <f t="shared" si="10"/>
        <v>0</v>
      </c>
      <c r="M174" s="19">
        <f t="shared" si="11"/>
        <v>0</v>
      </c>
    </row>
    <row r="175" spans="1:13" ht="15" customHeight="1" x14ac:dyDescent="0.2">
      <c r="A175" t="s">
        <v>84</v>
      </c>
      <c r="B175" s="18">
        <v>0</v>
      </c>
      <c r="C175" s="59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59">
        <v>0</v>
      </c>
      <c r="J175" s="19">
        <f t="shared" si="8"/>
        <v>0</v>
      </c>
      <c r="K175" s="19">
        <f t="shared" si="9"/>
        <v>0</v>
      </c>
      <c r="L175" s="19">
        <f t="shared" si="10"/>
        <v>0</v>
      </c>
      <c r="M175" s="19">
        <f t="shared" si="11"/>
        <v>0</v>
      </c>
    </row>
    <row r="176" spans="1:13" ht="15" customHeight="1" x14ac:dyDescent="0.2">
      <c r="A176" t="s">
        <v>85</v>
      </c>
      <c r="B176" s="18">
        <v>0</v>
      </c>
      <c r="C176" s="59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59">
        <v>0</v>
      </c>
      <c r="J176" s="19">
        <f t="shared" si="8"/>
        <v>0</v>
      </c>
      <c r="K176" s="19">
        <f t="shared" si="9"/>
        <v>0</v>
      </c>
      <c r="L176" s="19">
        <f t="shared" si="10"/>
        <v>0</v>
      </c>
      <c r="M176" s="19">
        <f t="shared" si="11"/>
        <v>0</v>
      </c>
    </row>
    <row r="177" spans="1:13" ht="15" customHeight="1" x14ac:dyDescent="0.2">
      <c r="A177" t="s">
        <v>86</v>
      </c>
      <c r="B177" s="18">
        <v>0</v>
      </c>
      <c r="C177" s="59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1</v>
      </c>
      <c r="I177" s="59">
        <v>0</v>
      </c>
      <c r="J177" s="19">
        <f t="shared" si="8"/>
        <v>1</v>
      </c>
      <c r="K177" s="19">
        <f t="shared" si="9"/>
        <v>0</v>
      </c>
      <c r="L177" s="19">
        <f t="shared" si="10"/>
        <v>0</v>
      </c>
      <c r="M177" s="19">
        <f t="shared" si="11"/>
        <v>0</v>
      </c>
    </row>
    <row r="178" spans="1:13" ht="15" customHeight="1" x14ac:dyDescent="0.2">
      <c r="A178" t="s">
        <v>87</v>
      </c>
      <c r="B178" s="18">
        <v>1</v>
      </c>
      <c r="C178" s="59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59">
        <v>0</v>
      </c>
      <c r="J178" s="19">
        <f t="shared" si="8"/>
        <v>1</v>
      </c>
      <c r="K178" s="19">
        <f t="shared" si="9"/>
        <v>0</v>
      </c>
      <c r="L178" s="19">
        <f t="shared" si="10"/>
        <v>0</v>
      </c>
      <c r="M178" s="19">
        <f t="shared" si="11"/>
        <v>0</v>
      </c>
    </row>
    <row r="179" spans="1:13" ht="15" customHeight="1" x14ac:dyDescent="0.2">
      <c r="A179" t="s">
        <v>88</v>
      </c>
      <c r="B179" s="18">
        <v>0</v>
      </c>
      <c r="C179" s="59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59">
        <v>0</v>
      </c>
      <c r="J179" s="19">
        <f t="shared" si="8"/>
        <v>0</v>
      </c>
      <c r="K179" s="19">
        <f t="shared" si="9"/>
        <v>0</v>
      </c>
      <c r="L179" s="19">
        <f t="shared" si="10"/>
        <v>0</v>
      </c>
      <c r="M179" s="19">
        <f t="shared" si="11"/>
        <v>0</v>
      </c>
    </row>
    <row r="180" spans="1:13" ht="15" customHeight="1" x14ac:dyDescent="0.2">
      <c r="A180" t="s">
        <v>89</v>
      </c>
      <c r="B180" s="18">
        <v>0</v>
      </c>
      <c r="C180" s="59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59">
        <v>0</v>
      </c>
      <c r="J180" s="19">
        <f t="shared" si="8"/>
        <v>0</v>
      </c>
      <c r="K180" s="19">
        <f t="shared" si="9"/>
        <v>0</v>
      </c>
      <c r="L180" s="19">
        <f t="shared" si="10"/>
        <v>0</v>
      </c>
      <c r="M180" s="19">
        <f t="shared" si="11"/>
        <v>0</v>
      </c>
    </row>
    <row r="181" spans="1:13" ht="15" customHeight="1" x14ac:dyDescent="0.2">
      <c r="A181" t="s">
        <v>90</v>
      </c>
      <c r="B181" s="18">
        <v>1</v>
      </c>
      <c r="C181" s="59">
        <v>0</v>
      </c>
      <c r="D181" s="18">
        <v>0</v>
      </c>
      <c r="E181" s="18">
        <v>0</v>
      </c>
      <c r="F181" s="18">
        <v>1</v>
      </c>
      <c r="G181" s="18">
        <v>0</v>
      </c>
      <c r="H181" s="18">
        <v>1</v>
      </c>
      <c r="I181" s="59">
        <v>0</v>
      </c>
      <c r="J181" s="19">
        <f t="shared" si="8"/>
        <v>2</v>
      </c>
      <c r="K181" s="19">
        <f t="shared" si="9"/>
        <v>1</v>
      </c>
      <c r="L181" s="19">
        <f t="shared" si="10"/>
        <v>0</v>
      </c>
      <c r="M181" s="19">
        <f t="shared" si="11"/>
        <v>0</v>
      </c>
    </row>
    <row r="182" spans="1:13" ht="15" customHeight="1" x14ac:dyDescent="0.2">
      <c r="A182" t="s">
        <v>91</v>
      </c>
      <c r="B182" s="18">
        <v>0</v>
      </c>
      <c r="C182" s="59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59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</row>
    <row r="183" spans="1:13" ht="15" customHeight="1" x14ac:dyDescent="0.2">
      <c r="A183" t="s">
        <v>92</v>
      </c>
      <c r="B183" s="18">
        <v>3</v>
      </c>
      <c r="C183" s="59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59">
        <v>0</v>
      </c>
      <c r="J183" s="19">
        <f t="shared" si="8"/>
        <v>3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">
      <c r="A184" t="s">
        <v>93</v>
      </c>
      <c r="B184" s="18">
        <v>1</v>
      </c>
      <c r="C184" s="59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59">
        <v>0</v>
      </c>
      <c r="J184" s="19">
        <f t="shared" si="8"/>
        <v>1</v>
      </c>
      <c r="K184" s="19">
        <f t="shared" si="9"/>
        <v>0</v>
      </c>
      <c r="L184" s="19">
        <f t="shared" si="10"/>
        <v>0</v>
      </c>
      <c r="M184" s="19">
        <f t="shared" si="11"/>
        <v>0</v>
      </c>
    </row>
    <row r="185" spans="1:13" ht="15" customHeight="1" x14ac:dyDescent="0.2">
      <c r="A185" t="s">
        <v>94</v>
      </c>
      <c r="B185" s="18">
        <v>0</v>
      </c>
      <c r="C185" s="59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59">
        <v>0</v>
      </c>
      <c r="J185" s="19">
        <f t="shared" si="8"/>
        <v>0</v>
      </c>
      <c r="K185" s="19">
        <f t="shared" si="9"/>
        <v>0</v>
      </c>
      <c r="L185" s="19">
        <f t="shared" si="10"/>
        <v>0</v>
      </c>
      <c r="M185" s="19">
        <f t="shared" si="11"/>
        <v>0</v>
      </c>
    </row>
    <row r="186" spans="1:13" ht="15" customHeight="1" x14ac:dyDescent="0.2">
      <c r="A186" t="s">
        <v>95</v>
      </c>
      <c r="B186" s="18">
        <v>1</v>
      </c>
      <c r="C186" s="59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59">
        <v>0</v>
      </c>
      <c r="J186" s="19">
        <f t="shared" si="8"/>
        <v>1</v>
      </c>
      <c r="K186" s="19">
        <f t="shared" si="9"/>
        <v>0</v>
      </c>
      <c r="L186" s="19">
        <f t="shared" si="10"/>
        <v>0</v>
      </c>
      <c r="M186" s="19">
        <f t="shared" si="11"/>
        <v>0</v>
      </c>
    </row>
    <row r="187" spans="1:13" ht="15" customHeight="1" x14ac:dyDescent="0.2">
      <c r="A187" t="s">
        <v>96</v>
      </c>
      <c r="B187" s="18">
        <v>0</v>
      </c>
      <c r="C187" s="59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59">
        <v>0</v>
      </c>
      <c r="J187" s="19">
        <f t="shared" si="8"/>
        <v>0</v>
      </c>
      <c r="K187" s="19">
        <f t="shared" si="9"/>
        <v>0</v>
      </c>
      <c r="L187" s="19">
        <f t="shared" si="10"/>
        <v>0</v>
      </c>
      <c r="M187" s="19">
        <f t="shared" si="11"/>
        <v>0</v>
      </c>
    </row>
    <row r="188" spans="1:13" ht="15" customHeight="1" x14ac:dyDescent="0.2">
      <c r="A188" t="s">
        <v>97</v>
      </c>
      <c r="B188" s="18">
        <v>1</v>
      </c>
      <c r="C188" s="59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59">
        <v>0</v>
      </c>
      <c r="J188" s="19">
        <f t="shared" si="8"/>
        <v>1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">
      <c r="A189" t="s">
        <v>98</v>
      </c>
      <c r="B189" s="18">
        <v>1</v>
      </c>
      <c r="C189" s="59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59">
        <v>0</v>
      </c>
      <c r="J189" s="19">
        <f t="shared" si="8"/>
        <v>1</v>
      </c>
      <c r="K189" s="19">
        <f t="shared" si="9"/>
        <v>0</v>
      </c>
      <c r="L189" s="19">
        <f t="shared" si="10"/>
        <v>0</v>
      </c>
      <c r="M189" s="19">
        <f t="shared" si="11"/>
        <v>0</v>
      </c>
    </row>
    <row r="190" spans="1:13" ht="15" customHeight="1" x14ac:dyDescent="0.2">
      <c r="A190" t="s">
        <v>99</v>
      </c>
      <c r="B190" s="18">
        <v>0</v>
      </c>
      <c r="C190" s="59">
        <v>0</v>
      </c>
      <c r="D190" s="18">
        <v>1</v>
      </c>
      <c r="E190" s="18">
        <v>0</v>
      </c>
      <c r="F190" s="18">
        <v>0</v>
      </c>
      <c r="G190" s="18">
        <v>0</v>
      </c>
      <c r="H190" s="18">
        <v>0</v>
      </c>
      <c r="I190" s="59">
        <v>0</v>
      </c>
      <c r="J190" s="19">
        <f t="shared" si="8"/>
        <v>0</v>
      </c>
      <c r="K190" s="19">
        <f t="shared" si="9"/>
        <v>1</v>
      </c>
      <c r="L190" s="19">
        <f t="shared" si="10"/>
        <v>0</v>
      </c>
      <c r="M190" s="19">
        <f t="shared" si="11"/>
        <v>0</v>
      </c>
    </row>
    <row r="191" spans="1:13" ht="15" customHeight="1" x14ac:dyDescent="0.2">
      <c r="A191" t="s">
        <v>100</v>
      </c>
      <c r="B191" s="18">
        <v>0</v>
      </c>
      <c r="C191" s="59">
        <v>0</v>
      </c>
      <c r="D191" s="18">
        <v>1</v>
      </c>
      <c r="E191" s="18">
        <v>0</v>
      </c>
      <c r="F191" s="18">
        <v>0</v>
      </c>
      <c r="G191" s="18">
        <v>0</v>
      </c>
      <c r="H191" s="18">
        <v>0</v>
      </c>
      <c r="I191" s="59">
        <v>0</v>
      </c>
      <c r="J191" s="19">
        <f t="shared" si="8"/>
        <v>0</v>
      </c>
      <c r="K191" s="19">
        <f t="shared" si="9"/>
        <v>1</v>
      </c>
      <c r="L191" s="19">
        <f t="shared" si="10"/>
        <v>0</v>
      </c>
      <c r="M191" s="19">
        <f t="shared" si="11"/>
        <v>0</v>
      </c>
    </row>
    <row r="192" spans="1:13" ht="15" customHeight="1" x14ac:dyDescent="0.2">
      <c r="A192" t="s">
        <v>101</v>
      </c>
      <c r="B192" s="18">
        <v>1</v>
      </c>
      <c r="C192" s="59">
        <v>0</v>
      </c>
      <c r="D192" s="18">
        <v>1</v>
      </c>
      <c r="E192" s="18">
        <v>0</v>
      </c>
      <c r="F192" s="18">
        <v>0</v>
      </c>
      <c r="G192" s="18">
        <v>0</v>
      </c>
      <c r="H192" s="18">
        <v>0</v>
      </c>
      <c r="I192" s="59">
        <v>0</v>
      </c>
      <c r="J192" s="19">
        <f t="shared" si="8"/>
        <v>1</v>
      </c>
      <c r="K192" s="19">
        <f t="shared" si="9"/>
        <v>1</v>
      </c>
      <c r="L192" s="19">
        <f t="shared" si="10"/>
        <v>0</v>
      </c>
      <c r="M192" s="19">
        <f t="shared" si="11"/>
        <v>0</v>
      </c>
    </row>
    <row r="193" spans="1:13" ht="15" customHeight="1" x14ac:dyDescent="0.2">
      <c r="A193" t="s">
        <v>102</v>
      </c>
      <c r="B193" s="18">
        <v>0</v>
      </c>
      <c r="C193" s="59">
        <v>0</v>
      </c>
      <c r="D193" s="18">
        <v>1</v>
      </c>
      <c r="E193" s="18">
        <v>0</v>
      </c>
      <c r="F193" s="18">
        <v>0</v>
      </c>
      <c r="G193" s="18">
        <v>0</v>
      </c>
      <c r="H193" s="18">
        <v>0</v>
      </c>
      <c r="I193" s="59">
        <v>0</v>
      </c>
      <c r="J193" s="19">
        <f t="shared" si="8"/>
        <v>0</v>
      </c>
      <c r="K193" s="19">
        <f t="shared" si="9"/>
        <v>1</v>
      </c>
      <c r="L193" s="19">
        <f t="shared" si="10"/>
        <v>0</v>
      </c>
      <c r="M193" s="19">
        <f t="shared" si="11"/>
        <v>0</v>
      </c>
    </row>
    <row r="194" spans="1:13" ht="15" customHeight="1" x14ac:dyDescent="0.2">
      <c r="A194" t="s">
        <v>103</v>
      </c>
      <c r="B194" s="18">
        <v>0</v>
      </c>
      <c r="C194" s="59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59">
        <v>0</v>
      </c>
      <c r="J194" s="19">
        <f t="shared" si="8"/>
        <v>0</v>
      </c>
      <c r="K194" s="19">
        <f t="shared" si="9"/>
        <v>0</v>
      </c>
      <c r="L194" s="19">
        <f t="shared" si="10"/>
        <v>0</v>
      </c>
      <c r="M194" s="19">
        <f t="shared" si="11"/>
        <v>0</v>
      </c>
    </row>
    <row r="195" spans="1:13" ht="15" customHeight="1" x14ac:dyDescent="0.2">
      <c r="A195" t="s">
        <v>104</v>
      </c>
      <c r="B195" s="18">
        <v>0</v>
      </c>
      <c r="C195" s="59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59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3" ht="15" customHeight="1" x14ac:dyDescent="0.2">
      <c r="A196" t="s">
        <v>105</v>
      </c>
      <c r="B196" s="18">
        <v>0</v>
      </c>
      <c r="C196" s="59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59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3" ht="15" customHeight="1" x14ac:dyDescent="0.2">
      <c r="A197" t="s">
        <v>106</v>
      </c>
      <c r="B197" s="18">
        <v>0</v>
      </c>
      <c r="C197" s="59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59">
        <v>0</v>
      </c>
      <c r="J197" s="19">
        <f t="shared" si="8"/>
        <v>0</v>
      </c>
      <c r="K197" s="19">
        <f t="shared" si="9"/>
        <v>0</v>
      </c>
      <c r="L197" s="19">
        <f t="shared" si="10"/>
        <v>0</v>
      </c>
      <c r="M197" s="19">
        <f t="shared" si="11"/>
        <v>0</v>
      </c>
    </row>
    <row r="198" spans="1:13" ht="15" customHeight="1" x14ac:dyDescent="0.2">
      <c r="A198" t="s">
        <v>107</v>
      </c>
      <c r="B198" s="18">
        <v>0</v>
      </c>
      <c r="C198" s="59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59">
        <v>0</v>
      </c>
      <c r="J198" s="19">
        <f t="shared" si="8"/>
        <v>0</v>
      </c>
      <c r="K198" s="19">
        <f t="shared" si="9"/>
        <v>0</v>
      </c>
      <c r="L198" s="19">
        <f t="shared" si="10"/>
        <v>0</v>
      </c>
      <c r="M198" s="19">
        <f t="shared" si="11"/>
        <v>0</v>
      </c>
    </row>
    <row r="199" spans="1:13" ht="15" customHeight="1" x14ac:dyDescent="0.2">
      <c r="A199" t="s">
        <v>108</v>
      </c>
      <c r="B199" s="18">
        <v>0</v>
      </c>
      <c r="C199" s="59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59">
        <v>0</v>
      </c>
      <c r="J199" s="19">
        <f t="shared" si="8"/>
        <v>0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3" ht="15" customHeight="1" x14ac:dyDescent="0.2">
      <c r="A200" t="s">
        <v>109</v>
      </c>
      <c r="B200" s="18">
        <v>0</v>
      </c>
      <c r="C200" s="59">
        <v>0</v>
      </c>
      <c r="D200" s="18">
        <v>1</v>
      </c>
      <c r="E200" s="18">
        <v>0</v>
      </c>
      <c r="F200" s="18">
        <v>0</v>
      </c>
      <c r="G200" s="18">
        <v>0</v>
      </c>
      <c r="H200" s="18">
        <v>0</v>
      </c>
      <c r="I200" s="59">
        <v>0</v>
      </c>
      <c r="J200" s="19">
        <f t="shared" si="8"/>
        <v>0</v>
      </c>
      <c r="K200" s="19">
        <f t="shared" si="9"/>
        <v>1</v>
      </c>
      <c r="L200" s="19">
        <f t="shared" si="10"/>
        <v>0</v>
      </c>
      <c r="M200" s="19">
        <f t="shared" si="11"/>
        <v>0</v>
      </c>
    </row>
    <row r="201" spans="1:13" ht="15" customHeight="1" x14ac:dyDescent="0.2">
      <c r="A201" t="s">
        <v>110</v>
      </c>
      <c r="B201" s="18">
        <v>0</v>
      </c>
      <c r="C201" s="59">
        <v>0</v>
      </c>
      <c r="D201" s="18">
        <v>1</v>
      </c>
      <c r="E201" s="18">
        <v>0</v>
      </c>
      <c r="F201" s="18">
        <v>0</v>
      </c>
      <c r="G201" s="18">
        <v>0</v>
      </c>
      <c r="H201" s="18">
        <v>0</v>
      </c>
      <c r="I201" s="59">
        <v>0</v>
      </c>
      <c r="J201" s="19">
        <f t="shared" si="8"/>
        <v>0</v>
      </c>
      <c r="K201" s="19">
        <f t="shared" si="9"/>
        <v>1</v>
      </c>
      <c r="L201" s="19">
        <f t="shared" si="10"/>
        <v>0</v>
      </c>
      <c r="M201" s="19">
        <f t="shared" si="11"/>
        <v>0</v>
      </c>
    </row>
    <row r="202" spans="1:13" ht="15" customHeight="1" x14ac:dyDescent="0.2">
      <c r="B202" s="19">
        <f t="shared" ref="B202:M202" si="12">SUM(B10:B201)</f>
        <v>42</v>
      </c>
      <c r="C202" s="60">
        <f t="shared" si="12"/>
        <v>2</v>
      </c>
      <c r="D202" s="19">
        <f t="shared" si="12"/>
        <v>21</v>
      </c>
      <c r="E202" s="19">
        <f t="shared" si="12"/>
        <v>0</v>
      </c>
      <c r="F202" s="19">
        <f t="shared" si="12"/>
        <v>26</v>
      </c>
      <c r="G202" s="19">
        <f t="shared" si="12"/>
        <v>3</v>
      </c>
      <c r="H202" s="19">
        <f t="shared" si="12"/>
        <v>31</v>
      </c>
      <c r="I202" s="60">
        <f t="shared" si="12"/>
        <v>2</v>
      </c>
      <c r="J202" s="19">
        <f t="shared" si="12"/>
        <v>73</v>
      </c>
      <c r="K202" s="19">
        <f t="shared" si="12"/>
        <v>47</v>
      </c>
      <c r="L202" s="19">
        <f t="shared" si="12"/>
        <v>4</v>
      </c>
      <c r="M202" s="19">
        <f t="shared" si="12"/>
        <v>3</v>
      </c>
    </row>
    <row r="204" spans="1:13" ht="15" customHeight="1" x14ac:dyDescent="0.2">
      <c r="K204" s="88" t="s">
        <v>212</v>
      </c>
      <c r="L204" s="6">
        <f>SUM(L36:L89,L132:L185)</f>
        <v>3</v>
      </c>
    </row>
    <row r="205" spans="1:13" ht="15" customHeight="1" x14ac:dyDescent="0.2">
      <c r="K205" s="88" t="s">
        <v>213</v>
      </c>
      <c r="L205" s="6">
        <f>L202-L204</f>
        <v>1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K204" sqref="K204:L205"/>
    </sheetView>
  </sheetViews>
  <sheetFormatPr defaultColWidth="12.140625" defaultRowHeight="15" customHeight="1" x14ac:dyDescent="0.2"/>
  <cols>
    <col min="1" max="1" width="12.140625" bestFit="1" customWidth="1"/>
    <col min="2" max="3" width="10.85546875" customWidth="1"/>
    <col min="4" max="5" width="10.42578125" customWidth="1"/>
    <col min="6" max="7" width="10.85546875" customWidth="1"/>
    <col min="8" max="9" width="10.42578125" customWidth="1"/>
    <col min="10" max="11" width="8.42578125" customWidth="1"/>
    <col min="12" max="13" width="9.28515625" customWidth="1"/>
  </cols>
  <sheetData>
    <row r="1" spans="1:13" ht="15" customHeight="1" x14ac:dyDescent="0.3">
      <c r="A1" s="111" t="s">
        <v>0</v>
      </c>
      <c r="B1" s="111"/>
      <c r="C1" s="112" t="s">
        <v>153</v>
      </c>
      <c r="D1" s="112"/>
      <c r="E1" s="112"/>
      <c r="F1" s="112"/>
    </row>
    <row r="2" spans="1:13" ht="15" customHeight="1" x14ac:dyDescent="0.3">
      <c r="A2" s="111" t="s">
        <v>2</v>
      </c>
      <c r="B2" s="111"/>
      <c r="C2" s="112" t="s">
        <v>154</v>
      </c>
      <c r="D2" s="112"/>
      <c r="E2" s="112"/>
      <c r="F2" s="112"/>
    </row>
    <row r="3" spans="1:13" ht="15" customHeight="1" x14ac:dyDescent="0.3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3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44.25" customHeight="1" x14ac:dyDescent="0.3">
      <c r="A7" s="2" t="s">
        <v>8</v>
      </c>
      <c r="B7" s="3" t="s">
        <v>155</v>
      </c>
      <c r="C7" s="3" t="s">
        <v>156</v>
      </c>
      <c r="D7" s="3" t="s">
        <v>155</v>
      </c>
      <c r="E7" s="3" t="s">
        <v>156</v>
      </c>
      <c r="F7" s="3" t="s">
        <v>157</v>
      </c>
      <c r="G7" s="3" t="s">
        <v>158</v>
      </c>
      <c r="H7" s="3" t="s">
        <v>157</v>
      </c>
      <c r="I7" s="3" t="s">
        <v>158</v>
      </c>
    </row>
    <row r="8" spans="1:13" s="1" customFormat="1" ht="15" customHeight="1" x14ac:dyDescent="0.3">
      <c r="A8" s="2" t="s">
        <v>13</v>
      </c>
      <c r="B8" s="4" t="s">
        <v>14</v>
      </c>
      <c r="C8" s="4" t="s">
        <v>14</v>
      </c>
      <c r="D8" s="4" t="s">
        <v>15</v>
      </c>
      <c r="E8" s="4" t="s">
        <v>15</v>
      </c>
      <c r="F8" s="4" t="s">
        <v>14</v>
      </c>
      <c r="G8" s="4" t="s">
        <v>14</v>
      </c>
      <c r="H8" s="4" t="s">
        <v>15</v>
      </c>
      <c r="I8" s="4" t="s">
        <v>15</v>
      </c>
    </row>
    <row r="9" spans="1:13" s="1" customFormat="1" ht="29.25" customHeight="1" x14ac:dyDescent="0.2">
      <c r="B9" s="16" t="s">
        <v>121</v>
      </c>
      <c r="C9" s="17" t="s">
        <v>113</v>
      </c>
      <c r="D9" s="16" t="s">
        <v>120</v>
      </c>
      <c r="E9" s="17" t="s">
        <v>111</v>
      </c>
      <c r="F9" s="16" t="s">
        <v>120</v>
      </c>
      <c r="G9" s="17" t="s">
        <v>111</v>
      </c>
      <c r="H9" s="16" t="s">
        <v>121</v>
      </c>
      <c r="I9" s="17" t="s">
        <v>113</v>
      </c>
      <c r="J9" s="17" t="s">
        <v>113</v>
      </c>
      <c r="K9" s="17" t="s">
        <v>111</v>
      </c>
      <c r="L9" s="16" t="s">
        <v>121</v>
      </c>
      <c r="M9" s="16" t="s">
        <v>120</v>
      </c>
    </row>
    <row r="10" spans="1:13" ht="15" customHeight="1" x14ac:dyDescent="0.2">
      <c r="A10" t="s">
        <v>5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1</v>
      </c>
      <c r="H10" s="18">
        <v>0</v>
      </c>
      <c r="I10" s="18">
        <v>0</v>
      </c>
      <c r="J10" s="19">
        <f>SUM(C10,I10)</f>
        <v>0</v>
      </c>
      <c r="K10" s="19">
        <f>SUM(E10,G10)</f>
        <v>1</v>
      </c>
      <c r="L10" s="19">
        <f>SUM(B10,H10)</f>
        <v>0</v>
      </c>
      <c r="M10" s="19">
        <f>SUM(D10,F10)</f>
        <v>0</v>
      </c>
    </row>
    <row r="11" spans="1:13" ht="15" customHeight="1" x14ac:dyDescent="0.2">
      <c r="A11" t="s">
        <v>16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1</v>
      </c>
      <c r="H11" s="18">
        <v>0</v>
      </c>
      <c r="I11" s="18">
        <v>0</v>
      </c>
      <c r="J11" s="19">
        <f t="shared" ref="J11:J74" si="0">SUM(C11,I11)</f>
        <v>0</v>
      </c>
      <c r="K11" s="19">
        <f t="shared" ref="K11:K74" si="1">SUM(E11,G11)</f>
        <v>1</v>
      </c>
      <c r="L11" s="19">
        <f t="shared" ref="L11:L74" si="2">SUM(B11,H11)</f>
        <v>0</v>
      </c>
      <c r="M11" s="19">
        <f t="shared" ref="M11:M74" si="3">SUM(D11,F11)</f>
        <v>0</v>
      </c>
    </row>
    <row r="12" spans="1:13" ht="15" customHeight="1" x14ac:dyDescent="0.2">
      <c r="A12" t="s">
        <v>17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9">
        <f t="shared" si="0"/>
        <v>0</v>
      </c>
      <c r="K12" s="19">
        <f t="shared" si="1"/>
        <v>0</v>
      </c>
      <c r="L12" s="19">
        <f t="shared" si="2"/>
        <v>0</v>
      </c>
      <c r="M12" s="19">
        <f t="shared" si="3"/>
        <v>0</v>
      </c>
    </row>
    <row r="13" spans="1:13" ht="15" customHeight="1" x14ac:dyDescent="0.2">
      <c r="A13" t="s">
        <v>18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1</v>
      </c>
      <c r="H13" s="18">
        <v>0</v>
      </c>
      <c r="I13" s="18">
        <v>0</v>
      </c>
      <c r="J13" s="19">
        <f t="shared" si="0"/>
        <v>0</v>
      </c>
      <c r="K13" s="19">
        <f t="shared" si="1"/>
        <v>1</v>
      </c>
      <c r="L13" s="19">
        <f t="shared" si="2"/>
        <v>0</v>
      </c>
      <c r="M13" s="19">
        <f t="shared" si="3"/>
        <v>0</v>
      </c>
    </row>
    <row r="14" spans="1:13" ht="15" customHeight="1" x14ac:dyDescent="0.2">
      <c r="A14" t="s">
        <v>19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2</v>
      </c>
      <c r="H14" s="18">
        <v>0</v>
      </c>
      <c r="I14" s="18">
        <v>0</v>
      </c>
      <c r="J14" s="19">
        <f t="shared" si="0"/>
        <v>0</v>
      </c>
      <c r="K14" s="19">
        <f t="shared" si="1"/>
        <v>2</v>
      </c>
      <c r="L14" s="19">
        <f t="shared" si="2"/>
        <v>0</v>
      </c>
      <c r="M14" s="19">
        <f t="shared" si="3"/>
        <v>0</v>
      </c>
    </row>
    <row r="15" spans="1:13" ht="15" customHeight="1" x14ac:dyDescent="0.2">
      <c r="A15" t="s">
        <v>20</v>
      </c>
      <c r="B15" s="18">
        <v>0</v>
      </c>
      <c r="C15" s="18">
        <v>0</v>
      </c>
      <c r="D15" s="18">
        <v>2</v>
      </c>
      <c r="E15" s="18">
        <v>1</v>
      </c>
      <c r="F15" s="18">
        <v>0</v>
      </c>
      <c r="G15" s="18">
        <v>0</v>
      </c>
      <c r="H15" s="18">
        <v>1</v>
      </c>
      <c r="I15" s="18">
        <v>1</v>
      </c>
      <c r="J15" s="19">
        <f t="shared" si="0"/>
        <v>1</v>
      </c>
      <c r="K15" s="19">
        <f t="shared" si="1"/>
        <v>1</v>
      </c>
      <c r="L15" s="19">
        <f t="shared" si="2"/>
        <v>1</v>
      </c>
      <c r="M15" s="19">
        <f t="shared" si="3"/>
        <v>2</v>
      </c>
    </row>
    <row r="16" spans="1:13" ht="15" customHeight="1" x14ac:dyDescent="0.2">
      <c r="A16" t="s">
        <v>21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>
        <f t="shared" si="0"/>
        <v>0</v>
      </c>
      <c r="K16" s="19">
        <f t="shared" si="1"/>
        <v>0</v>
      </c>
      <c r="L16" s="19">
        <f t="shared" si="2"/>
        <v>0</v>
      </c>
      <c r="M16" s="19">
        <f t="shared" si="3"/>
        <v>0</v>
      </c>
    </row>
    <row r="17" spans="1:13" ht="15" customHeight="1" x14ac:dyDescent="0.2">
      <c r="A17" t="s">
        <v>22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9">
        <f t="shared" si="0"/>
        <v>0</v>
      </c>
      <c r="K17" s="19">
        <f t="shared" si="1"/>
        <v>0</v>
      </c>
      <c r="L17" s="19">
        <f t="shared" si="2"/>
        <v>0</v>
      </c>
      <c r="M17" s="19">
        <f t="shared" si="3"/>
        <v>0</v>
      </c>
    </row>
    <row r="18" spans="1:13" ht="15" customHeight="1" x14ac:dyDescent="0.2">
      <c r="A18" t="s">
        <v>23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9">
        <f t="shared" si="0"/>
        <v>0</v>
      </c>
      <c r="K18" s="19">
        <f t="shared" si="1"/>
        <v>0</v>
      </c>
      <c r="L18" s="19">
        <f t="shared" si="2"/>
        <v>0</v>
      </c>
      <c r="M18" s="19">
        <f t="shared" si="3"/>
        <v>0</v>
      </c>
    </row>
    <row r="19" spans="1:13" ht="15" customHeight="1" x14ac:dyDescent="0.2">
      <c r="A19" t="s">
        <v>24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9">
        <f t="shared" si="0"/>
        <v>0</v>
      </c>
      <c r="K19" s="19">
        <f t="shared" si="1"/>
        <v>0</v>
      </c>
      <c r="L19" s="19">
        <f t="shared" si="2"/>
        <v>0</v>
      </c>
      <c r="M19" s="19">
        <f t="shared" si="3"/>
        <v>0</v>
      </c>
    </row>
    <row r="20" spans="1:13" ht="15" customHeight="1" x14ac:dyDescent="0.2">
      <c r="A20" t="s">
        <v>25</v>
      </c>
      <c r="B20" s="18">
        <v>0</v>
      </c>
      <c r="C20" s="18">
        <v>1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</v>
      </c>
      <c r="J20" s="19">
        <f t="shared" si="0"/>
        <v>2</v>
      </c>
      <c r="K20" s="19">
        <f t="shared" si="1"/>
        <v>0</v>
      </c>
      <c r="L20" s="19">
        <f t="shared" si="2"/>
        <v>0</v>
      </c>
      <c r="M20" s="19">
        <f t="shared" si="3"/>
        <v>0</v>
      </c>
    </row>
    <row r="21" spans="1:13" ht="15" customHeight="1" x14ac:dyDescent="0.2">
      <c r="A21" t="s">
        <v>26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9">
        <f t="shared" si="0"/>
        <v>0</v>
      </c>
      <c r="K21" s="19">
        <f t="shared" si="1"/>
        <v>0</v>
      </c>
      <c r="L21" s="19">
        <f t="shared" si="2"/>
        <v>0</v>
      </c>
      <c r="M21" s="19">
        <f t="shared" si="3"/>
        <v>0</v>
      </c>
    </row>
    <row r="22" spans="1:13" ht="15" customHeight="1" x14ac:dyDescent="0.2">
      <c r="A22" t="s">
        <v>27</v>
      </c>
      <c r="B22" s="18">
        <v>0</v>
      </c>
      <c r="C22" s="18">
        <v>1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9">
        <f t="shared" si="0"/>
        <v>1</v>
      </c>
      <c r="K22" s="19">
        <f t="shared" si="1"/>
        <v>0</v>
      </c>
      <c r="L22" s="19">
        <f t="shared" si="2"/>
        <v>0</v>
      </c>
      <c r="M22" s="19">
        <f t="shared" si="3"/>
        <v>0</v>
      </c>
    </row>
    <row r="23" spans="1:13" ht="15" customHeight="1" x14ac:dyDescent="0.2">
      <c r="A23" t="s">
        <v>28</v>
      </c>
      <c r="B23" s="18">
        <v>0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9">
        <f t="shared" si="0"/>
        <v>0</v>
      </c>
      <c r="K23" s="19">
        <f t="shared" si="1"/>
        <v>0</v>
      </c>
      <c r="L23" s="19">
        <f t="shared" si="2"/>
        <v>0</v>
      </c>
      <c r="M23" s="19">
        <f t="shared" si="3"/>
        <v>0</v>
      </c>
    </row>
    <row r="24" spans="1:13" ht="15" customHeight="1" x14ac:dyDescent="0.2">
      <c r="A24" t="s">
        <v>29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9">
        <f t="shared" si="0"/>
        <v>0</v>
      </c>
      <c r="K24" s="19">
        <f t="shared" si="1"/>
        <v>0</v>
      </c>
      <c r="L24" s="19">
        <f t="shared" si="2"/>
        <v>0</v>
      </c>
      <c r="M24" s="19">
        <f t="shared" si="3"/>
        <v>0</v>
      </c>
    </row>
    <row r="25" spans="1:13" ht="15" customHeight="1" x14ac:dyDescent="0.2">
      <c r="A25" t="s">
        <v>30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9">
        <f t="shared" si="0"/>
        <v>0</v>
      </c>
      <c r="K25" s="19">
        <f t="shared" si="1"/>
        <v>0</v>
      </c>
      <c r="L25" s="19">
        <f t="shared" si="2"/>
        <v>0</v>
      </c>
      <c r="M25" s="19">
        <f t="shared" si="3"/>
        <v>0</v>
      </c>
    </row>
    <row r="26" spans="1:13" ht="15" customHeight="1" x14ac:dyDescent="0.2">
      <c r="A26" t="s">
        <v>31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9">
        <f t="shared" si="0"/>
        <v>0</v>
      </c>
      <c r="K26" s="19">
        <f t="shared" si="1"/>
        <v>0</v>
      </c>
      <c r="L26" s="19">
        <f t="shared" si="2"/>
        <v>0</v>
      </c>
      <c r="M26" s="19">
        <f t="shared" si="3"/>
        <v>0</v>
      </c>
    </row>
    <row r="27" spans="1:13" ht="15" customHeight="1" x14ac:dyDescent="0.2">
      <c r="A27" t="s">
        <v>32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9">
        <f t="shared" si="0"/>
        <v>0</v>
      </c>
      <c r="K27" s="19">
        <f t="shared" si="1"/>
        <v>0</v>
      </c>
      <c r="L27" s="19">
        <f t="shared" si="2"/>
        <v>0</v>
      </c>
      <c r="M27" s="19">
        <f t="shared" si="3"/>
        <v>0</v>
      </c>
    </row>
    <row r="28" spans="1:13" ht="15" customHeight="1" x14ac:dyDescent="0.2">
      <c r="A28" t="s">
        <v>33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9">
        <f t="shared" si="0"/>
        <v>0</v>
      </c>
      <c r="K28" s="19">
        <f t="shared" si="1"/>
        <v>0</v>
      </c>
      <c r="L28" s="19">
        <f t="shared" si="2"/>
        <v>0</v>
      </c>
      <c r="M28" s="19">
        <f t="shared" si="3"/>
        <v>0</v>
      </c>
    </row>
    <row r="29" spans="1:13" ht="15" customHeight="1" x14ac:dyDescent="0.2">
      <c r="A29" t="s">
        <v>34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9">
        <f t="shared" si="0"/>
        <v>0</v>
      </c>
      <c r="K29" s="19">
        <f t="shared" si="1"/>
        <v>0</v>
      </c>
      <c r="L29" s="19">
        <f t="shared" si="2"/>
        <v>0</v>
      </c>
      <c r="M29" s="19">
        <f t="shared" si="3"/>
        <v>0</v>
      </c>
    </row>
    <row r="30" spans="1:13" ht="15" customHeight="1" x14ac:dyDescent="0.2">
      <c r="A30" t="s">
        <v>35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9">
        <f t="shared" si="0"/>
        <v>0</v>
      </c>
      <c r="K30" s="19">
        <f t="shared" si="1"/>
        <v>0</v>
      </c>
      <c r="L30" s="19">
        <f t="shared" si="2"/>
        <v>0</v>
      </c>
      <c r="M30" s="19">
        <f t="shared" si="3"/>
        <v>0</v>
      </c>
    </row>
    <row r="31" spans="1:13" ht="15" customHeight="1" x14ac:dyDescent="0.2">
      <c r="A31" t="s">
        <v>36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9">
        <f t="shared" si="0"/>
        <v>0</v>
      </c>
      <c r="K31" s="19">
        <f t="shared" si="1"/>
        <v>0</v>
      </c>
      <c r="L31" s="19">
        <f t="shared" si="2"/>
        <v>0</v>
      </c>
      <c r="M31" s="19">
        <f t="shared" si="3"/>
        <v>0</v>
      </c>
    </row>
    <row r="32" spans="1:13" ht="15" customHeight="1" x14ac:dyDescent="0.2">
      <c r="A32" t="s">
        <v>37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9">
        <f t="shared" si="0"/>
        <v>0</v>
      </c>
      <c r="K32" s="19">
        <f t="shared" si="1"/>
        <v>0</v>
      </c>
      <c r="L32" s="19">
        <f t="shared" si="2"/>
        <v>0</v>
      </c>
      <c r="M32" s="19">
        <f t="shared" si="3"/>
        <v>0</v>
      </c>
    </row>
    <row r="33" spans="1:13" ht="15" customHeight="1" x14ac:dyDescent="0.2">
      <c r="A33" t="s">
        <v>38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9">
        <f t="shared" si="0"/>
        <v>0</v>
      </c>
      <c r="K33" s="19">
        <f t="shared" si="1"/>
        <v>0</v>
      </c>
      <c r="L33" s="19">
        <f t="shared" si="2"/>
        <v>0</v>
      </c>
      <c r="M33" s="19">
        <f t="shared" si="3"/>
        <v>0</v>
      </c>
    </row>
    <row r="34" spans="1:13" ht="15" customHeight="1" x14ac:dyDescent="0.2">
      <c r="A34" t="s">
        <v>39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9">
        <f t="shared" si="0"/>
        <v>0</v>
      </c>
      <c r="K34" s="19">
        <f t="shared" si="1"/>
        <v>0</v>
      </c>
      <c r="L34" s="19">
        <f t="shared" si="2"/>
        <v>0</v>
      </c>
      <c r="M34" s="19">
        <f t="shared" si="3"/>
        <v>0</v>
      </c>
    </row>
    <row r="35" spans="1:13" ht="15" customHeight="1" x14ac:dyDescent="0.2">
      <c r="A35" t="s">
        <v>40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1</v>
      </c>
      <c r="H35" s="18">
        <v>0</v>
      </c>
      <c r="I35" s="18">
        <v>1</v>
      </c>
      <c r="J35" s="19">
        <f t="shared" si="0"/>
        <v>1</v>
      </c>
      <c r="K35" s="19">
        <f t="shared" si="1"/>
        <v>1</v>
      </c>
      <c r="L35" s="19">
        <f t="shared" si="2"/>
        <v>0</v>
      </c>
      <c r="M35" s="19">
        <f t="shared" si="3"/>
        <v>0</v>
      </c>
    </row>
    <row r="36" spans="1:13" ht="15" customHeight="1" x14ac:dyDescent="0.2">
      <c r="A36" t="s">
        <v>41</v>
      </c>
      <c r="B36" s="18">
        <v>0</v>
      </c>
      <c r="C36" s="18">
        <v>0</v>
      </c>
      <c r="D36" s="18">
        <v>0</v>
      </c>
      <c r="E36" s="18">
        <v>1</v>
      </c>
      <c r="F36" s="18">
        <v>0</v>
      </c>
      <c r="G36" s="18">
        <v>0</v>
      </c>
      <c r="H36" s="18">
        <v>0</v>
      </c>
      <c r="I36" s="18">
        <v>0</v>
      </c>
      <c r="J36" s="19">
        <f t="shared" si="0"/>
        <v>0</v>
      </c>
      <c r="K36" s="19">
        <f t="shared" si="1"/>
        <v>1</v>
      </c>
      <c r="L36" s="19">
        <f t="shared" si="2"/>
        <v>0</v>
      </c>
      <c r="M36" s="19">
        <f t="shared" si="3"/>
        <v>0</v>
      </c>
    </row>
    <row r="37" spans="1:13" ht="15" customHeight="1" x14ac:dyDescent="0.2">
      <c r="A37" t="s">
        <v>42</v>
      </c>
      <c r="B37" s="18">
        <v>0</v>
      </c>
      <c r="C37" s="18">
        <v>1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4</v>
      </c>
      <c r="J37" s="19">
        <f t="shared" si="0"/>
        <v>5</v>
      </c>
      <c r="K37" s="19">
        <f t="shared" si="1"/>
        <v>0</v>
      </c>
      <c r="L37" s="19">
        <f t="shared" si="2"/>
        <v>0</v>
      </c>
      <c r="M37" s="19">
        <f t="shared" si="3"/>
        <v>0</v>
      </c>
    </row>
    <row r="38" spans="1:13" ht="15" customHeight="1" x14ac:dyDescent="0.2">
      <c r="A38" t="s">
        <v>43</v>
      </c>
      <c r="B38" s="18">
        <v>0</v>
      </c>
      <c r="C38" s="18">
        <v>1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9">
        <f t="shared" si="0"/>
        <v>1</v>
      </c>
      <c r="K38" s="19">
        <f t="shared" si="1"/>
        <v>0</v>
      </c>
      <c r="L38" s="19">
        <f t="shared" si="2"/>
        <v>0</v>
      </c>
      <c r="M38" s="19">
        <f t="shared" si="3"/>
        <v>0</v>
      </c>
    </row>
    <row r="39" spans="1:13" ht="15" customHeight="1" x14ac:dyDescent="0.2">
      <c r="A39" t="s">
        <v>44</v>
      </c>
      <c r="B39" s="18">
        <v>2</v>
      </c>
      <c r="C39" s="18">
        <v>0</v>
      </c>
      <c r="D39" s="18">
        <v>0</v>
      </c>
      <c r="E39" s="18">
        <v>2</v>
      </c>
      <c r="F39" s="18">
        <v>0</v>
      </c>
      <c r="G39" s="18">
        <v>0</v>
      </c>
      <c r="H39" s="18">
        <v>0</v>
      </c>
      <c r="I39" s="18">
        <v>0</v>
      </c>
      <c r="J39" s="19">
        <f t="shared" si="0"/>
        <v>0</v>
      </c>
      <c r="K39" s="19">
        <f t="shared" si="1"/>
        <v>2</v>
      </c>
      <c r="L39" s="19">
        <f t="shared" si="2"/>
        <v>2</v>
      </c>
      <c r="M39" s="19">
        <f t="shared" si="3"/>
        <v>0</v>
      </c>
    </row>
    <row r="40" spans="1:13" ht="15" customHeight="1" x14ac:dyDescent="0.2">
      <c r="A40" t="s">
        <v>45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1</v>
      </c>
      <c r="I40" s="18">
        <v>0</v>
      </c>
      <c r="J40" s="19">
        <f t="shared" si="0"/>
        <v>0</v>
      </c>
      <c r="K40" s="19">
        <f t="shared" si="1"/>
        <v>0</v>
      </c>
      <c r="L40" s="19">
        <f t="shared" si="2"/>
        <v>1</v>
      </c>
      <c r="M40" s="19">
        <f t="shared" si="3"/>
        <v>0</v>
      </c>
    </row>
    <row r="41" spans="1:13" ht="15" customHeight="1" x14ac:dyDescent="0.2">
      <c r="A41" t="s">
        <v>46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1</v>
      </c>
      <c r="J41" s="19">
        <f t="shared" si="0"/>
        <v>1</v>
      </c>
      <c r="K41" s="19">
        <f t="shared" si="1"/>
        <v>0</v>
      </c>
      <c r="L41" s="19">
        <f t="shared" si="2"/>
        <v>0</v>
      </c>
      <c r="M41" s="19">
        <f t="shared" si="3"/>
        <v>0</v>
      </c>
    </row>
    <row r="42" spans="1:13" ht="15" customHeight="1" x14ac:dyDescent="0.2">
      <c r="A42" t="s">
        <v>47</v>
      </c>
      <c r="B42" s="18">
        <v>0</v>
      </c>
      <c r="C42" s="18">
        <v>2</v>
      </c>
      <c r="D42" s="18">
        <v>0</v>
      </c>
      <c r="E42" s="18">
        <v>1</v>
      </c>
      <c r="F42" s="18">
        <v>0</v>
      </c>
      <c r="G42" s="18">
        <v>1</v>
      </c>
      <c r="H42" s="18">
        <v>0</v>
      </c>
      <c r="I42" s="18">
        <v>0</v>
      </c>
      <c r="J42" s="19">
        <f t="shared" si="0"/>
        <v>2</v>
      </c>
      <c r="K42" s="19">
        <f t="shared" si="1"/>
        <v>2</v>
      </c>
      <c r="L42" s="19">
        <f t="shared" si="2"/>
        <v>0</v>
      </c>
      <c r="M42" s="19">
        <f t="shared" si="3"/>
        <v>0</v>
      </c>
    </row>
    <row r="43" spans="1:13" ht="15" customHeight="1" x14ac:dyDescent="0.2">
      <c r="A43" t="s">
        <v>48</v>
      </c>
      <c r="B43" s="18">
        <v>0</v>
      </c>
      <c r="C43" s="18">
        <v>0</v>
      </c>
      <c r="D43" s="18">
        <v>0</v>
      </c>
      <c r="E43" s="18">
        <v>1</v>
      </c>
      <c r="F43" s="18">
        <v>0</v>
      </c>
      <c r="G43" s="18">
        <v>0</v>
      </c>
      <c r="H43" s="18">
        <v>0</v>
      </c>
      <c r="I43" s="18">
        <v>0</v>
      </c>
      <c r="J43" s="19">
        <f t="shared" si="0"/>
        <v>0</v>
      </c>
      <c r="K43" s="19">
        <f t="shared" si="1"/>
        <v>1</v>
      </c>
      <c r="L43" s="19">
        <f t="shared" si="2"/>
        <v>0</v>
      </c>
      <c r="M43" s="19">
        <f t="shared" si="3"/>
        <v>0</v>
      </c>
    </row>
    <row r="44" spans="1:13" ht="15" customHeight="1" x14ac:dyDescent="0.2">
      <c r="A44" t="s">
        <v>49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1</v>
      </c>
      <c r="I44" s="18">
        <v>2</v>
      </c>
      <c r="J44" s="19">
        <f t="shared" si="0"/>
        <v>2</v>
      </c>
      <c r="K44" s="19">
        <f t="shared" si="1"/>
        <v>0</v>
      </c>
      <c r="L44" s="19">
        <f t="shared" si="2"/>
        <v>1</v>
      </c>
      <c r="M44" s="19">
        <f t="shared" si="3"/>
        <v>0</v>
      </c>
    </row>
    <row r="45" spans="1:13" ht="15" customHeight="1" x14ac:dyDescent="0.2">
      <c r="A45" t="s">
        <v>50</v>
      </c>
      <c r="B45" s="18">
        <v>0</v>
      </c>
      <c r="C45" s="18">
        <v>0</v>
      </c>
      <c r="D45" s="18">
        <v>0</v>
      </c>
      <c r="E45" s="18">
        <v>1</v>
      </c>
      <c r="F45" s="18">
        <v>0</v>
      </c>
      <c r="G45" s="18">
        <v>0</v>
      </c>
      <c r="H45" s="18">
        <v>0</v>
      </c>
      <c r="I45" s="18">
        <v>2</v>
      </c>
      <c r="J45" s="19">
        <f t="shared" si="0"/>
        <v>2</v>
      </c>
      <c r="K45" s="19">
        <f t="shared" si="1"/>
        <v>1</v>
      </c>
      <c r="L45" s="19">
        <f t="shared" si="2"/>
        <v>0</v>
      </c>
      <c r="M45" s="19">
        <f t="shared" si="3"/>
        <v>0</v>
      </c>
    </row>
    <row r="46" spans="1:13" ht="15" customHeight="1" x14ac:dyDescent="0.2">
      <c r="A46" t="s">
        <v>51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2</v>
      </c>
      <c r="I46" s="18">
        <v>0</v>
      </c>
      <c r="J46" s="19">
        <f t="shared" si="0"/>
        <v>0</v>
      </c>
      <c r="K46" s="19">
        <f t="shared" si="1"/>
        <v>0</v>
      </c>
      <c r="L46" s="19">
        <f t="shared" si="2"/>
        <v>2</v>
      </c>
      <c r="M46" s="19">
        <f t="shared" si="3"/>
        <v>0</v>
      </c>
    </row>
    <row r="47" spans="1:13" ht="15" customHeight="1" x14ac:dyDescent="0.2">
      <c r="A47" t="s">
        <v>52</v>
      </c>
      <c r="B47" s="18">
        <v>0</v>
      </c>
      <c r="C47" s="18">
        <v>0</v>
      </c>
      <c r="D47" s="18">
        <v>0</v>
      </c>
      <c r="E47" s="18">
        <v>1</v>
      </c>
      <c r="F47" s="18">
        <v>1</v>
      </c>
      <c r="G47" s="18">
        <v>1</v>
      </c>
      <c r="H47" s="18">
        <v>1</v>
      </c>
      <c r="I47" s="18">
        <v>0</v>
      </c>
      <c r="J47" s="19">
        <f t="shared" si="0"/>
        <v>0</v>
      </c>
      <c r="K47" s="19">
        <f t="shared" si="1"/>
        <v>2</v>
      </c>
      <c r="L47" s="19">
        <f t="shared" si="2"/>
        <v>1</v>
      </c>
      <c r="M47" s="19">
        <f t="shared" si="3"/>
        <v>1</v>
      </c>
    </row>
    <row r="48" spans="1:13" ht="15" customHeight="1" x14ac:dyDescent="0.2">
      <c r="A48" t="s">
        <v>53</v>
      </c>
      <c r="B48" s="18">
        <v>0</v>
      </c>
      <c r="C48" s="18">
        <v>0</v>
      </c>
      <c r="D48" s="18">
        <v>0</v>
      </c>
      <c r="E48" s="18">
        <v>1</v>
      </c>
      <c r="F48" s="18">
        <v>0</v>
      </c>
      <c r="G48" s="18">
        <v>0</v>
      </c>
      <c r="H48" s="18">
        <v>3</v>
      </c>
      <c r="I48" s="18">
        <v>2</v>
      </c>
      <c r="J48" s="19">
        <f t="shared" si="0"/>
        <v>2</v>
      </c>
      <c r="K48" s="19">
        <f t="shared" si="1"/>
        <v>1</v>
      </c>
      <c r="L48" s="19">
        <f t="shared" si="2"/>
        <v>3</v>
      </c>
      <c r="M48" s="19">
        <f t="shared" si="3"/>
        <v>0</v>
      </c>
    </row>
    <row r="49" spans="1:13" ht="15" customHeight="1" x14ac:dyDescent="0.2">
      <c r="A49" t="s">
        <v>54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3</v>
      </c>
      <c r="I49" s="18">
        <v>3</v>
      </c>
      <c r="J49" s="19">
        <f t="shared" si="0"/>
        <v>3</v>
      </c>
      <c r="K49" s="19">
        <f t="shared" si="1"/>
        <v>0</v>
      </c>
      <c r="L49" s="19">
        <f t="shared" si="2"/>
        <v>3</v>
      </c>
      <c r="M49" s="19">
        <f t="shared" si="3"/>
        <v>0</v>
      </c>
    </row>
    <row r="50" spans="1:13" ht="15" customHeight="1" x14ac:dyDescent="0.2">
      <c r="A50" t="s">
        <v>55</v>
      </c>
      <c r="B50" s="18">
        <v>0</v>
      </c>
      <c r="C50" s="18">
        <v>0</v>
      </c>
      <c r="D50" s="18">
        <v>0</v>
      </c>
      <c r="E50" s="18">
        <v>1</v>
      </c>
      <c r="F50" s="18">
        <v>0</v>
      </c>
      <c r="G50" s="18">
        <v>0</v>
      </c>
      <c r="H50" s="18">
        <v>0</v>
      </c>
      <c r="I50" s="18">
        <v>0</v>
      </c>
      <c r="J50" s="19">
        <f t="shared" si="0"/>
        <v>0</v>
      </c>
      <c r="K50" s="19">
        <f t="shared" si="1"/>
        <v>1</v>
      </c>
      <c r="L50" s="19">
        <f t="shared" si="2"/>
        <v>0</v>
      </c>
      <c r="M50" s="19">
        <f t="shared" si="3"/>
        <v>0</v>
      </c>
    </row>
    <row r="51" spans="1:13" ht="15" customHeight="1" x14ac:dyDescent="0.2">
      <c r="A51" t="s">
        <v>56</v>
      </c>
      <c r="B51" s="18">
        <v>0</v>
      </c>
      <c r="C51" s="18">
        <v>1</v>
      </c>
      <c r="D51" s="18">
        <v>0</v>
      </c>
      <c r="E51" s="18">
        <v>2</v>
      </c>
      <c r="F51" s="18">
        <v>0</v>
      </c>
      <c r="G51" s="18">
        <v>0</v>
      </c>
      <c r="H51" s="18">
        <v>0</v>
      </c>
      <c r="I51" s="18">
        <v>0</v>
      </c>
      <c r="J51" s="19">
        <f t="shared" si="0"/>
        <v>1</v>
      </c>
      <c r="K51" s="19">
        <f t="shared" si="1"/>
        <v>2</v>
      </c>
      <c r="L51" s="19">
        <f t="shared" si="2"/>
        <v>0</v>
      </c>
      <c r="M51" s="19">
        <f t="shared" si="3"/>
        <v>0</v>
      </c>
    </row>
    <row r="52" spans="1:13" ht="15" customHeight="1" x14ac:dyDescent="0.2">
      <c r="A52" t="s">
        <v>57</v>
      </c>
      <c r="B52" s="18">
        <v>0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1</v>
      </c>
      <c r="J52" s="19">
        <f t="shared" si="0"/>
        <v>1</v>
      </c>
      <c r="K52" s="19">
        <f t="shared" si="1"/>
        <v>0</v>
      </c>
      <c r="L52" s="19">
        <f t="shared" si="2"/>
        <v>0</v>
      </c>
      <c r="M52" s="19">
        <f t="shared" si="3"/>
        <v>0</v>
      </c>
    </row>
    <row r="53" spans="1:13" ht="15" customHeight="1" x14ac:dyDescent="0.2">
      <c r="A53" t="s">
        <v>58</v>
      </c>
      <c r="B53" s="18">
        <v>1</v>
      </c>
      <c r="C53" s="18">
        <v>1</v>
      </c>
      <c r="D53" s="18">
        <v>0</v>
      </c>
      <c r="E53" s="18">
        <v>2</v>
      </c>
      <c r="F53" s="18">
        <v>0</v>
      </c>
      <c r="G53" s="18">
        <v>0</v>
      </c>
      <c r="H53" s="18">
        <v>0</v>
      </c>
      <c r="I53" s="18">
        <v>1</v>
      </c>
      <c r="J53" s="19">
        <f t="shared" si="0"/>
        <v>2</v>
      </c>
      <c r="K53" s="19">
        <f t="shared" si="1"/>
        <v>2</v>
      </c>
      <c r="L53" s="19">
        <f t="shared" si="2"/>
        <v>1</v>
      </c>
      <c r="M53" s="19">
        <f t="shared" si="3"/>
        <v>0</v>
      </c>
    </row>
    <row r="54" spans="1:13" ht="15" customHeight="1" x14ac:dyDescent="0.2">
      <c r="A54" t="s">
        <v>59</v>
      </c>
      <c r="B54" s="18">
        <v>0</v>
      </c>
      <c r="C54" s="18">
        <v>1</v>
      </c>
      <c r="D54" s="18">
        <v>0</v>
      </c>
      <c r="E54" s="18">
        <v>1</v>
      </c>
      <c r="F54" s="18">
        <v>0</v>
      </c>
      <c r="G54" s="18">
        <v>1</v>
      </c>
      <c r="H54" s="18">
        <v>0</v>
      </c>
      <c r="I54" s="18">
        <v>0</v>
      </c>
      <c r="J54" s="19">
        <f t="shared" si="0"/>
        <v>1</v>
      </c>
      <c r="K54" s="19">
        <f t="shared" si="1"/>
        <v>2</v>
      </c>
      <c r="L54" s="19">
        <f t="shared" si="2"/>
        <v>0</v>
      </c>
      <c r="M54" s="19">
        <f t="shared" si="3"/>
        <v>0</v>
      </c>
    </row>
    <row r="55" spans="1:13" ht="15" customHeight="1" x14ac:dyDescent="0.2">
      <c r="A55" t="s">
        <v>60</v>
      </c>
      <c r="B55" s="18">
        <v>1</v>
      </c>
      <c r="C55" s="18">
        <v>0</v>
      </c>
      <c r="D55" s="18">
        <v>0</v>
      </c>
      <c r="E55" s="18">
        <v>1</v>
      </c>
      <c r="F55" s="18">
        <v>0</v>
      </c>
      <c r="G55" s="18">
        <v>0</v>
      </c>
      <c r="H55" s="18">
        <v>0</v>
      </c>
      <c r="I55" s="18">
        <v>0</v>
      </c>
      <c r="J55" s="19">
        <f t="shared" si="0"/>
        <v>0</v>
      </c>
      <c r="K55" s="19">
        <f t="shared" si="1"/>
        <v>1</v>
      </c>
      <c r="L55" s="19">
        <f t="shared" si="2"/>
        <v>1</v>
      </c>
      <c r="M55" s="19">
        <f t="shared" si="3"/>
        <v>0</v>
      </c>
    </row>
    <row r="56" spans="1:13" ht="15" customHeight="1" x14ac:dyDescent="0.2">
      <c r="A56" t="s">
        <v>61</v>
      </c>
      <c r="B56" s="18">
        <v>0</v>
      </c>
      <c r="C56" s="18">
        <v>0</v>
      </c>
      <c r="D56" s="18">
        <v>0</v>
      </c>
      <c r="E56" s="18">
        <v>1</v>
      </c>
      <c r="F56" s="18">
        <v>0</v>
      </c>
      <c r="G56" s="18">
        <v>0</v>
      </c>
      <c r="H56" s="18">
        <v>0</v>
      </c>
      <c r="I56" s="18">
        <v>1</v>
      </c>
      <c r="J56" s="19">
        <f t="shared" si="0"/>
        <v>1</v>
      </c>
      <c r="K56" s="19">
        <f t="shared" si="1"/>
        <v>1</v>
      </c>
      <c r="L56" s="19">
        <f t="shared" si="2"/>
        <v>0</v>
      </c>
      <c r="M56" s="19">
        <f t="shared" si="3"/>
        <v>0</v>
      </c>
    </row>
    <row r="57" spans="1:13" ht="15" customHeight="1" x14ac:dyDescent="0.2">
      <c r="A57" t="s">
        <v>62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1</v>
      </c>
      <c r="H57" s="18">
        <v>0</v>
      </c>
      <c r="I57" s="18">
        <v>2</v>
      </c>
      <c r="J57" s="19">
        <f t="shared" si="0"/>
        <v>2</v>
      </c>
      <c r="K57" s="19">
        <f t="shared" si="1"/>
        <v>1</v>
      </c>
      <c r="L57" s="19">
        <f t="shared" si="2"/>
        <v>0</v>
      </c>
      <c r="M57" s="19">
        <f t="shared" si="3"/>
        <v>0</v>
      </c>
    </row>
    <row r="58" spans="1:13" ht="15" customHeight="1" x14ac:dyDescent="0.2">
      <c r="A58" t="s">
        <v>63</v>
      </c>
      <c r="B58" s="18">
        <v>0</v>
      </c>
      <c r="C58" s="18">
        <v>1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9">
        <f t="shared" si="0"/>
        <v>1</v>
      </c>
      <c r="K58" s="19">
        <f t="shared" si="1"/>
        <v>0</v>
      </c>
      <c r="L58" s="19">
        <f t="shared" si="2"/>
        <v>0</v>
      </c>
      <c r="M58" s="19">
        <f t="shared" si="3"/>
        <v>0</v>
      </c>
    </row>
    <row r="59" spans="1:13" ht="15" customHeight="1" x14ac:dyDescent="0.2">
      <c r="A59" t="s">
        <v>64</v>
      </c>
      <c r="B59" s="18">
        <v>0</v>
      </c>
      <c r="C59" s="18">
        <v>1</v>
      </c>
      <c r="D59" s="18">
        <v>0</v>
      </c>
      <c r="E59" s="18">
        <v>0</v>
      </c>
      <c r="F59" s="18">
        <v>0</v>
      </c>
      <c r="G59" s="18">
        <v>0</v>
      </c>
      <c r="H59" s="18">
        <v>1</v>
      </c>
      <c r="I59" s="18">
        <v>0</v>
      </c>
      <c r="J59" s="19">
        <f t="shared" si="0"/>
        <v>1</v>
      </c>
      <c r="K59" s="19">
        <f t="shared" si="1"/>
        <v>0</v>
      </c>
      <c r="L59" s="19">
        <f t="shared" si="2"/>
        <v>1</v>
      </c>
      <c r="M59" s="19">
        <f t="shared" si="3"/>
        <v>0</v>
      </c>
    </row>
    <row r="60" spans="1:13" ht="15" customHeight="1" x14ac:dyDescent="0.2">
      <c r="A60" t="s">
        <v>65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9">
        <f t="shared" si="0"/>
        <v>0</v>
      </c>
      <c r="K60" s="19">
        <f t="shared" si="1"/>
        <v>0</v>
      </c>
      <c r="L60" s="19">
        <f t="shared" si="2"/>
        <v>0</v>
      </c>
      <c r="M60" s="19">
        <f t="shared" si="3"/>
        <v>0</v>
      </c>
    </row>
    <row r="61" spans="1:13" ht="15" customHeight="1" x14ac:dyDescent="0.2">
      <c r="A61" t="s">
        <v>66</v>
      </c>
      <c r="B61" s="18">
        <v>0</v>
      </c>
      <c r="C61" s="18">
        <v>1</v>
      </c>
      <c r="D61" s="18">
        <v>0</v>
      </c>
      <c r="E61" s="18">
        <v>1</v>
      </c>
      <c r="F61" s="18">
        <v>0</v>
      </c>
      <c r="G61" s="18">
        <v>0</v>
      </c>
      <c r="H61" s="18">
        <v>1</v>
      </c>
      <c r="I61" s="18">
        <v>1</v>
      </c>
      <c r="J61" s="19">
        <f t="shared" si="0"/>
        <v>2</v>
      </c>
      <c r="K61" s="19">
        <f t="shared" si="1"/>
        <v>1</v>
      </c>
      <c r="L61" s="19">
        <f t="shared" si="2"/>
        <v>1</v>
      </c>
      <c r="M61" s="19">
        <f t="shared" si="3"/>
        <v>0</v>
      </c>
    </row>
    <row r="62" spans="1:13" ht="15" customHeight="1" x14ac:dyDescent="0.2">
      <c r="A62" t="s">
        <v>67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9">
        <f t="shared" si="0"/>
        <v>0</v>
      </c>
      <c r="K62" s="19">
        <f t="shared" si="1"/>
        <v>0</v>
      </c>
      <c r="L62" s="19">
        <f t="shared" si="2"/>
        <v>0</v>
      </c>
      <c r="M62" s="19">
        <f t="shared" si="3"/>
        <v>0</v>
      </c>
    </row>
    <row r="63" spans="1:13" ht="15" customHeight="1" x14ac:dyDescent="0.2">
      <c r="A63" t="s">
        <v>68</v>
      </c>
      <c r="B63" s="18">
        <v>1</v>
      </c>
      <c r="C63" s="18">
        <v>0</v>
      </c>
      <c r="D63" s="18">
        <v>0</v>
      </c>
      <c r="E63" s="18">
        <v>0</v>
      </c>
      <c r="F63" s="18">
        <v>0</v>
      </c>
      <c r="G63" s="18">
        <v>2</v>
      </c>
      <c r="H63" s="18">
        <v>2</v>
      </c>
      <c r="I63" s="18">
        <v>2</v>
      </c>
      <c r="J63" s="19">
        <f t="shared" si="0"/>
        <v>2</v>
      </c>
      <c r="K63" s="19">
        <f t="shared" si="1"/>
        <v>2</v>
      </c>
      <c r="L63" s="19">
        <f t="shared" si="2"/>
        <v>3</v>
      </c>
      <c r="M63" s="19">
        <f t="shared" si="3"/>
        <v>0</v>
      </c>
    </row>
    <row r="64" spans="1:13" ht="15" customHeight="1" x14ac:dyDescent="0.2">
      <c r="A64" t="s">
        <v>69</v>
      </c>
      <c r="B64" s="18">
        <v>0</v>
      </c>
      <c r="C64" s="18">
        <v>1</v>
      </c>
      <c r="D64" s="18">
        <v>0</v>
      </c>
      <c r="E64" s="18">
        <v>2</v>
      </c>
      <c r="F64" s="18">
        <v>0</v>
      </c>
      <c r="G64" s="18">
        <v>0</v>
      </c>
      <c r="H64" s="18">
        <v>0</v>
      </c>
      <c r="I64" s="18">
        <v>2</v>
      </c>
      <c r="J64" s="19">
        <f t="shared" si="0"/>
        <v>3</v>
      </c>
      <c r="K64" s="19">
        <f t="shared" si="1"/>
        <v>2</v>
      </c>
      <c r="L64" s="19">
        <f t="shared" si="2"/>
        <v>0</v>
      </c>
      <c r="M64" s="19">
        <f t="shared" si="3"/>
        <v>0</v>
      </c>
    </row>
    <row r="65" spans="1:13" ht="15" customHeight="1" x14ac:dyDescent="0.2">
      <c r="A65" t="s">
        <v>70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1</v>
      </c>
      <c r="J65" s="19">
        <f t="shared" si="0"/>
        <v>1</v>
      </c>
      <c r="K65" s="19">
        <f t="shared" si="1"/>
        <v>0</v>
      </c>
      <c r="L65" s="19">
        <f t="shared" si="2"/>
        <v>0</v>
      </c>
      <c r="M65" s="19">
        <f t="shared" si="3"/>
        <v>0</v>
      </c>
    </row>
    <row r="66" spans="1:13" ht="15" customHeight="1" x14ac:dyDescent="0.2">
      <c r="A66" t="s">
        <v>71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2</v>
      </c>
      <c r="H66" s="18">
        <v>0</v>
      </c>
      <c r="I66" s="18">
        <v>0</v>
      </c>
      <c r="J66" s="19">
        <f t="shared" si="0"/>
        <v>0</v>
      </c>
      <c r="K66" s="19">
        <f t="shared" si="1"/>
        <v>2</v>
      </c>
      <c r="L66" s="19">
        <f t="shared" si="2"/>
        <v>0</v>
      </c>
      <c r="M66" s="19">
        <f t="shared" si="3"/>
        <v>0</v>
      </c>
    </row>
    <row r="67" spans="1:13" ht="15" customHeight="1" x14ac:dyDescent="0.2">
      <c r="A67" t="s">
        <v>72</v>
      </c>
      <c r="B67" s="18">
        <v>0</v>
      </c>
      <c r="C67" s="18">
        <v>0</v>
      </c>
      <c r="D67" s="18">
        <v>0</v>
      </c>
      <c r="E67" s="18">
        <v>4</v>
      </c>
      <c r="F67" s="18">
        <v>0</v>
      </c>
      <c r="G67" s="18">
        <v>1</v>
      </c>
      <c r="H67" s="18">
        <v>0</v>
      </c>
      <c r="I67" s="18">
        <v>0</v>
      </c>
      <c r="J67" s="19">
        <f t="shared" si="0"/>
        <v>0</v>
      </c>
      <c r="K67" s="19">
        <f t="shared" si="1"/>
        <v>5</v>
      </c>
      <c r="L67" s="19">
        <f t="shared" si="2"/>
        <v>0</v>
      </c>
      <c r="M67" s="19">
        <f t="shared" si="3"/>
        <v>0</v>
      </c>
    </row>
    <row r="68" spans="1:13" ht="15" customHeight="1" x14ac:dyDescent="0.2">
      <c r="A68" t="s">
        <v>73</v>
      </c>
      <c r="B68" s="18">
        <v>1</v>
      </c>
      <c r="C68" s="18">
        <v>1</v>
      </c>
      <c r="D68" s="18">
        <v>0</v>
      </c>
      <c r="E68" s="18">
        <v>1</v>
      </c>
      <c r="F68" s="18">
        <v>0</v>
      </c>
      <c r="G68" s="18">
        <v>0</v>
      </c>
      <c r="H68" s="18">
        <v>1</v>
      </c>
      <c r="I68" s="18">
        <v>0</v>
      </c>
      <c r="J68" s="19">
        <f t="shared" si="0"/>
        <v>1</v>
      </c>
      <c r="K68" s="19">
        <f t="shared" si="1"/>
        <v>1</v>
      </c>
      <c r="L68" s="19">
        <f t="shared" si="2"/>
        <v>2</v>
      </c>
      <c r="M68" s="19">
        <f t="shared" si="3"/>
        <v>0</v>
      </c>
    </row>
    <row r="69" spans="1:13" ht="15" customHeight="1" x14ac:dyDescent="0.2">
      <c r="A69" t="s">
        <v>74</v>
      </c>
      <c r="B69" s="18">
        <v>1</v>
      </c>
      <c r="C69" s="18">
        <v>1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1</v>
      </c>
      <c r="J69" s="19">
        <f t="shared" si="0"/>
        <v>2</v>
      </c>
      <c r="K69" s="19">
        <f t="shared" si="1"/>
        <v>0</v>
      </c>
      <c r="L69" s="19">
        <f t="shared" si="2"/>
        <v>1</v>
      </c>
      <c r="M69" s="19">
        <f t="shared" si="3"/>
        <v>0</v>
      </c>
    </row>
    <row r="70" spans="1:13" ht="15" customHeight="1" x14ac:dyDescent="0.2">
      <c r="A70" t="s">
        <v>75</v>
      </c>
      <c r="B70" s="18">
        <v>0</v>
      </c>
      <c r="C70" s="18">
        <v>1</v>
      </c>
      <c r="D70" s="18">
        <v>0</v>
      </c>
      <c r="E70" s="18">
        <v>0</v>
      </c>
      <c r="F70" s="18">
        <v>0</v>
      </c>
      <c r="G70" s="18">
        <v>0</v>
      </c>
      <c r="H70" s="18">
        <v>1</v>
      </c>
      <c r="I70" s="18">
        <v>1</v>
      </c>
      <c r="J70" s="19">
        <f t="shared" si="0"/>
        <v>2</v>
      </c>
      <c r="K70" s="19">
        <f t="shared" si="1"/>
        <v>0</v>
      </c>
      <c r="L70" s="19">
        <f t="shared" si="2"/>
        <v>1</v>
      </c>
      <c r="M70" s="19">
        <f t="shared" si="3"/>
        <v>0</v>
      </c>
    </row>
    <row r="71" spans="1:13" ht="15" customHeight="1" x14ac:dyDescent="0.2">
      <c r="A71" t="s">
        <v>76</v>
      </c>
      <c r="B71" s="18">
        <v>0</v>
      </c>
      <c r="C71" s="18">
        <v>0</v>
      </c>
      <c r="D71" s="18">
        <v>0</v>
      </c>
      <c r="E71" s="18">
        <v>2</v>
      </c>
      <c r="F71" s="18">
        <v>0</v>
      </c>
      <c r="G71" s="18">
        <v>0</v>
      </c>
      <c r="H71" s="18">
        <v>0</v>
      </c>
      <c r="I71" s="18">
        <v>1</v>
      </c>
      <c r="J71" s="19">
        <f t="shared" si="0"/>
        <v>1</v>
      </c>
      <c r="K71" s="19">
        <f t="shared" si="1"/>
        <v>2</v>
      </c>
      <c r="L71" s="19">
        <f t="shared" si="2"/>
        <v>0</v>
      </c>
      <c r="M71" s="19">
        <f t="shared" si="3"/>
        <v>0</v>
      </c>
    </row>
    <row r="72" spans="1:13" ht="15" customHeight="1" x14ac:dyDescent="0.2">
      <c r="A72" t="s">
        <v>77</v>
      </c>
      <c r="B72" s="18">
        <v>0</v>
      </c>
      <c r="C72" s="18">
        <v>1</v>
      </c>
      <c r="D72" s="18">
        <v>0</v>
      </c>
      <c r="E72" s="18">
        <v>1</v>
      </c>
      <c r="F72" s="18">
        <v>0</v>
      </c>
      <c r="G72" s="18">
        <v>2</v>
      </c>
      <c r="H72" s="18">
        <v>0</v>
      </c>
      <c r="I72" s="18">
        <v>1</v>
      </c>
      <c r="J72" s="19">
        <f t="shared" si="0"/>
        <v>2</v>
      </c>
      <c r="K72" s="19">
        <f t="shared" si="1"/>
        <v>3</v>
      </c>
      <c r="L72" s="19">
        <f t="shared" si="2"/>
        <v>0</v>
      </c>
      <c r="M72" s="19">
        <f t="shared" si="3"/>
        <v>0</v>
      </c>
    </row>
    <row r="73" spans="1:13" ht="15" customHeight="1" x14ac:dyDescent="0.2">
      <c r="A73" t="s">
        <v>78</v>
      </c>
      <c r="B73" s="18">
        <v>0</v>
      </c>
      <c r="C73" s="18">
        <v>0</v>
      </c>
      <c r="D73" s="18">
        <v>0</v>
      </c>
      <c r="E73" s="18">
        <v>1</v>
      </c>
      <c r="F73" s="18">
        <v>0</v>
      </c>
      <c r="G73" s="18">
        <v>1</v>
      </c>
      <c r="H73" s="18">
        <v>0</v>
      </c>
      <c r="I73" s="18">
        <v>1</v>
      </c>
      <c r="J73" s="19">
        <f t="shared" si="0"/>
        <v>1</v>
      </c>
      <c r="K73" s="19">
        <f t="shared" si="1"/>
        <v>2</v>
      </c>
      <c r="L73" s="19">
        <f t="shared" si="2"/>
        <v>0</v>
      </c>
      <c r="M73" s="19">
        <f t="shared" si="3"/>
        <v>0</v>
      </c>
    </row>
    <row r="74" spans="1:13" ht="15" customHeight="1" x14ac:dyDescent="0.2">
      <c r="A74" t="s">
        <v>79</v>
      </c>
      <c r="B74" s="18">
        <v>1</v>
      </c>
      <c r="C74" s="18">
        <v>0</v>
      </c>
      <c r="D74" s="18">
        <v>0</v>
      </c>
      <c r="E74" s="18">
        <v>1</v>
      </c>
      <c r="F74" s="18">
        <v>0</v>
      </c>
      <c r="G74" s="18">
        <v>0</v>
      </c>
      <c r="H74" s="18">
        <v>0</v>
      </c>
      <c r="I74" s="18">
        <v>0</v>
      </c>
      <c r="J74" s="19">
        <f t="shared" si="0"/>
        <v>0</v>
      </c>
      <c r="K74" s="19">
        <f t="shared" si="1"/>
        <v>1</v>
      </c>
      <c r="L74" s="19">
        <f t="shared" si="2"/>
        <v>1</v>
      </c>
      <c r="M74" s="19">
        <f t="shared" si="3"/>
        <v>0</v>
      </c>
    </row>
    <row r="75" spans="1:13" ht="15" customHeight="1" x14ac:dyDescent="0.2">
      <c r="A75" t="s">
        <v>80</v>
      </c>
      <c r="B75" s="18">
        <v>1</v>
      </c>
      <c r="C75" s="18">
        <v>1</v>
      </c>
      <c r="D75" s="18">
        <v>0</v>
      </c>
      <c r="E75" s="18">
        <v>0</v>
      </c>
      <c r="F75" s="18">
        <v>0</v>
      </c>
      <c r="G75" s="18">
        <v>1</v>
      </c>
      <c r="H75" s="18">
        <v>0</v>
      </c>
      <c r="I75" s="18">
        <v>0</v>
      </c>
      <c r="J75" s="19">
        <f t="shared" ref="J75:J138" si="4">SUM(C75,I75)</f>
        <v>1</v>
      </c>
      <c r="K75" s="19">
        <f t="shared" ref="K75:K138" si="5">SUM(E75,G75)</f>
        <v>1</v>
      </c>
      <c r="L75" s="19">
        <f t="shared" ref="L75:L138" si="6">SUM(B75,H75)</f>
        <v>1</v>
      </c>
      <c r="M75" s="19">
        <f t="shared" ref="M75:M138" si="7">SUM(D75,F75)</f>
        <v>0</v>
      </c>
    </row>
    <row r="76" spans="1:13" ht="15" customHeight="1" x14ac:dyDescent="0.2">
      <c r="A76" t="s">
        <v>81</v>
      </c>
      <c r="B76" s="18">
        <v>1</v>
      </c>
      <c r="C76" s="18">
        <v>1</v>
      </c>
      <c r="D76" s="18">
        <v>0</v>
      </c>
      <c r="E76" s="18">
        <v>1</v>
      </c>
      <c r="F76" s="18">
        <v>0</v>
      </c>
      <c r="G76" s="18">
        <v>1</v>
      </c>
      <c r="H76" s="18">
        <v>0</v>
      </c>
      <c r="I76" s="18">
        <v>0</v>
      </c>
      <c r="J76" s="19">
        <f t="shared" si="4"/>
        <v>1</v>
      </c>
      <c r="K76" s="19">
        <f t="shared" si="5"/>
        <v>2</v>
      </c>
      <c r="L76" s="19">
        <f t="shared" si="6"/>
        <v>1</v>
      </c>
      <c r="M76" s="19">
        <f t="shared" si="7"/>
        <v>0</v>
      </c>
    </row>
    <row r="77" spans="1:13" ht="15" customHeight="1" x14ac:dyDescent="0.2">
      <c r="A77" t="s">
        <v>82</v>
      </c>
      <c r="B77" s="18">
        <v>2</v>
      </c>
      <c r="C77" s="18">
        <v>2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1</v>
      </c>
      <c r="J77" s="19">
        <f t="shared" si="4"/>
        <v>3</v>
      </c>
      <c r="K77" s="19">
        <f t="shared" si="5"/>
        <v>0</v>
      </c>
      <c r="L77" s="19">
        <f t="shared" si="6"/>
        <v>2</v>
      </c>
      <c r="M77" s="19">
        <f t="shared" si="7"/>
        <v>0</v>
      </c>
    </row>
    <row r="78" spans="1:13" ht="15" customHeight="1" x14ac:dyDescent="0.2">
      <c r="A78" t="s">
        <v>83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1</v>
      </c>
      <c r="H78" s="18">
        <v>0</v>
      </c>
      <c r="I78" s="18">
        <v>1</v>
      </c>
      <c r="J78" s="19">
        <f t="shared" si="4"/>
        <v>1</v>
      </c>
      <c r="K78" s="19">
        <f t="shared" si="5"/>
        <v>1</v>
      </c>
      <c r="L78" s="19">
        <f t="shared" si="6"/>
        <v>0</v>
      </c>
      <c r="M78" s="19">
        <f t="shared" si="7"/>
        <v>0</v>
      </c>
    </row>
    <row r="79" spans="1:13" ht="15" customHeight="1" x14ac:dyDescent="0.2">
      <c r="A79" t="s">
        <v>84</v>
      </c>
      <c r="B79" s="18">
        <v>0</v>
      </c>
      <c r="C79" s="18">
        <v>0</v>
      </c>
      <c r="D79" s="18">
        <v>0</v>
      </c>
      <c r="E79" s="18">
        <v>1</v>
      </c>
      <c r="F79" s="18">
        <v>0</v>
      </c>
      <c r="G79" s="18">
        <v>1</v>
      </c>
      <c r="H79" s="18">
        <v>0</v>
      </c>
      <c r="I79" s="18">
        <v>3</v>
      </c>
      <c r="J79" s="19">
        <f t="shared" si="4"/>
        <v>3</v>
      </c>
      <c r="K79" s="19">
        <f t="shared" si="5"/>
        <v>2</v>
      </c>
      <c r="L79" s="19">
        <f t="shared" si="6"/>
        <v>0</v>
      </c>
      <c r="M79" s="19">
        <f t="shared" si="7"/>
        <v>0</v>
      </c>
    </row>
    <row r="80" spans="1:13" ht="15" customHeight="1" x14ac:dyDescent="0.2">
      <c r="A80" t="s">
        <v>85</v>
      </c>
      <c r="B80" s="18">
        <v>2</v>
      </c>
      <c r="C80" s="18">
        <v>2</v>
      </c>
      <c r="D80" s="18">
        <v>0</v>
      </c>
      <c r="E80" s="18">
        <v>0</v>
      </c>
      <c r="F80" s="18">
        <v>0</v>
      </c>
      <c r="G80" s="18">
        <v>2</v>
      </c>
      <c r="H80" s="18">
        <v>0</v>
      </c>
      <c r="I80" s="18">
        <v>1</v>
      </c>
      <c r="J80" s="19">
        <f t="shared" si="4"/>
        <v>3</v>
      </c>
      <c r="K80" s="19">
        <f t="shared" si="5"/>
        <v>2</v>
      </c>
      <c r="L80" s="19">
        <f t="shared" si="6"/>
        <v>2</v>
      </c>
      <c r="M80" s="19">
        <f t="shared" si="7"/>
        <v>0</v>
      </c>
    </row>
    <row r="81" spans="1:13" ht="15" customHeight="1" x14ac:dyDescent="0.2">
      <c r="A81" t="s">
        <v>86</v>
      </c>
      <c r="B81" s="18">
        <v>0</v>
      </c>
      <c r="C81" s="18">
        <v>2</v>
      </c>
      <c r="D81" s="18">
        <v>0</v>
      </c>
      <c r="E81" s="18">
        <v>2</v>
      </c>
      <c r="F81" s="18">
        <v>0</v>
      </c>
      <c r="G81" s="18">
        <v>0</v>
      </c>
      <c r="H81" s="18">
        <v>0</v>
      </c>
      <c r="I81" s="18">
        <v>0</v>
      </c>
      <c r="J81" s="19">
        <f t="shared" si="4"/>
        <v>2</v>
      </c>
      <c r="K81" s="19">
        <f t="shared" si="5"/>
        <v>2</v>
      </c>
      <c r="L81" s="19">
        <f t="shared" si="6"/>
        <v>0</v>
      </c>
      <c r="M81" s="19">
        <f t="shared" si="7"/>
        <v>0</v>
      </c>
    </row>
    <row r="82" spans="1:13" ht="15" customHeight="1" x14ac:dyDescent="0.2">
      <c r="A82" t="s">
        <v>87</v>
      </c>
      <c r="B82" s="18">
        <v>0</v>
      </c>
      <c r="C82" s="18">
        <v>0</v>
      </c>
      <c r="D82" s="18">
        <v>0</v>
      </c>
      <c r="E82" s="18">
        <v>2</v>
      </c>
      <c r="F82" s="18">
        <v>0</v>
      </c>
      <c r="G82" s="18">
        <v>2</v>
      </c>
      <c r="H82" s="18">
        <v>0</v>
      </c>
      <c r="I82" s="18">
        <v>0</v>
      </c>
      <c r="J82" s="19">
        <f t="shared" si="4"/>
        <v>0</v>
      </c>
      <c r="K82" s="19">
        <f t="shared" si="5"/>
        <v>4</v>
      </c>
      <c r="L82" s="19">
        <f t="shared" si="6"/>
        <v>0</v>
      </c>
      <c r="M82" s="19">
        <f t="shared" si="7"/>
        <v>0</v>
      </c>
    </row>
    <row r="83" spans="1:13" ht="15" customHeight="1" x14ac:dyDescent="0.2">
      <c r="A83" t="s">
        <v>88</v>
      </c>
      <c r="B83" s="18">
        <v>2</v>
      </c>
      <c r="C83" s="18">
        <v>1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1</v>
      </c>
      <c r="J83" s="19">
        <f t="shared" si="4"/>
        <v>2</v>
      </c>
      <c r="K83" s="19">
        <f t="shared" si="5"/>
        <v>0</v>
      </c>
      <c r="L83" s="19">
        <f t="shared" si="6"/>
        <v>2</v>
      </c>
      <c r="M83" s="19">
        <f t="shared" si="7"/>
        <v>0</v>
      </c>
    </row>
    <row r="84" spans="1:13" ht="15" customHeight="1" x14ac:dyDescent="0.2">
      <c r="A84" t="s">
        <v>89</v>
      </c>
      <c r="B84" s="18">
        <v>2</v>
      </c>
      <c r="C84" s="18">
        <v>0</v>
      </c>
      <c r="D84" s="18">
        <v>0</v>
      </c>
      <c r="E84" s="18">
        <v>2</v>
      </c>
      <c r="F84" s="18">
        <v>0</v>
      </c>
      <c r="G84" s="18">
        <v>2</v>
      </c>
      <c r="H84" s="18">
        <v>0</v>
      </c>
      <c r="I84" s="18">
        <v>3</v>
      </c>
      <c r="J84" s="19">
        <f t="shared" si="4"/>
        <v>3</v>
      </c>
      <c r="K84" s="19">
        <f t="shared" si="5"/>
        <v>4</v>
      </c>
      <c r="L84" s="19">
        <f t="shared" si="6"/>
        <v>2</v>
      </c>
      <c r="M84" s="19">
        <f t="shared" si="7"/>
        <v>0</v>
      </c>
    </row>
    <row r="85" spans="1:13" ht="15" customHeight="1" x14ac:dyDescent="0.2">
      <c r="A85" t="s">
        <v>90</v>
      </c>
      <c r="B85" s="18">
        <v>1</v>
      </c>
      <c r="C85" s="18">
        <v>1</v>
      </c>
      <c r="D85" s="18">
        <v>0</v>
      </c>
      <c r="E85" s="18">
        <v>0</v>
      </c>
      <c r="F85" s="18">
        <v>0</v>
      </c>
      <c r="G85" s="18">
        <v>1</v>
      </c>
      <c r="H85" s="18">
        <v>0</v>
      </c>
      <c r="I85" s="18">
        <v>0</v>
      </c>
      <c r="J85" s="19">
        <f t="shared" si="4"/>
        <v>1</v>
      </c>
      <c r="K85" s="19">
        <f t="shared" si="5"/>
        <v>1</v>
      </c>
      <c r="L85" s="19">
        <f t="shared" si="6"/>
        <v>1</v>
      </c>
      <c r="M85" s="19">
        <f t="shared" si="7"/>
        <v>0</v>
      </c>
    </row>
    <row r="86" spans="1:13" ht="15" customHeight="1" x14ac:dyDescent="0.2">
      <c r="A86" t="s">
        <v>91</v>
      </c>
      <c r="B86" s="18">
        <v>4</v>
      </c>
      <c r="C86" s="18">
        <v>1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2</v>
      </c>
      <c r="J86" s="19">
        <f t="shared" si="4"/>
        <v>3</v>
      </c>
      <c r="K86" s="19">
        <f t="shared" si="5"/>
        <v>0</v>
      </c>
      <c r="L86" s="19">
        <f t="shared" si="6"/>
        <v>4</v>
      </c>
      <c r="M86" s="19">
        <f t="shared" si="7"/>
        <v>0</v>
      </c>
    </row>
    <row r="87" spans="1:13" ht="15" customHeight="1" x14ac:dyDescent="0.2">
      <c r="A87" t="s">
        <v>92</v>
      </c>
      <c r="B87" s="18">
        <v>1</v>
      </c>
      <c r="C87" s="18">
        <v>2</v>
      </c>
      <c r="D87" s="18">
        <v>1</v>
      </c>
      <c r="E87" s="18">
        <v>1</v>
      </c>
      <c r="F87" s="18">
        <v>0</v>
      </c>
      <c r="G87" s="18">
        <v>1</v>
      </c>
      <c r="H87" s="18">
        <v>0</v>
      </c>
      <c r="I87" s="18">
        <v>0</v>
      </c>
      <c r="J87" s="19">
        <f t="shared" si="4"/>
        <v>2</v>
      </c>
      <c r="K87" s="19">
        <f t="shared" si="5"/>
        <v>2</v>
      </c>
      <c r="L87" s="19">
        <f t="shared" si="6"/>
        <v>1</v>
      </c>
      <c r="M87" s="19">
        <f t="shared" si="7"/>
        <v>1</v>
      </c>
    </row>
    <row r="88" spans="1:13" ht="15" customHeight="1" x14ac:dyDescent="0.2">
      <c r="A88" t="s">
        <v>93</v>
      </c>
      <c r="B88" s="18">
        <v>0</v>
      </c>
      <c r="C88" s="18">
        <v>0</v>
      </c>
      <c r="D88" s="18">
        <v>2</v>
      </c>
      <c r="E88" s="18">
        <v>2</v>
      </c>
      <c r="F88" s="18">
        <v>0</v>
      </c>
      <c r="G88" s="18">
        <v>5</v>
      </c>
      <c r="H88" s="18">
        <v>1</v>
      </c>
      <c r="I88" s="18">
        <v>0</v>
      </c>
      <c r="J88" s="19">
        <f t="shared" si="4"/>
        <v>0</v>
      </c>
      <c r="K88" s="19">
        <f t="shared" si="5"/>
        <v>7</v>
      </c>
      <c r="L88" s="19">
        <f t="shared" si="6"/>
        <v>1</v>
      </c>
      <c r="M88" s="19">
        <f t="shared" si="7"/>
        <v>2</v>
      </c>
    </row>
    <row r="89" spans="1:13" ht="15" customHeight="1" x14ac:dyDescent="0.2">
      <c r="A89" t="s">
        <v>94</v>
      </c>
      <c r="B89" s="18">
        <v>1</v>
      </c>
      <c r="C89" s="18">
        <v>1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9">
        <f t="shared" si="4"/>
        <v>1</v>
      </c>
      <c r="K89" s="19">
        <f t="shared" si="5"/>
        <v>0</v>
      </c>
      <c r="L89" s="19">
        <f t="shared" si="6"/>
        <v>1</v>
      </c>
      <c r="M89" s="19">
        <f t="shared" si="7"/>
        <v>0</v>
      </c>
    </row>
    <row r="90" spans="1:13" ht="15" customHeight="1" x14ac:dyDescent="0.2">
      <c r="A90" t="s">
        <v>95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2</v>
      </c>
      <c r="H90" s="18">
        <v>0</v>
      </c>
      <c r="I90" s="18">
        <v>1</v>
      </c>
      <c r="J90" s="19">
        <f t="shared" si="4"/>
        <v>1</v>
      </c>
      <c r="K90" s="19">
        <f t="shared" si="5"/>
        <v>2</v>
      </c>
      <c r="L90" s="19">
        <f t="shared" si="6"/>
        <v>0</v>
      </c>
      <c r="M90" s="19">
        <f t="shared" si="7"/>
        <v>0</v>
      </c>
    </row>
    <row r="91" spans="1:13" ht="15" customHeight="1" x14ac:dyDescent="0.2">
      <c r="A91" t="s">
        <v>96</v>
      </c>
      <c r="B91" s="18">
        <v>2</v>
      </c>
      <c r="C91" s="18">
        <v>2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1</v>
      </c>
      <c r="J91" s="19">
        <f t="shared" si="4"/>
        <v>3</v>
      </c>
      <c r="K91" s="19">
        <f t="shared" si="5"/>
        <v>0</v>
      </c>
      <c r="L91" s="19">
        <f t="shared" si="6"/>
        <v>2</v>
      </c>
      <c r="M91" s="19">
        <f t="shared" si="7"/>
        <v>0</v>
      </c>
    </row>
    <row r="92" spans="1:13" ht="15" customHeight="1" x14ac:dyDescent="0.2">
      <c r="A92" t="s">
        <v>97</v>
      </c>
      <c r="B92" s="18">
        <v>0</v>
      </c>
      <c r="C92" s="18">
        <v>1</v>
      </c>
      <c r="D92" s="18">
        <v>1</v>
      </c>
      <c r="E92" s="18">
        <v>2</v>
      </c>
      <c r="F92" s="18">
        <v>0</v>
      </c>
      <c r="G92" s="18">
        <v>1</v>
      </c>
      <c r="H92" s="18">
        <v>0</v>
      </c>
      <c r="I92" s="18">
        <v>0</v>
      </c>
      <c r="J92" s="19">
        <f t="shared" si="4"/>
        <v>1</v>
      </c>
      <c r="K92" s="19">
        <f t="shared" si="5"/>
        <v>3</v>
      </c>
      <c r="L92" s="19">
        <f t="shared" si="6"/>
        <v>0</v>
      </c>
      <c r="M92" s="19">
        <f t="shared" si="7"/>
        <v>1</v>
      </c>
    </row>
    <row r="93" spans="1:13" ht="15" customHeight="1" x14ac:dyDescent="0.2">
      <c r="A93" t="s">
        <v>98</v>
      </c>
      <c r="B93" s="18">
        <v>2</v>
      </c>
      <c r="C93" s="18">
        <v>2</v>
      </c>
      <c r="D93" s="18">
        <v>1</v>
      </c>
      <c r="E93" s="18">
        <v>1</v>
      </c>
      <c r="F93" s="18">
        <v>0</v>
      </c>
      <c r="G93" s="18">
        <v>1</v>
      </c>
      <c r="H93" s="18">
        <v>0</v>
      </c>
      <c r="I93" s="18">
        <v>0</v>
      </c>
      <c r="J93" s="19">
        <f t="shared" si="4"/>
        <v>2</v>
      </c>
      <c r="K93" s="19">
        <f t="shared" si="5"/>
        <v>2</v>
      </c>
      <c r="L93" s="19">
        <f t="shared" si="6"/>
        <v>2</v>
      </c>
      <c r="M93" s="19">
        <f t="shared" si="7"/>
        <v>1</v>
      </c>
    </row>
    <row r="94" spans="1:13" ht="15" customHeight="1" x14ac:dyDescent="0.2">
      <c r="A94" t="s">
        <v>99</v>
      </c>
      <c r="B94" s="18">
        <v>1</v>
      </c>
      <c r="C94" s="18">
        <v>1</v>
      </c>
      <c r="D94" s="18">
        <v>1</v>
      </c>
      <c r="E94" s="18">
        <v>1</v>
      </c>
      <c r="F94" s="18">
        <v>0</v>
      </c>
      <c r="G94" s="18">
        <v>1</v>
      </c>
      <c r="H94" s="18">
        <v>0</v>
      </c>
      <c r="I94" s="18">
        <v>0</v>
      </c>
      <c r="J94" s="19">
        <f t="shared" si="4"/>
        <v>1</v>
      </c>
      <c r="K94" s="19">
        <f t="shared" si="5"/>
        <v>2</v>
      </c>
      <c r="L94" s="19">
        <f t="shared" si="6"/>
        <v>1</v>
      </c>
      <c r="M94" s="19">
        <f t="shared" si="7"/>
        <v>1</v>
      </c>
    </row>
    <row r="95" spans="1:13" ht="15" customHeight="1" x14ac:dyDescent="0.2">
      <c r="A95" t="s">
        <v>100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1</v>
      </c>
      <c r="H95" s="18">
        <v>0</v>
      </c>
      <c r="I95" s="18">
        <v>0</v>
      </c>
      <c r="J95" s="19">
        <f t="shared" si="4"/>
        <v>0</v>
      </c>
      <c r="K95" s="19">
        <f t="shared" si="5"/>
        <v>1</v>
      </c>
      <c r="L95" s="19">
        <f t="shared" si="6"/>
        <v>0</v>
      </c>
      <c r="M95" s="19">
        <f t="shared" si="7"/>
        <v>0</v>
      </c>
    </row>
    <row r="96" spans="1:13" ht="15" customHeight="1" x14ac:dyDescent="0.2">
      <c r="A96" t="s">
        <v>101</v>
      </c>
      <c r="B96" s="18">
        <v>0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1</v>
      </c>
      <c r="J96" s="19">
        <f t="shared" si="4"/>
        <v>1</v>
      </c>
      <c r="K96" s="19">
        <f t="shared" si="5"/>
        <v>0</v>
      </c>
      <c r="L96" s="19">
        <f t="shared" si="6"/>
        <v>0</v>
      </c>
      <c r="M96" s="19">
        <f t="shared" si="7"/>
        <v>0</v>
      </c>
    </row>
    <row r="97" spans="1:13" ht="15" customHeight="1" x14ac:dyDescent="0.2">
      <c r="A97" t="s">
        <v>102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1</v>
      </c>
      <c r="H97" s="18">
        <v>0</v>
      </c>
      <c r="I97" s="18">
        <v>1</v>
      </c>
      <c r="J97" s="19">
        <f t="shared" si="4"/>
        <v>1</v>
      </c>
      <c r="K97" s="19">
        <f t="shared" si="5"/>
        <v>1</v>
      </c>
      <c r="L97" s="19">
        <f t="shared" si="6"/>
        <v>0</v>
      </c>
      <c r="M97" s="19">
        <f t="shared" si="7"/>
        <v>0</v>
      </c>
    </row>
    <row r="98" spans="1:13" ht="15" customHeight="1" x14ac:dyDescent="0.2">
      <c r="A98" t="s">
        <v>103</v>
      </c>
      <c r="B98" s="18">
        <v>1</v>
      </c>
      <c r="C98" s="18">
        <v>1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9">
        <f t="shared" si="4"/>
        <v>1</v>
      </c>
      <c r="K98" s="19">
        <f t="shared" si="5"/>
        <v>0</v>
      </c>
      <c r="L98" s="19">
        <f t="shared" si="6"/>
        <v>1</v>
      </c>
      <c r="M98" s="19">
        <f t="shared" si="7"/>
        <v>0</v>
      </c>
    </row>
    <row r="99" spans="1:13" ht="15" customHeight="1" x14ac:dyDescent="0.2">
      <c r="A99" t="s">
        <v>104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9">
        <f t="shared" si="4"/>
        <v>0</v>
      </c>
      <c r="K99" s="19">
        <f t="shared" si="5"/>
        <v>0</v>
      </c>
      <c r="L99" s="19">
        <f t="shared" si="6"/>
        <v>0</v>
      </c>
      <c r="M99" s="19">
        <f t="shared" si="7"/>
        <v>0</v>
      </c>
    </row>
    <row r="100" spans="1:13" ht="15" customHeight="1" x14ac:dyDescent="0.2">
      <c r="A100" t="s">
        <v>105</v>
      </c>
      <c r="B100" s="18">
        <v>0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9">
        <f t="shared" si="4"/>
        <v>0</v>
      </c>
      <c r="K100" s="19">
        <f t="shared" si="5"/>
        <v>0</v>
      </c>
      <c r="L100" s="19">
        <f t="shared" si="6"/>
        <v>0</v>
      </c>
      <c r="M100" s="19">
        <f t="shared" si="7"/>
        <v>0</v>
      </c>
    </row>
    <row r="101" spans="1:13" ht="15" customHeight="1" x14ac:dyDescent="0.2">
      <c r="A101" t="s">
        <v>106</v>
      </c>
      <c r="B101" s="18">
        <v>0</v>
      </c>
      <c r="C101" s="18">
        <v>0</v>
      </c>
      <c r="D101" s="18">
        <v>0</v>
      </c>
      <c r="E101" s="18">
        <v>0</v>
      </c>
      <c r="F101" s="18">
        <v>0</v>
      </c>
      <c r="G101" s="18">
        <v>2</v>
      </c>
      <c r="H101" s="18">
        <v>0</v>
      </c>
      <c r="I101" s="18">
        <v>0</v>
      </c>
      <c r="J101" s="19">
        <f t="shared" si="4"/>
        <v>0</v>
      </c>
      <c r="K101" s="19">
        <f t="shared" si="5"/>
        <v>2</v>
      </c>
      <c r="L101" s="19">
        <f t="shared" si="6"/>
        <v>0</v>
      </c>
      <c r="M101" s="19">
        <f t="shared" si="7"/>
        <v>0</v>
      </c>
    </row>
    <row r="102" spans="1:13" ht="15" customHeight="1" x14ac:dyDescent="0.2">
      <c r="A102" t="s">
        <v>107</v>
      </c>
      <c r="B102" s="18">
        <v>0</v>
      </c>
      <c r="C102" s="18">
        <v>1</v>
      </c>
      <c r="D102" s="18">
        <v>0</v>
      </c>
      <c r="E102" s="18">
        <v>0</v>
      </c>
      <c r="F102" s="18">
        <v>0</v>
      </c>
      <c r="G102" s="18">
        <v>2</v>
      </c>
      <c r="H102" s="18">
        <v>0</v>
      </c>
      <c r="I102" s="18">
        <v>0</v>
      </c>
      <c r="J102" s="19">
        <f t="shared" si="4"/>
        <v>1</v>
      </c>
      <c r="K102" s="19">
        <f t="shared" si="5"/>
        <v>2</v>
      </c>
      <c r="L102" s="19">
        <f t="shared" si="6"/>
        <v>0</v>
      </c>
      <c r="M102" s="19">
        <f t="shared" si="7"/>
        <v>0</v>
      </c>
    </row>
    <row r="103" spans="1:13" ht="15" customHeight="1" x14ac:dyDescent="0.2">
      <c r="A103" t="s">
        <v>108</v>
      </c>
      <c r="B103" s="18">
        <v>0</v>
      </c>
      <c r="C103" s="18">
        <v>2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9">
        <f t="shared" si="4"/>
        <v>2</v>
      </c>
      <c r="K103" s="19">
        <f t="shared" si="5"/>
        <v>0</v>
      </c>
      <c r="L103" s="19">
        <f t="shared" si="6"/>
        <v>0</v>
      </c>
      <c r="M103" s="19">
        <f t="shared" si="7"/>
        <v>0</v>
      </c>
    </row>
    <row r="104" spans="1:13" ht="15" customHeight="1" x14ac:dyDescent="0.2">
      <c r="A104" t="s">
        <v>109</v>
      </c>
      <c r="B104" s="18">
        <v>0</v>
      </c>
      <c r="C104" s="18">
        <v>0</v>
      </c>
      <c r="D104" s="18">
        <v>0</v>
      </c>
      <c r="E104" s="18">
        <v>0</v>
      </c>
      <c r="F104" s="18">
        <v>1</v>
      </c>
      <c r="G104" s="18">
        <v>1</v>
      </c>
      <c r="H104" s="18">
        <v>0</v>
      </c>
      <c r="I104" s="18">
        <v>0</v>
      </c>
      <c r="J104" s="19">
        <f t="shared" si="4"/>
        <v>0</v>
      </c>
      <c r="K104" s="19">
        <f t="shared" si="5"/>
        <v>1</v>
      </c>
      <c r="L104" s="19">
        <f t="shared" si="6"/>
        <v>0</v>
      </c>
      <c r="M104" s="19">
        <f t="shared" si="7"/>
        <v>1</v>
      </c>
    </row>
    <row r="105" spans="1:13" ht="15" customHeight="1" x14ac:dyDescent="0.2">
      <c r="A105" t="s">
        <v>110</v>
      </c>
      <c r="B105" s="18">
        <v>0</v>
      </c>
      <c r="C105" s="18">
        <v>1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9">
        <f t="shared" si="4"/>
        <v>1</v>
      </c>
      <c r="K105" s="19">
        <f t="shared" si="5"/>
        <v>0</v>
      </c>
      <c r="L105" s="19">
        <f t="shared" si="6"/>
        <v>0</v>
      </c>
      <c r="M105" s="19">
        <f t="shared" si="7"/>
        <v>0</v>
      </c>
    </row>
    <row r="106" spans="1:13" ht="15" customHeight="1" x14ac:dyDescent="0.2">
      <c r="A106" t="s">
        <v>5</v>
      </c>
      <c r="B106" s="18">
        <v>1</v>
      </c>
      <c r="C106" s="18">
        <v>1</v>
      </c>
      <c r="D106" s="18">
        <v>0</v>
      </c>
      <c r="E106" s="18">
        <v>0</v>
      </c>
      <c r="F106" s="18">
        <v>0</v>
      </c>
      <c r="G106" s="18">
        <v>1</v>
      </c>
      <c r="H106" s="18">
        <v>0</v>
      </c>
      <c r="I106" s="18">
        <v>0</v>
      </c>
      <c r="J106" s="19">
        <f t="shared" si="4"/>
        <v>1</v>
      </c>
      <c r="K106" s="19">
        <f t="shared" si="5"/>
        <v>1</v>
      </c>
      <c r="L106" s="19">
        <f t="shared" si="6"/>
        <v>1</v>
      </c>
      <c r="M106" s="19">
        <f t="shared" si="7"/>
        <v>0</v>
      </c>
    </row>
    <row r="107" spans="1:13" ht="15" customHeight="1" x14ac:dyDescent="0.2">
      <c r="A107" t="s">
        <v>16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1</v>
      </c>
      <c r="H107" s="18">
        <v>0</v>
      </c>
      <c r="I107" s="18">
        <v>0</v>
      </c>
      <c r="J107" s="19">
        <f t="shared" si="4"/>
        <v>0</v>
      </c>
      <c r="K107" s="19">
        <f t="shared" si="5"/>
        <v>1</v>
      </c>
      <c r="L107" s="19">
        <f t="shared" si="6"/>
        <v>0</v>
      </c>
      <c r="M107" s="19">
        <f t="shared" si="7"/>
        <v>0</v>
      </c>
    </row>
    <row r="108" spans="1:13" ht="15" customHeight="1" x14ac:dyDescent="0.2">
      <c r="A108" t="s">
        <v>17</v>
      </c>
      <c r="B108" s="18">
        <v>0</v>
      </c>
      <c r="C108" s="18">
        <v>2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9">
        <f t="shared" si="4"/>
        <v>2</v>
      </c>
      <c r="K108" s="19">
        <f t="shared" si="5"/>
        <v>0</v>
      </c>
      <c r="L108" s="19">
        <f t="shared" si="6"/>
        <v>0</v>
      </c>
      <c r="M108" s="19">
        <f t="shared" si="7"/>
        <v>0</v>
      </c>
    </row>
    <row r="109" spans="1:13" ht="15" customHeight="1" x14ac:dyDescent="0.2">
      <c r="A109" t="s">
        <v>18</v>
      </c>
      <c r="B109" s="18">
        <v>0</v>
      </c>
      <c r="C109" s="18">
        <v>1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9">
        <f t="shared" si="4"/>
        <v>1</v>
      </c>
      <c r="K109" s="19">
        <f t="shared" si="5"/>
        <v>0</v>
      </c>
      <c r="L109" s="19">
        <f t="shared" si="6"/>
        <v>0</v>
      </c>
      <c r="M109" s="19">
        <f t="shared" si="7"/>
        <v>0</v>
      </c>
    </row>
    <row r="110" spans="1:13" ht="15" customHeight="1" x14ac:dyDescent="0.2">
      <c r="A110" t="s">
        <v>19</v>
      </c>
      <c r="B110" s="18">
        <v>0</v>
      </c>
      <c r="C110" s="18">
        <v>0</v>
      </c>
      <c r="D110" s="18">
        <v>0</v>
      </c>
      <c r="E110" s="18">
        <v>0</v>
      </c>
      <c r="F110" s="18">
        <v>0</v>
      </c>
      <c r="G110" s="18">
        <v>1</v>
      </c>
      <c r="H110" s="18">
        <v>0</v>
      </c>
      <c r="I110" s="18">
        <v>0</v>
      </c>
      <c r="J110" s="19">
        <f t="shared" si="4"/>
        <v>0</v>
      </c>
      <c r="K110" s="19">
        <f t="shared" si="5"/>
        <v>1</v>
      </c>
      <c r="L110" s="19">
        <f t="shared" si="6"/>
        <v>0</v>
      </c>
      <c r="M110" s="19">
        <f t="shared" si="7"/>
        <v>0</v>
      </c>
    </row>
    <row r="111" spans="1:13" ht="15" customHeight="1" x14ac:dyDescent="0.2">
      <c r="A111" t="s">
        <v>20</v>
      </c>
      <c r="B111" s="18">
        <v>0</v>
      </c>
      <c r="C111" s="18">
        <v>0</v>
      </c>
      <c r="D111" s="18">
        <v>0</v>
      </c>
      <c r="E111" s="18">
        <v>1</v>
      </c>
      <c r="F111" s="18">
        <v>0</v>
      </c>
      <c r="G111" s="18">
        <v>0</v>
      </c>
      <c r="H111" s="18">
        <v>0</v>
      </c>
      <c r="I111" s="18">
        <v>0</v>
      </c>
      <c r="J111" s="19">
        <f t="shared" si="4"/>
        <v>0</v>
      </c>
      <c r="K111" s="19">
        <f t="shared" si="5"/>
        <v>1</v>
      </c>
      <c r="L111" s="19">
        <f t="shared" si="6"/>
        <v>0</v>
      </c>
      <c r="M111" s="19">
        <f t="shared" si="7"/>
        <v>0</v>
      </c>
    </row>
    <row r="112" spans="1:13" ht="15" customHeight="1" x14ac:dyDescent="0.2">
      <c r="A112" t="s">
        <v>21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1</v>
      </c>
      <c r="H112" s="18">
        <v>0</v>
      </c>
      <c r="I112" s="18">
        <v>0</v>
      </c>
      <c r="J112" s="19">
        <f t="shared" si="4"/>
        <v>0</v>
      </c>
      <c r="K112" s="19">
        <f t="shared" si="5"/>
        <v>1</v>
      </c>
      <c r="L112" s="19">
        <f t="shared" si="6"/>
        <v>0</v>
      </c>
      <c r="M112" s="19">
        <f t="shared" si="7"/>
        <v>0</v>
      </c>
    </row>
    <row r="113" spans="1:13" ht="15" customHeight="1" x14ac:dyDescent="0.2">
      <c r="A113" t="s">
        <v>22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9">
        <f t="shared" si="4"/>
        <v>0</v>
      </c>
      <c r="K113" s="19">
        <f t="shared" si="5"/>
        <v>0</v>
      </c>
      <c r="L113" s="19">
        <f t="shared" si="6"/>
        <v>0</v>
      </c>
      <c r="M113" s="19">
        <f t="shared" si="7"/>
        <v>0</v>
      </c>
    </row>
    <row r="114" spans="1:13" ht="15" customHeight="1" x14ac:dyDescent="0.2">
      <c r="A114" t="s">
        <v>23</v>
      </c>
      <c r="B114" s="18">
        <v>0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9">
        <f t="shared" si="4"/>
        <v>0</v>
      </c>
      <c r="K114" s="19">
        <f t="shared" si="5"/>
        <v>0</v>
      </c>
      <c r="L114" s="19">
        <f t="shared" si="6"/>
        <v>0</v>
      </c>
      <c r="M114" s="19">
        <f t="shared" si="7"/>
        <v>0</v>
      </c>
    </row>
    <row r="115" spans="1:13" ht="15" customHeight="1" x14ac:dyDescent="0.2">
      <c r="A115" t="s">
        <v>24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1</v>
      </c>
      <c r="J115" s="19">
        <f t="shared" si="4"/>
        <v>1</v>
      </c>
      <c r="K115" s="19">
        <f t="shared" si="5"/>
        <v>0</v>
      </c>
      <c r="L115" s="19">
        <f t="shared" si="6"/>
        <v>0</v>
      </c>
      <c r="M115" s="19">
        <f t="shared" si="7"/>
        <v>0</v>
      </c>
    </row>
    <row r="116" spans="1:13" ht="15" customHeight="1" x14ac:dyDescent="0.2">
      <c r="A116" t="s">
        <v>25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9">
        <f t="shared" si="4"/>
        <v>0</v>
      </c>
      <c r="K116" s="19">
        <f t="shared" si="5"/>
        <v>0</v>
      </c>
      <c r="L116" s="19">
        <f t="shared" si="6"/>
        <v>0</v>
      </c>
      <c r="M116" s="19">
        <f t="shared" si="7"/>
        <v>0</v>
      </c>
    </row>
    <row r="117" spans="1:13" ht="15" customHeight="1" x14ac:dyDescent="0.2">
      <c r="A117" t="s">
        <v>26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9">
        <f t="shared" si="4"/>
        <v>0</v>
      </c>
      <c r="K117" s="19">
        <f t="shared" si="5"/>
        <v>0</v>
      </c>
      <c r="L117" s="19">
        <f t="shared" si="6"/>
        <v>0</v>
      </c>
      <c r="M117" s="19">
        <f t="shared" si="7"/>
        <v>0</v>
      </c>
    </row>
    <row r="118" spans="1:13" ht="15" customHeight="1" x14ac:dyDescent="0.2">
      <c r="A118" t="s">
        <v>27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9">
        <f t="shared" si="4"/>
        <v>0</v>
      </c>
      <c r="K118" s="19">
        <f t="shared" si="5"/>
        <v>0</v>
      </c>
      <c r="L118" s="19">
        <f t="shared" si="6"/>
        <v>0</v>
      </c>
      <c r="M118" s="19">
        <f t="shared" si="7"/>
        <v>0</v>
      </c>
    </row>
    <row r="119" spans="1:13" ht="15" customHeight="1" x14ac:dyDescent="0.2">
      <c r="A119" t="s">
        <v>28</v>
      </c>
      <c r="B119" s="18">
        <v>0</v>
      </c>
      <c r="C119" s="18">
        <v>0</v>
      </c>
      <c r="D119" s="18">
        <v>0</v>
      </c>
      <c r="E119" s="18">
        <v>1</v>
      </c>
      <c r="F119" s="18">
        <v>0</v>
      </c>
      <c r="G119" s="18">
        <v>0</v>
      </c>
      <c r="H119" s="18">
        <v>0</v>
      </c>
      <c r="I119" s="18">
        <v>0</v>
      </c>
      <c r="J119" s="19">
        <f t="shared" si="4"/>
        <v>0</v>
      </c>
      <c r="K119" s="19">
        <f t="shared" si="5"/>
        <v>1</v>
      </c>
      <c r="L119" s="19">
        <f t="shared" si="6"/>
        <v>0</v>
      </c>
      <c r="M119" s="19">
        <f t="shared" si="7"/>
        <v>0</v>
      </c>
    </row>
    <row r="120" spans="1:13" ht="15" customHeight="1" x14ac:dyDescent="0.2">
      <c r="A120" t="s">
        <v>29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9">
        <f t="shared" si="4"/>
        <v>0</v>
      </c>
      <c r="K120" s="19">
        <f t="shared" si="5"/>
        <v>0</v>
      </c>
      <c r="L120" s="19">
        <f t="shared" si="6"/>
        <v>0</v>
      </c>
      <c r="M120" s="19">
        <f t="shared" si="7"/>
        <v>0</v>
      </c>
    </row>
    <row r="121" spans="1:13" ht="15" customHeight="1" x14ac:dyDescent="0.2">
      <c r="A121" t="s">
        <v>30</v>
      </c>
      <c r="B121" s="18">
        <v>0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9">
        <f t="shared" si="4"/>
        <v>0</v>
      </c>
      <c r="K121" s="19">
        <f t="shared" si="5"/>
        <v>0</v>
      </c>
      <c r="L121" s="19">
        <f t="shared" si="6"/>
        <v>0</v>
      </c>
      <c r="M121" s="19">
        <f t="shared" si="7"/>
        <v>0</v>
      </c>
    </row>
    <row r="122" spans="1:13" ht="15" customHeight="1" x14ac:dyDescent="0.2">
      <c r="A122" t="s">
        <v>31</v>
      </c>
      <c r="B122" s="18">
        <v>0</v>
      </c>
      <c r="C122" s="18">
        <v>0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9">
        <f t="shared" si="4"/>
        <v>0</v>
      </c>
      <c r="K122" s="19">
        <f t="shared" si="5"/>
        <v>0</v>
      </c>
      <c r="L122" s="19">
        <f t="shared" si="6"/>
        <v>0</v>
      </c>
      <c r="M122" s="19">
        <f t="shared" si="7"/>
        <v>0</v>
      </c>
    </row>
    <row r="123" spans="1:13" ht="15" customHeight="1" x14ac:dyDescent="0.2">
      <c r="A123" t="s">
        <v>32</v>
      </c>
      <c r="B123" s="18">
        <v>1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9">
        <f t="shared" si="4"/>
        <v>0</v>
      </c>
      <c r="K123" s="19">
        <f t="shared" si="5"/>
        <v>0</v>
      </c>
      <c r="L123" s="19">
        <f t="shared" si="6"/>
        <v>1</v>
      </c>
      <c r="M123" s="19">
        <f t="shared" si="7"/>
        <v>0</v>
      </c>
    </row>
    <row r="124" spans="1:13" ht="15" customHeight="1" x14ac:dyDescent="0.2">
      <c r="A124" t="s">
        <v>33</v>
      </c>
      <c r="B124" s="18">
        <v>0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9">
        <f t="shared" si="4"/>
        <v>0</v>
      </c>
      <c r="K124" s="19">
        <f t="shared" si="5"/>
        <v>0</v>
      </c>
      <c r="L124" s="19">
        <f t="shared" si="6"/>
        <v>0</v>
      </c>
      <c r="M124" s="19">
        <f t="shared" si="7"/>
        <v>0</v>
      </c>
    </row>
    <row r="125" spans="1:13" ht="15" customHeight="1" x14ac:dyDescent="0.2">
      <c r="A125" t="s">
        <v>34</v>
      </c>
      <c r="B125" s="18">
        <v>0</v>
      </c>
      <c r="C125" s="18">
        <v>0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9">
        <f t="shared" si="4"/>
        <v>0</v>
      </c>
      <c r="K125" s="19">
        <f t="shared" si="5"/>
        <v>0</v>
      </c>
      <c r="L125" s="19">
        <f t="shared" si="6"/>
        <v>0</v>
      </c>
      <c r="M125" s="19">
        <f t="shared" si="7"/>
        <v>0</v>
      </c>
    </row>
    <row r="126" spans="1:13" ht="15" customHeight="1" x14ac:dyDescent="0.2">
      <c r="A126" t="s">
        <v>35</v>
      </c>
      <c r="B126" s="18">
        <v>0</v>
      </c>
      <c r="C126" s="18">
        <v>0</v>
      </c>
      <c r="D126" s="18">
        <v>0</v>
      </c>
      <c r="E126" s="18">
        <v>1</v>
      </c>
      <c r="F126" s="18">
        <v>0</v>
      </c>
      <c r="G126" s="18">
        <v>0</v>
      </c>
      <c r="H126" s="18">
        <v>0</v>
      </c>
      <c r="I126" s="18">
        <v>0</v>
      </c>
      <c r="J126" s="19">
        <f t="shared" si="4"/>
        <v>0</v>
      </c>
      <c r="K126" s="19">
        <f t="shared" si="5"/>
        <v>1</v>
      </c>
      <c r="L126" s="19">
        <f t="shared" si="6"/>
        <v>0</v>
      </c>
      <c r="M126" s="19">
        <f t="shared" si="7"/>
        <v>0</v>
      </c>
    </row>
    <row r="127" spans="1:13" ht="15" customHeight="1" x14ac:dyDescent="0.2">
      <c r="A127" t="s">
        <v>36</v>
      </c>
      <c r="B127" s="18">
        <v>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9">
        <f t="shared" si="4"/>
        <v>0</v>
      </c>
      <c r="K127" s="19">
        <f t="shared" si="5"/>
        <v>0</v>
      </c>
      <c r="L127" s="19">
        <f t="shared" si="6"/>
        <v>0</v>
      </c>
      <c r="M127" s="19">
        <f t="shared" si="7"/>
        <v>0</v>
      </c>
    </row>
    <row r="128" spans="1:13" ht="15" customHeight="1" x14ac:dyDescent="0.2">
      <c r="A128" t="s">
        <v>37</v>
      </c>
      <c r="B128" s="18">
        <v>0</v>
      </c>
      <c r="C128" s="18">
        <v>0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1</v>
      </c>
      <c r="J128" s="19">
        <f t="shared" si="4"/>
        <v>1</v>
      </c>
      <c r="K128" s="19">
        <f t="shared" si="5"/>
        <v>0</v>
      </c>
      <c r="L128" s="19">
        <f t="shared" si="6"/>
        <v>0</v>
      </c>
      <c r="M128" s="19">
        <f t="shared" si="7"/>
        <v>0</v>
      </c>
    </row>
    <row r="129" spans="1:13" ht="15" customHeight="1" x14ac:dyDescent="0.2">
      <c r="A129" t="s">
        <v>38</v>
      </c>
      <c r="B129" s="18">
        <v>0</v>
      </c>
      <c r="C129" s="18">
        <v>0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1</v>
      </c>
      <c r="J129" s="19">
        <f t="shared" si="4"/>
        <v>1</v>
      </c>
      <c r="K129" s="19">
        <f t="shared" si="5"/>
        <v>0</v>
      </c>
      <c r="L129" s="19">
        <f t="shared" si="6"/>
        <v>0</v>
      </c>
      <c r="M129" s="19">
        <f t="shared" si="7"/>
        <v>0</v>
      </c>
    </row>
    <row r="130" spans="1:13" ht="15" customHeight="1" x14ac:dyDescent="0.2">
      <c r="A130" t="s">
        <v>39</v>
      </c>
      <c r="B130" s="18">
        <v>0</v>
      </c>
      <c r="C130" s="18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1</v>
      </c>
      <c r="J130" s="19">
        <f t="shared" si="4"/>
        <v>1</v>
      </c>
      <c r="K130" s="19">
        <f t="shared" si="5"/>
        <v>0</v>
      </c>
      <c r="L130" s="19">
        <f t="shared" si="6"/>
        <v>0</v>
      </c>
      <c r="M130" s="19">
        <f t="shared" si="7"/>
        <v>0</v>
      </c>
    </row>
    <row r="131" spans="1:13" ht="15" customHeight="1" x14ac:dyDescent="0.2">
      <c r="A131" t="s">
        <v>40</v>
      </c>
      <c r="B131" s="18">
        <v>0</v>
      </c>
      <c r="C131" s="18">
        <v>0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1</v>
      </c>
      <c r="J131" s="19">
        <f t="shared" si="4"/>
        <v>1</v>
      </c>
      <c r="K131" s="19">
        <f t="shared" si="5"/>
        <v>0</v>
      </c>
      <c r="L131" s="19">
        <f t="shared" si="6"/>
        <v>0</v>
      </c>
      <c r="M131" s="19">
        <f t="shared" si="7"/>
        <v>0</v>
      </c>
    </row>
    <row r="132" spans="1:13" ht="15" customHeight="1" x14ac:dyDescent="0.2">
      <c r="A132" t="s">
        <v>41</v>
      </c>
      <c r="B132" s="18">
        <v>1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1</v>
      </c>
      <c r="I132" s="18">
        <v>5</v>
      </c>
      <c r="J132" s="19">
        <f t="shared" si="4"/>
        <v>5</v>
      </c>
      <c r="K132" s="19">
        <f t="shared" si="5"/>
        <v>0</v>
      </c>
      <c r="L132" s="19">
        <f t="shared" si="6"/>
        <v>2</v>
      </c>
      <c r="M132" s="19">
        <f t="shared" si="7"/>
        <v>0</v>
      </c>
    </row>
    <row r="133" spans="1:13" ht="15" customHeight="1" x14ac:dyDescent="0.2">
      <c r="A133" t="s">
        <v>42</v>
      </c>
      <c r="B133" s="18">
        <v>0</v>
      </c>
      <c r="C133" s="18">
        <v>1</v>
      </c>
      <c r="D133" s="18">
        <v>0</v>
      </c>
      <c r="E133" s="18">
        <v>0</v>
      </c>
      <c r="F133" s="18">
        <v>0</v>
      </c>
      <c r="G133" s="18">
        <v>0</v>
      </c>
      <c r="H133" s="18">
        <v>2</v>
      </c>
      <c r="I133" s="18">
        <v>1</v>
      </c>
      <c r="J133" s="19">
        <f t="shared" si="4"/>
        <v>2</v>
      </c>
      <c r="K133" s="19">
        <f t="shared" si="5"/>
        <v>0</v>
      </c>
      <c r="L133" s="19">
        <f t="shared" si="6"/>
        <v>2</v>
      </c>
      <c r="M133" s="19">
        <f t="shared" si="7"/>
        <v>0</v>
      </c>
    </row>
    <row r="134" spans="1:13" ht="15" customHeight="1" x14ac:dyDescent="0.2">
      <c r="A134" t="s">
        <v>43</v>
      </c>
      <c r="B134" s="18">
        <v>0</v>
      </c>
      <c r="C134" s="18">
        <v>1</v>
      </c>
      <c r="D134" s="18">
        <v>0</v>
      </c>
      <c r="E134" s="18">
        <v>1</v>
      </c>
      <c r="F134" s="18">
        <v>0</v>
      </c>
      <c r="G134" s="18">
        <v>0</v>
      </c>
      <c r="H134" s="18">
        <v>0</v>
      </c>
      <c r="I134" s="18">
        <v>0</v>
      </c>
      <c r="J134" s="19">
        <f t="shared" si="4"/>
        <v>1</v>
      </c>
      <c r="K134" s="19">
        <f t="shared" si="5"/>
        <v>1</v>
      </c>
      <c r="L134" s="19">
        <f t="shared" si="6"/>
        <v>0</v>
      </c>
      <c r="M134" s="19">
        <f t="shared" si="7"/>
        <v>0</v>
      </c>
    </row>
    <row r="135" spans="1:13" ht="15" customHeight="1" x14ac:dyDescent="0.2">
      <c r="A135" t="s">
        <v>44</v>
      </c>
      <c r="B135" s="18">
        <v>0</v>
      </c>
      <c r="C135" s="18">
        <v>0</v>
      </c>
      <c r="D135" s="18">
        <v>0</v>
      </c>
      <c r="E135" s="18">
        <v>1</v>
      </c>
      <c r="F135" s="18">
        <v>0</v>
      </c>
      <c r="G135" s="18">
        <v>0</v>
      </c>
      <c r="H135" s="18">
        <v>1</v>
      </c>
      <c r="I135" s="18">
        <v>0</v>
      </c>
      <c r="J135" s="19">
        <f t="shared" si="4"/>
        <v>0</v>
      </c>
      <c r="K135" s="19">
        <f t="shared" si="5"/>
        <v>1</v>
      </c>
      <c r="L135" s="19">
        <f t="shared" si="6"/>
        <v>1</v>
      </c>
      <c r="M135" s="19">
        <f t="shared" si="7"/>
        <v>0</v>
      </c>
    </row>
    <row r="136" spans="1:13" ht="15" customHeight="1" x14ac:dyDescent="0.2">
      <c r="A136" t="s">
        <v>45</v>
      </c>
      <c r="B136" s="18">
        <v>0</v>
      </c>
      <c r="C136" s="18">
        <v>0</v>
      </c>
      <c r="D136" s="18">
        <v>0</v>
      </c>
      <c r="E136" s="18">
        <v>1</v>
      </c>
      <c r="F136" s="18">
        <v>0</v>
      </c>
      <c r="G136" s="18">
        <v>0</v>
      </c>
      <c r="H136" s="18">
        <v>0</v>
      </c>
      <c r="I136" s="18">
        <v>0</v>
      </c>
      <c r="J136" s="19">
        <f t="shared" si="4"/>
        <v>0</v>
      </c>
      <c r="K136" s="19">
        <f t="shared" si="5"/>
        <v>1</v>
      </c>
      <c r="L136" s="19">
        <f t="shared" si="6"/>
        <v>0</v>
      </c>
      <c r="M136" s="19">
        <f t="shared" si="7"/>
        <v>0</v>
      </c>
    </row>
    <row r="137" spans="1:13" ht="15" customHeight="1" x14ac:dyDescent="0.2">
      <c r="A137" t="s">
        <v>46</v>
      </c>
      <c r="B137" s="18">
        <v>0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1</v>
      </c>
      <c r="I137" s="18">
        <v>2</v>
      </c>
      <c r="J137" s="19">
        <f t="shared" si="4"/>
        <v>2</v>
      </c>
      <c r="K137" s="19">
        <f t="shared" si="5"/>
        <v>0</v>
      </c>
      <c r="L137" s="19">
        <f t="shared" si="6"/>
        <v>1</v>
      </c>
      <c r="M137" s="19">
        <f t="shared" si="7"/>
        <v>0</v>
      </c>
    </row>
    <row r="138" spans="1:13" ht="15" customHeight="1" x14ac:dyDescent="0.2">
      <c r="A138" t="s">
        <v>47</v>
      </c>
      <c r="B138" s="18">
        <v>0</v>
      </c>
      <c r="C138" s="18">
        <v>1</v>
      </c>
      <c r="D138" s="18">
        <v>0</v>
      </c>
      <c r="E138" s="18">
        <v>1</v>
      </c>
      <c r="F138" s="18">
        <v>0</v>
      </c>
      <c r="G138" s="18">
        <v>1</v>
      </c>
      <c r="H138" s="18">
        <v>0</v>
      </c>
      <c r="I138" s="18">
        <v>0</v>
      </c>
      <c r="J138" s="19">
        <f t="shared" si="4"/>
        <v>1</v>
      </c>
      <c r="K138" s="19">
        <f t="shared" si="5"/>
        <v>2</v>
      </c>
      <c r="L138" s="19">
        <f t="shared" si="6"/>
        <v>0</v>
      </c>
      <c r="M138" s="19">
        <f t="shared" si="7"/>
        <v>0</v>
      </c>
    </row>
    <row r="139" spans="1:13" ht="15" customHeight="1" x14ac:dyDescent="0.2">
      <c r="A139" t="s">
        <v>48</v>
      </c>
      <c r="B139" s="18">
        <v>0</v>
      </c>
      <c r="C139" s="18">
        <v>1</v>
      </c>
      <c r="D139" s="18">
        <v>0</v>
      </c>
      <c r="E139" s="18">
        <v>2</v>
      </c>
      <c r="F139" s="18">
        <v>0</v>
      </c>
      <c r="G139" s="18">
        <v>0</v>
      </c>
      <c r="H139" s="18">
        <v>1</v>
      </c>
      <c r="I139" s="18">
        <v>2</v>
      </c>
      <c r="J139" s="19">
        <f t="shared" ref="J139:J201" si="8">SUM(C139,I139)</f>
        <v>3</v>
      </c>
      <c r="K139" s="19">
        <f t="shared" ref="K139:K201" si="9">SUM(E139,G139)</f>
        <v>2</v>
      </c>
      <c r="L139" s="19">
        <f t="shared" ref="L139:L201" si="10">SUM(B139,H139)</f>
        <v>1</v>
      </c>
      <c r="M139" s="19">
        <f t="shared" ref="M139:M201" si="11">SUM(D139,F139)</f>
        <v>0</v>
      </c>
    </row>
    <row r="140" spans="1:13" ht="15" customHeight="1" x14ac:dyDescent="0.2">
      <c r="A140" t="s">
        <v>49</v>
      </c>
      <c r="B140" s="18">
        <v>0</v>
      </c>
      <c r="C140" s="18">
        <v>0</v>
      </c>
      <c r="D140" s="18">
        <v>0</v>
      </c>
      <c r="E140" s="18">
        <v>2</v>
      </c>
      <c r="F140" s="18">
        <v>0</v>
      </c>
      <c r="G140" s="18">
        <v>1</v>
      </c>
      <c r="H140" s="18">
        <v>0</v>
      </c>
      <c r="I140" s="18">
        <v>1</v>
      </c>
      <c r="J140" s="19">
        <f t="shared" si="8"/>
        <v>1</v>
      </c>
      <c r="K140" s="19">
        <f t="shared" si="9"/>
        <v>3</v>
      </c>
      <c r="L140" s="19">
        <f t="shared" si="10"/>
        <v>0</v>
      </c>
      <c r="M140" s="19">
        <f t="shared" si="11"/>
        <v>0</v>
      </c>
    </row>
    <row r="141" spans="1:13" ht="15" customHeight="1" x14ac:dyDescent="0.2">
      <c r="A141" t="s">
        <v>50</v>
      </c>
      <c r="B141" s="18">
        <v>0</v>
      </c>
      <c r="C141" s="18">
        <v>0</v>
      </c>
      <c r="D141" s="18">
        <v>0</v>
      </c>
      <c r="E141" s="18">
        <v>1</v>
      </c>
      <c r="F141" s="18">
        <v>0</v>
      </c>
      <c r="G141" s="18">
        <v>0</v>
      </c>
      <c r="H141" s="18">
        <v>1</v>
      </c>
      <c r="I141" s="18">
        <v>2</v>
      </c>
      <c r="J141" s="19">
        <f t="shared" si="8"/>
        <v>2</v>
      </c>
      <c r="K141" s="19">
        <f t="shared" si="9"/>
        <v>1</v>
      </c>
      <c r="L141" s="19">
        <f t="shared" si="10"/>
        <v>1</v>
      </c>
      <c r="M141" s="19">
        <f t="shared" si="11"/>
        <v>0</v>
      </c>
    </row>
    <row r="142" spans="1:13" ht="15" customHeight="1" x14ac:dyDescent="0.2">
      <c r="A142" t="s">
        <v>51</v>
      </c>
      <c r="B142" s="18">
        <v>1</v>
      </c>
      <c r="C142" s="18">
        <v>0</v>
      </c>
      <c r="D142" s="18">
        <v>0</v>
      </c>
      <c r="E142" s="18">
        <v>1</v>
      </c>
      <c r="F142" s="18">
        <v>0</v>
      </c>
      <c r="G142" s="18">
        <v>0</v>
      </c>
      <c r="H142" s="18">
        <v>2</v>
      </c>
      <c r="I142" s="18">
        <v>2</v>
      </c>
      <c r="J142" s="19">
        <f t="shared" si="8"/>
        <v>2</v>
      </c>
      <c r="K142" s="19">
        <f t="shared" si="9"/>
        <v>1</v>
      </c>
      <c r="L142" s="19">
        <f t="shared" si="10"/>
        <v>3</v>
      </c>
      <c r="M142" s="19">
        <f t="shared" si="11"/>
        <v>0</v>
      </c>
    </row>
    <row r="143" spans="1:13" ht="15" customHeight="1" x14ac:dyDescent="0.2">
      <c r="A143" t="s">
        <v>52</v>
      </c>
      <c r="B143" s="18">
        <v>1</v>
      </c>
      <c r="C143" s="18">
        <v>0</v>
      </c>
      <c r="D143" s="18">
        <v>0</v>
      </c>
      <c r="E143" s="18">
        <v>0</v>
      </c>
      <c r="F143" s="18">
        <v>1</v>
      </c>
      <c r="G143" s="18">
        <v>1</v>
      </c>
      <c r="H143" s="18">
        <v>3</v>
      </c>
      <c r="I143" s="18">
        <v>3</v>
      </c>
      <c r="J143" s="19">
        <f t="shared" si="8"/>
        <v>3</v>
      </c>
      <c r="K143" s="19">
        <f t="shared" si="9"/>
        <v>1</v>
      </c>
      <c r="L143" s="19">
        <f t="shared" si="10"/>
        <v>4</v>
      </c>
      <c r="M143" s="19">
        <f t="shared" si="11"/>
        <v>1</v>
      </c>
    </row>
    <row r="144" spans="1:13" ht="15" customHeight="1" x14ac:dyDescent="0.2">
      <c r="A144" t="s">
        <v>53</v>
      </c>
      <c r="B144" s="18">
        <v>0</v>
      </c>
      <c r="C144" s="18">
        <v>1</v>
      </c>
      <c r="D144" s="18">
        <v>0</v>
      </c>
      <c r="E144" s="18">
        <v>1</v>
      </c>
      <c r="F144" s="18">
        <v>0</v>
      </c>
      <c r="G144" s="18">
        <v>0</v>
      </c>
      <c r="H144" s="18">
        <v>3</v>
      </c>
      <c r="I144" s="18">
        <v>2</v>
      </c>
      <c r="J144" s="19">
        <f t="shared" si="8"/>
        <v>3</v>
      </c>
      <c r="K144" s="19">
        <f t="shared" si="9"/>
        <v>1</v>
      </c>
      <c r="L144" s="19">
        <f t="shared" si="10"/>
        <v>3</v>
      </c>
      <c r="M144" s="19">
        <f t="shared" si="11"/>
        <v>0</v>
      </c>
    </row>
    <row r="145" spans="1:13" ht="15" customHeight="1" x14ac:dyDescent="0.2">
      <c r="A145" t="s">
        <v>54</v>
      </c>
      <c r="B145" s="18">
        <v>0</v>
      </c>
      <c r="C145" s="18">
        <v>0</v>
      </c>
      <c r="D145" s="18">
        <v>0</v>
      </c>
      <c r="E145" s="18">
        <v>0</v>
      </c>
      <c r="F145" s="18">
        <v>1</v>
      </c>
      <c r="G145" s="18">
        <v>2</v>
      </c>
      <c r="H145" s="18">
        <v>2</v>
      </c>
      <c r="I145" s="18">
        <v>2</v>
      </c>
      <c r="J145" s="19">
        <f t="shared" si="8"/>
        <v>2</v>
      </c>
      <c r="K145" s="19">
        <f t="shared" si="9"/>
        <v>2</v>
      </c>
      <c r="L145" s="19">
        <f t="shared" si="10"/>
        <v>2</v>
      </c>
      <c r="M145" s="19">
        <f t="shared" si="11"/>
        <v>1</v>
      </c>
    </row>
    <row r="146" spans="1:13" ht="15" customHeight="1" x14ac:dyDescent="0.2">
      <c r="A146" t="s">
        <v>55</v>
      </c>
      <c r="B146" s="18">
        <v>1</v>
      </c>
      <c r="C146" s="18">
        <v>0</v>
      </c>
      <c r="D146" s="18">
        <v>0</v>
      </c>
      <c r="E146" s="18">
        <v>1</v>
      </c>
      <c r="F146" s="18">
        <v>0</v>
      </c>
      <c r="G146" s="18">
        <v>1</v>
      </c>
      <c r="H146" s="18">
        <v>0</v>
      </c>
      <c r="I146" s="18">
        <v>1</v>
      </c>
      <c r="J146" s="19">
        <f t="shared" si="8"/>
        <v>1</v>
      </c>
      <c r="K146" s="19">
        <f t="shared" si="9"/>
        <v>2</v>
      </c>
      <c r="L146" s="19">
        <f t="shared" si="10"/>
        <v>1</v>
      </c>
      <c r="M146" s="19">
        <f t="shared" si="11"/>
        <v>0</v>
      </c>
    </row>
    <row r="147" spans="1:13" ht="15" customHeight="1" x14ac:dyDescent="0.2">
      <c r="A147" t="s">
        <v>56</v>
      </c>
      <c r="B147" s="18">
        <v>0</v>
      </c>
      <c r="C147" s="18">
        <v>0</v>
      </c>
      <c r="D147" s="18">
        <v>0</v>
      </c>
      <c r="E147" s="18">
        <v>4</v>
      </c>
      <c r="F147" s="18">
        <v>0</v>
      </c>
      <c r="G147" s="18">
        <v>0</v>
      </c>
      <c r="H147" s="18">
        <v>0</v>
      </c>
      <c r="I147" s="18">
        <v>0</v>
      </c>
      <c r="J147" s="19">
        <f t="shared" si="8"/>
        <v>0</v>
      </c>
      <c r="K147" s="19">
        <f t="shared" si="9"/>
        <v>4</v>
      </c>
      <c r="L147" s="19">
        <f t="shared" si="10"/>
        <v>0</v>
      </c>
      <c r="M147" s="19">
        <f t="shared" si="11"/>
        <v>0</v>
      </c>
    </row>
    <row r="148" spans="1:13" ht="15" customHeight="1" x14ac:dyDescent="0.2">
      <c r="A148" t="s">
        <v>57</v>
      </c>
      <c r="B148" s="18">
        <v>0</v>
      </c>
      <c r="C148" s="18">
        <v>0</v>
      </c>
      <c r="D148" s="18">
        <v>0</v>
      </c>
      <c r="E148" s="18">
        <v>1</v>
      </c>
      <c r="F148" s="18">
        <v>0</v>
      </c>
      <c r="G148" s="18">
        <v>0</v>
      </c>
      <c r="H148" s="18">
        <v>0</v>
      </c>
      <c r="I148" s="18">
        <v>0</v>
      </c>
      <c r="J148" s="19">
        <f t="shared" si="8"/>
        <v>0</v>
      </c>
      <c r="K148" s="19">
        <f t="shared" si="9"/>
        <v>1</v>
      </c>
      <c r="L148" s="19">
        <f t="shared" si="10"/>
        <v>0</v>
      </c>
      <c r="M148" s="19">
        <f t="shared" si="11"/>
        <v>0</v>
      </c>
    </row>
    <row r="149" spans="1:13" ht="15" customHeight="1" x14ac:dyDescent="0.2">
      <c r="A149" t="s">
        <v>58</v>
      </c>
      <c r="B149" s="18">
        <v>0</v>
      </c>
      <c r="C149" s="18">
        <v>1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9">
        <f t="shared" si="8"/>
        <v>1</v>
      </c>
      <c r="K149" s="19">
        <f t="shared" si="9"/>
        <v>0</v>
      </c>
      <c r="L149" s="19">
        <f t="shared" si="10"/>
        <v>0</v>
      </c>
      <c r="M149" s="19">
        <f t="shared" si="11"/>
        <v>0</v>
      </c>
    </row>
    <row r="150" spans="1:13" ht="15" customHeight="1" x14ac:dyDescent="0.2">
      <c r="A150" t="s">
        <v>59</v>
      </c>
      <c r="B150" s="18">
        <v>1</v>
      </c>
      <c r="C150" s="18">
        <v>1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1</v>
      </c>
      <c r="J150" s="19">
        <f t="shared" si="8"/>
        <v>2</v>
      </c>
      <c r="K150" s="19">
        <f t="shared" si="9"/>
        <v>0</v>
      </c>
      <c r="L150" s="19">
        <f t="shared" si="10"/>
        <v>1</v>
      </c>
      <c r="M150" s="19">
        <f t="shared" si="11"/>
        <v>0</v>
      </c>
    </row>
    <row r="151" spans="1:13" ht="15" customHeight="1" x14ac:dyDescent="0.2">
      <c r="A151" t="s">
        <v>60</v>
      </c>
      <c r="B151" s="18">
        <v>0</v>
      </c>
      <c r="C151" s="18">
        <v>1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2</v>
      </c>
      <c r="J151" s="19">
        <f t="shared" si="8"/>
        <v>3</v>
      </c>
      <c r="K151" s="19">
        <f t="shared" si="9"/>
        <v>0</v>
      </c>
      <c r="L151" s="19">
        <f t="shared" si="10"/>
        <v>0</v>
      </c>
      <c r="M151" s="19">
        <f t="shared" si="11"/>
        <v>0</v>
      </c>
    </row>
    <row r="152" spans="1:13" ht="15" customHeight="1" x14ac:dyDescent="0.2">
      <c r="A152" t="s">
        <v>61</v>
      </c>
      <c r="B152" s="18">
        <v>0</v>
      </c>
      <c r="C152" s="18">
        <v>0</v>
      </c>
      <c r="D152" s="18">
        <v>0</v>
      </c>
      <c r="E152" s="18">
        <v>2</v>
      </c>
      <c r="F152" s="18">
        <v>0</v>
      </c>
      <c r="G152" s="18">
        <v>2</v>
      </c>
      <c r="H152" s="18">
        <v>0</v>
      </c>
      <c r="I152" s="18">
        <v>0</v>
      </c>
      <c r="J152" s="19">
        <f t="shared" si="8"/>
        <v>0</v>
      </c>
      <c r="K152" s="19">
        <f t="shared" si="9"/>
        <v>4</v>
      </c>
      <c r="L152" s="19">
        <f t="shared" si="10"/>
        <v>0</v>
      </c>
      <c r="M152" s="19">
        <f t="shared" si="11"/>
        <v>0</v>
      </c>
    </row>
    <row r="153" spans="1:13" ht="15" customHeight="1" x14ac:dyDescent="0.2">
      <c r="A153" t="s">
        <v>62</v>
      </c>
      <c r="B153" s="18">
        <v>2</v>
      </c>
      <c r="C153" s="18">
        <v>1</v>
      </c>
      <c r="D153" s="18">
        <v>0</v>
      </c>
      <c r="E153" s="18">
        <v>1</v>
      </c>
      <c r="F153" s="18">
        <v>0</v>
      </c>
      <c r="G153" s="18">
        <v>0</v>
      </c>
      <c r="H153" s="18">
        <v>1</v>
      </c>
      <c r="I153" s="18">
        <v>0</v>
      </c>
      <c r="J153" s="19">
        <f t="shared" si="8"/>
        <v>1</v>
      </c>
      <c r="K153" s="19">
        <f t="shared" si="9"/>
        <v>1</v>
      </c>
      <c r="L153" s="19">
        <f t="shared" si="10"/>
        <v>3</v>
      </c>
      <c r="M153" s="19">
        <f t="shared" si="11"/>
        <v>0</v>
      </c>
    </row>
    <row r="154" spans="1:13" ht="15" customHeight="1" x14ac:dyDescent="0.2">
      <c r="A154" t="s">
        <v>63</v>
      </c>
      <c r="B154" s="18">
        <v>1</v>
      </c>
      <c r="C154" s="18">
        <v>1</v>
      </c>
      <c r="D154" s="18">
        <v>1</v>
      </c>
      <c r="E154" s="18">
        <v>1</v>
      </c>
      <c r="F154" s="18">
        <v>0</v>
      </c>
      <c r="G154" s="18">
        <v>0</v>
      </c>
      <c r="H154" s="18">
        <v>0</v>
      </c>
      <c r="I154" s="18">
        <v>0</v>
      </c>
      <c r="J154" s="19">
        <f t="shared" si="8"/>
        <v>1</v>
      </c>
      <c r="K154" s="19">
        <f t="shared" si="9"/>
        <v>1</v>
      </c>
      <c r="L154" s="19">
        <f t="shared" si="10"/>
        <v>1</v>
      </c>
      <c r="M154" s="19">
        <f t="shared" si="11"/>
        <v>1</v>
      </c>
    </row>
    <row r="155" spans="1:13" ht="15" customHeight="1" x14ac:dyDescent="0.2">
      <c r="A155" t="s">
        <v>64</v>
      </c>
      <c r="B155" s="18">
        <v>0</v>
      </c>
      <c r="C155" s="18">
        <v>0</v>
      </c>
      <c r="D155" s="18">
        <v>1</v>
      </c>
      <c r="E155" s="18">
        <v>1</v>
      </c>
      <c r="F155" s="18">
        <v>0</v>
      </c>
      <c r="G155" s="18">
        <v>0</v>
      </c>
      <c r="H155" s="18">
        <v>0</v>
      </c>
      <c r="I155" s="18">
        <v>0</v>
      </c>
      <c r="J155" s="19">
        <f t="shared" si="8"/>
        <v>0</v>
      </c>
      <c r="K155" s="19">
        <f t="shared" si="9"/>
        <v>1</v>
      </c>
      <c r="L155" s="19">
        <f t="shared" si="10"/>
        <v>0</v>
      </c>
      <c r="M155" s="19">
        <f t="shared" si="11"/>
        <v>1</v>
      </c>
    </row>
    <row r="156" spans="1:13" ht="15" customHeight="1" x14ac:dyDescent="0.2">
      <c r="A156" t="s">
        <v>65</v>
      </c>
      <c r="B156" s="18">
        <v>2</v>
      </c>
      <c r="C156" s="18">
        <v>0</v>
      </c>
      <c r="D156" s="18">
        <v>1</v>
      </c>
      <c r="E156" s="18">
        <v>1</v>
      </c>
      <c r="F156" s="18">
        <v>0</v>
      </c>
      <c r="G156" s="18">
        <v>2</v>
      </c>
      <c r="H156" s="18">
        <v>0</v>
      </c>
      <c r="I156" s="18">
        <v>1</v>
      </c>
      <c r="J156" s="19">
        <f t="shared" si="8"/>
        <v>1</v>
      </c>
      <c r="K156" s="19">
        <f t="shared" si="9"/>
        <v>3</v>
      </c>
      <c r="L156" s="19">
        <f t="shared" si="10"/>
        <v>2</v>
      </c>
      <c r="M156" s="19">
        <f t="shared" si="11"/>
        <v>1</v>
      </c>
    </row>
    <row r="157" spans="1:13" ht="15" customHeight="1" x14ac:dyDescent="0.2">
      <c r="A157" t="s">
        <v>66</v>
      </c>
      <c r="B157" s="18">
        <v>2</v>
      </c>
      <c r="C157" s="18">
        <v>1</v>
      </c>
      <c r="D157" s="18">
        <v>1</v>
      </c>
      <c r="E157" s="18">
        <v>1</v>
      </c>
      <c r="F157" s="18">
        <v>0</v>
      </c>
      <c r="G157" s="18">
        <v>3</v>
      </c>
      <c r="H157" s="18">
        <v>0</v>
      </c>
      <c r="I157" s="18">
        <v>0</v>
      </c>
      <c r="J157" s="19">
        <f t="shared" si="8"/>
        <v>1</v>
      </c>
      <c r="K157" s="19">
        <f t="shared" si="9"/>
        <v>4</v>
      </c>
      <c r="L157" s="19">
        <f t="shared" si="10"/>
        <v>2</v>
      </c>
      <c r="M157" s="19">
        <f t="shared" si="11"/>
        <v>1</v>
      </c>
    </row>
    <row r="158" spans="1:13" ht="15" customHeight="1" x14ac:dyDescent="0.2">
      <c r="A158" t="s">
        <v>67</v>
      </c>
      <c r="B158" s="18">
        <v>0</v>
      </c>
      <c r="C158" s="18">
        <v>1</v>
      </c>
      <c r="D158" s="18">
        <v>0</v>
      </c>
      <c r="E158" s="18">
        <v>1</v>
      </c>
      <c r="F158" s="18">
        <v>0</v>
      </c>
      <c r="G158" s="18">
        <v>2</v>
      </c>
      <c r="H158" s="18">
        <v>0</v>
      </c>
      <c r="I158" s="18">
        <v>1</v>
      </c>
      <c r="J158" s="19">
        <f t="shared" si="8"/>
        <v>2</v>
      </c>
      <c r="K158" s="19">
        <f t="shared" si="9"/>
        <v>3</v>
      </c>
      <c r="L158" s="19">
        <f t="shared" si="10"/>
        <v>0</v>
      </c>
      <c r="M158" s="19">
        <f t="shared" si="11"/>
        <v>0</v>
      </c>
    </row>
    <row r="159" spans="1:13" ht="15" customHeight="1" x14ac:dyDescent="0.2">
      <c r="A159" t="s">
        <v>68</v>
      </c>
      <c r="B159" s="18">
        <v>0</v>
      </c>
      <c r="C159" s="18">
        <v>0</v>
      </c>
      <c r="D159" s="18">
        <v>0</v>
      </c>
      <c r="E159" s="18">
        <v>1</v>
      </c>
      <c r="F159" s="18">
        <v>0</v>
      </c>
      <c r="G159" s="18">
        <v>1</v>
      </c>
      <c r="H159" s="18">
        <v>0</v>
      </c>
      <c r="I159" s="18">
        <v>1</v>
      </c>
      <c r="J159" s="19">
        <f t="shared" si="8"/>
        <v>1</v>
      </c>
      <c r="K159" s="19">
        <f t="shared" si="9"/>
        <v>2</v>
      </c>
      <c r="L159" s="19">
        <f t="shared" si="10"/>
        <v>0</v>
      </c>
      <c r="M159" s="19">
        <f t="shared" si="11"/>
        <v>0</v>
      </c>
    </row>
    <row r="160" spans="1:13" ht="15" customHeight="1" x14ac:dyDescent="0.2">
      <c r="A160" t="s">
        <v>69</v>
      </c>
      <c r="B160" s="18">
        <v>0</v>
      </c>
      <c r="C160" s="18">
        <v>1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9">
        <f t="shared" si="8"/>
        <v>1</v>
      </c>
      <c r="K160" s="19">
        <f t="shared" si="9"/>
        <v>0</v>
      </c>
      <c r="L160" s="19">
        <f t="shared" si="10"/>
        <v>0</v>
      </c>
      <c r="M160" s="19">
        <f t="shared" si="11"/>
        <v>0</v>
      </c>
    </row>
    <row r="161" spans="1:13" ht="15" customHeight="1" x14ac:dyDescent="0.2">
      <c r="A161" t="s">
        <v>70</v>
      </c>
      <c r="B161" s="18">
        <v>2</v>
      </c>
      <c r="C161" s="18">
        <v>1</v>
      </c>
      <c r="D161" s="18">
        <v>0</v>
      </c>
      <c r="E161" s="18">
        <v>1</v>
      </c>
      <c r="F161" s="18">
        <v>0</v>
      </c>
      <c r="G161" s="18">
        <v>0</v>
      </c>
      <c r="H161" s="18">
        <v>0</v>
      </c>
      <c r="I161" s="18">
        <v>0</v>
      </c>
      <c r="J161" s="19">
        <f t="shared" si="8"/>
        <v>1</v>
      </c>
      <c r="K161" s="19">
        <f t="shared" si="9"/>
        <v>1</v>
      </c>
      <c r="L161" s="19">
        <f t="shared" si="10"/>
        <v>2</v>
      </c>
      <c r="M161" s="19">
        <f t="shared" si="11"/>
        <v>0</v>
      </c>
    </row>
    <row r="162" spans="1:13" ht="15" customHeight="1" x14ac:dyDescent="0.2">
      <c r="A162" t="s">
        <v>71</v>
      </c>
      <c r="B162" s="18">
        <v>0</v>
      </c>
      <c r="C162" s="18">
        <v>1</v>
      </c>
      <c r="D162" s="18">
        <v>0</v>
      </c>
      <c r="E162" s="18">
        <v>4</v>
      </c>
      <c r="F162" s="18">
        <v>0</v>
      </c>
      <c r="G162" s="18">
        <v>0</v>
      </c>
      <c r="H162" s="18">
        <v>1</v>
      </c>
      <c r="I162" s="18">
        <v>1</v>
      </c>
      <c r="J162" s="19">
        <f t="shared" si="8"/>
        <v>2</v>
      </c>
      <c r="K162" s="19">
        <f t="shared" si="9"/>
        <v>4</v>
      </c>
      <c r="L162" s="19">
        <f t="shared" si="10"/>
        <v>1</v>
      </c>
      <c r="M162" s="19">
        <f t="shared" si="11"/>
        <v>0</v>
      </c>
    </row>
    <row r="163" spans="1:13" ht="15" customHeight="1" x14ac:dyDescent="0.2">
      <c r="A163" t="s">
        <v>72</v>
      </c>
      <c r="B163" s="18">
        <v>2</v>
      </c>
      <c r="C163" s="18">
        <v>1</v>
      </c>
      <c r="D163" s="18">
        <v>0</v>
      </c>
      <c r="E163" s="18">
        <v>0</v>
      </c>
      <c r="F163" s="18">
        <v>1</v>
      </c>
      <c r="G163" s="18">
        <v>1</v>
      </c>
      <c r="H163" s="18">
        <v>2</v>
      </c>
      <c r="I163" s="18">
        <v>1</v>
      </c>
      <c r="J163" s="19">
        <f t="shared" si="8"/>
        <v>2</v>
      </c>
      <c r="K163" s="19">
        <f t="shared" si="9"/>
        <v>1</v>
      </c>
      <c r="L163" s="19">
        <f t="shared" si="10"/>
        <v>4</v>
      </c>
      <c r="M163" s="19">
        <f t="shared" si="11"/>
        <v>1</v>
      </c>
    </row>
    <row r="164" spans="1:13" ht="15" customHeight="1" x14ac:dyDescent="0.2">
      <c r="A164" t="s">
        <v>73</v>
      </c>
      <c r="B164" s="18">
        <v>0</v>
      </c>
      <c r="C164" s="18">
        <v>2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9">
        <f t="shared" si="8"/>
        <v>2</v>
      </c>
      <c r="K164" s="19">
        <f t="shared" si="9"/>
        <v>0</v>
      </c>
      <c r="L164" s="19">
        <f t="shared" si="10"/>
        <v>0</v>
      </c>
      <c r="M164" s="19">
        <f t="shared" si="11"/>
        <v>0</v>
      </c>
    </row>
    <row r="165" spans="1:13" ht="15" customHeight="1" x14ac:dyDescent="0.2">
      <c r="A165" t="s">
        <v>74</v>
      </c>
      <c r="B165" s="18">
        <v>0</v>
      </c>
      <c r="C165" s="18">
        <v>1</v>
      </c>
      <c r="D165" s="18">
        <v>0</v>
      </c>
      <c r="E165" s="18">
        <v>0</v>
      </c>
      <c r="F165" s="18">
        <v>0</v>
      </c>
      <c r="G165" s="18">
        <v>0</v>
      </c>
      <c r="H165" s="18">
        <v>1</v>
      </c>
      <c r="I165" s="18">
        <v>1</v>
      </c>
      <c r="J165" s="19">
        <f t="shared" si="8"/>
        <v>2</v>
      </c>
      <c r="K165" s="19">
        <f t="shared" si="9"/>
        <v>0</v>
      </c>
      <c r="L165" s="19">
        <f t="shared" si="10"/>
        <v>1</v>
      </c>
      <c r="M165" s="19">
        <f t="shared" si="11"/>
        <v>0</v>
      </c>
    </row>
    <row r="166" spans="1:13" ht="15" customHeight="1" x14ac:dyDescent="0.2">
      <c r="A166" t="s">
        <v>75</v>
      </c>
      <c r="B166" s="18">
        <v>0</v>
      </c>
      <c r="C166" s="18">
        <v>0</v>
      </c>
      <c r="D166" s="18">
        <v>0</v>
      </c>
      <c r="E166" s="18">
        <v>0</v>
      </c>
      <c r="F166" s="18">
        <v>0</v>
      </c>
      <c r="G166" s="18">
        <v>1</v>
      </c>
      <c r="H166" s="18">
        <v>0</v>
      </c>
      <c r="I166" s="18">
        <v>0</v>
      </c>
      <c r="J166" s="19">
        <f t="shared" si="8"/>
        <v>0</v>
      </c>
      <c r="K166" s="19">
        <f t="shared" si="9"/>
        <v>1</v>
      </c>
      <c r="L166" s="19">
        <f t="shared" si="10"/>
        <v>0</v>
      </c>
      <c r="M166" s="19">
        <f t="shared" si="11"/>
        <v>0</v>
      </c>
    </row>
    <row r="167" spans="1:13" ht="15" customHeight="1" x14ac:dyDescent="0.2">
      <c r="A167" t="s">
        <v>76</v>
      </c>
      <c r="B167" s="18">
        <v>0</v>
      </c>
      <c r="C167" s="18">
        <v>1</v>
      </c>
      <c r="D167" s="18">
        <v>0</v>
      </c>
      <c r="E167" s="18">
        <v>2</v>
      </c>
      <c r="F167" s="18">
        <v>0</v>
      </c>
      <c r="G167" s="18">
        <v>1</v>
      </c>
      <c r="H167" s="18">
        <v>0</v>
      </c>
      <c r="I167" s="18">
        <v>1</v>
      </c>
      <c r="J167" s="19">
        <f t="shared" si="8"/>
        <v>2</v>
      </c>
      <c r="K167" s="19">
        <f t="shared" si="9"/>
        <v>3</v>
      </c>
      <c r="L167" s="19">
        <f t="shared" si="10"/>
        <v>0</v>
      </c>
      <c r="M167" s="19">
        <f t="shared" si="11"/>
        <v>0</v>
      </c>
    </row>
    <row r="168" spans="1:13" ht="15" customHeight="1" x14ac:dyDescent="0.2">
      <c r="A168" t="s">
        <v>77</v>
      </c>
      <c r="B168" s="18">
        <v>0</v>
      </c>
      <c r="C168" s="18">
        <v>0</v>
      </c>
      <c r="D168" s="18">
        <v>0</v>
      </c>
      <c r="E168" s="18">
        <v>1</v>
      </c>
      <c r="F168" s="18">
        <v>0</v>
      </c>
      <c r="G168" s="18">
        <v>1</v>
      </c>
      <c r="H168" s="18">
        <v>0</v>
      </c>
      <c r="I168" s="18">
        <v>0</v>
      </c>
      <c r="J168" s="19">
        <f t="shared" si="8"/>
        <v>0</v>
      </c>
      <c r="K168" s="19">
        <f t="shared" si="9"/>
        <v>2</v>
      </c>
      <c r="L168" s="19">
        <f t="shared" si="10"/>
        <v>0</v>
      </c>
      <c r="M168" s="19">
        <f t="shared" si="11"/>
        <v>0</v>
      </c>
    </row>
    <row r="169" spans="1:13" ht="15" customHeight="1" x14ac:dyDescent="0.2">
      <c r="A169" t="s">
        <v>78</v>
      </c>
      <c r="B169" s="18">
        <v>0</v>
      </c>
      <c r="C169" s="18">
        <v>1</v>
      </c>
      <c r="D169" s="18">
        <v>0</v>
      </c>
      <c r="E169" s="18">
        <v>3</v>
      </c>
      <c r="F169" s="18">
        <v>0</v>
      </c>
      <c r="G169" s="18">
        <v>1</v>
      </c>
      <c r="H169" s="18">
        <v>0</v>
      </c>
      <c r="I169" s="18">
        <v>2</v>
      </c>
      <c r="J169" s="19">
        <f t="shared" si="8"/>
        <v>3</v>
      </c>
      <c r="K169" s="19">
        <f t="shared" si="9"/>
        <v>4</v>
      </c>
      <c r="L169" s="19">
        <f t="shared" si="10"/>
        <v>0</v>
      </c>
      <c r="M169" s="19">
        <f t="shared" si="11"/>
        <v>0</v>
      </c>
    </row>
    <row r="170" spans="1:13" ht="15" customHeight="1" x14ac:dyDescent="0.2">
      <c r="A170" t="s">
        <v>79</v>
      </c>
      <c r="B170" s="18">
        <v>0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9">
        <f t="shared" si="8"/>
        <v>0</v>
      </c>
      <c r="K170" s="19">
        <f t="shared" si="9"/>
        <v>0</v>
      </c>
      <c r="L170" s="19">
        <f t="shared" si="10"/>
        <v>0</v>
      </c>
      <c r="M170" s="19">
        <f t="shared" si="11"/>
        <v>0</v>
      </c>
    </row>
    <row r="171" spans="1:13" ht="15" customHeight="1" x14ac:dyDescent="0.2">
      <c r="A171" t="s">
        <v>80</v>
      </c>
      <c r="B171" s="18">
        <v>1</v>
      </c>
      <c r="C171" s="18">
        <v>0</v>
      </c>
      <c r="D171" s="18">
        <v>0</v>
      </c>
      <c r="E171" s="18">
        <v>0</v>
      </c>
      <c r="F171" s="18">
        <v>0</v>
      </c>
      <c r="G171" s="18">
        <v>2</v>
      </c>
      <c r="H171" s="18">
        <v>0</v>
      </c>
      <c r="I171" s="18">
        <v>2</v>
      </c>
      <c r="J171" s="19">
        <f t="shared" si="8"/>
        <v>2</v>
      </c>
      <c r="K171" s="19">
        <f t="shared" si="9"/>
        <v>2</v>
      </c>
      <c r="L171" s="19">
        <f t="shared" si="10"/>
        <v>1</v>
      </c>
      <c r="M171" s="19">
        <f t="shared" si="11"/>
        <v>0</v>
      </c>
    </row>
    <row r="172" spans="1:13" ht="15" customHeight="1" x14ac:dyDescent="0.2">
      <c r="A172" t="s">
        <v>81</v>
      </c>
      <c r="B172" s="18">
        <v>0</v>
      </c>
      <c r="C172" s="18">
        <v>3</v>
      </c>
      <c r="D172" s="18">
        <v>0</v>
      </c>
      <c r="E172" s="18">
        <v>5</v>
      </c>
      <c r="F172" s="18">
        <v>0</v>
      </c>
      <c r="G172" s="18">
        <v>2</v>
      </c>
      <c r="H172" s="18">
        <v>0</v>
      </c>
      <c r="I172" s="18">
        <v>0</v>
      </c>
      <c r="J172" s="19">
        <f t="shared" si="8"/>
        <v>3</v>
      </c>
      <c r="K172" s="19">
        <f t="shared" si="9"/>
        <v>7</v>
      </c>
      <c r="L172" s="19">
        <f t="shared" si="10"/>
        <v>0</v>
      </c>
      <c r="M172" s="19">
        <f t="shared" si="11"/>
        <v>0</v>
      </c>
    </row>
    <row r="173" spans="1:13" ht="15" customHeight="1" x14ac:dyDescent="0.2">
      <c r="A173" t="s">
        <v>82</v>
      </c>
      <c r="B173" s="18">
        <v>1</v>
      </c>
      <c r="C173" s="18">
        <v>0</v>
      </c>
      <c r="D173" s="18">
        <v>0</v>
      </c>
      <c r="E173" s="18">
        <v>2</v>
      </c>
      <c r="F173" s="18">
        <v>0</v>
      </c>
      <c r="G173" s="18">
        <v>1</v>
      </c>
      <c r="H173" s="18">
        <v>0</v>
      </c>
      <c r="I173" s="18">
        <v>1</v>
      </c>
      <c r="J173" s="19">
        <f t="shared" si="8"/>
        <v>1</v>
      </c>
      <c r="K173" s="19">
        <f t="shared" si="9"/>
        <v>3</v>
      </c>
      <c r="L173" s="19">
        <f t="shared" si="10"/>
        <v>1</v>
      </c>
      <c r="M173" s="19">
        <f t="shared" si="11"/>
        <v>0</v>
      </c>
    </row>
    <row r="174" spans="1:13" ht="15" customHeight="1" x14ac:dyDescent="0.2">
      <c r="A174" t="s">
        <v>83</v>
      </c>
      <c r="B174" s="18">
        <v>1</v>
      </c>
      <c r="C174" s="18">
        <v>1</v>
      </c>
      <c r="D174" s="18">
        <v>0</v>
      </c>
      <c r="E174" s="18">
        <v>0</v>
      </c>
      <c r="F174" s="18">
        <v>0</v>
      </c>
      <c r="G174" s="18">
        <v>2</v>
      </c>
      <c r="H174" s="18">
        <v>0</v>
      </c>
      <c r="I174" s="18">
        <v>0</v>
      </c>
      <c r="J174" s="19">
        <f t="shared" si="8"/>
        <v>1</v>
      </c>
      <c r="K174" s="19">
        <f t="shared" si="9"/>
        <v>2</v>
      </c>
      <c r="L174" s="19">
        <f t="shared" si="10"/>
        <v>1</v>
      </c>
      <c r="M174" s="19">
        <f t="shared" si="11"/>
        <v>0</v>
      </c>
    </row>
    <row r="175" spans="1:13" ht="15" customHeight="1" x14ac:dyDescent="0.2">
      <c r="A175" t="s">
        <v>84</v>
      </c>
      <c r="B175" s="18">
        <v>0</v>
      </c>
      <c r="C175" s="18">
        <v>2</v>
      </c>
      <c r="D175" s="18">
        <v>0</v>
      </c>
      <c r="E175" s="18">
        <v>0</v>
      </c>
      <c r="F175" s="18">
        <v>0</v>
      </c>
      <c r="G175" s="18">
        <v>2</v>
      </c>
      <c r="H175" s="18">
        <v>0</v>
      </c>
      <c r="I175" s="18">
        <v>1</v>
      </c>
      <c r="J175" s="19">
        <f t="shared" si="8"/>
        <v>3</v>
      </c>
      <c r="K175" s="19">
        <f t="shared" si="9"/>
        <v>2</v>
      </c>
      <c r="L175" s="19">
        <f t="shared" si="10"/>
        <v>0</v>
      </c>
      <c r="M175" s="19">
        <f t="shared" si="11"/>
        <v>0</v>
      </c>
    </row>
    <row r="176" spans="1:13" ht="15" customHeight="1" x14ac:dyDescent="0.2">
      <c r="A176" t="s">
        <v>85</v>
      </c>
      <c r="B176" s="18">
        <v>0</v>
      </c>
      <c r="C176" s="18">
        <v>0</v>
      </c>
      <c r="D176" s="18">
        <v>0</v>
      </c>
      <c r="E176" s="18">
        <v>0</v>
      </c>
      <c r="F176" s="18">
        <v>0</v>
      </c>
      <c r="G176" s="18">
        <v>1</v>
      </c>
      <c r="H176" s="18">
        <v>0</v>
      </c>
      <c r="I176" s="18">
        <v>0</v>
      </c>
      <c r="J176" s="19">
        <f t="shared" si="8"/>
        <v>0</v>
      </c>
      <c r="K176" s="19">
        <f t="shared" si="9"/>
        <v>1</v>
      </c>
      <c r="L176" s="19">
        <f t="shared" si="10"/>
        <v>0</v>
      </c>
      <c r="M176" s="19">
        <f t="shared" si="11"/>
        <v>0</v>
      </c>
    </row>
    <row r="177" spans="1:13" ht="15" customHeight="1" x14ac:dyDescent="0.2">
      <c r="A177" t="s">
        <v>86</v>
      </c>
      <c r="B177" s="18">
        <v>2</v>
      </c>
      <c r="C177" s="18">
        <v>0</v>
      </c>
      <c r="D177" s="18">
        <v>0</v>
      </c>
      <c r="E177" s="18">
        <v>0</v>
      </c>
      <c r="F177" s="18">
        <v>0</v>
      </c>
      <c r="G177" s="18">
        <v>3</v>
      </c>
      <c r="H177" s="18">
        <v>0</v>
      </c>
      <c r="I177" s="18">
        <v>0</v>
      </c>
      <c r="J177" s="19">
        <f t="shared" si="8"/>
        <v>0</v>
      </c>
      <c r="K177" s="19">
        <f t="shared" si="9"/>
        <v>3</v>
      </c>
      <c r="L177" s="19">
        <f t="shared" si="10"/>
        <v>2</v>
      </c>
      <c r="M177" s="19">
        <f t="shared" si="11"/>
        <v>0</v>
      </c>
    </row>
    <row r="178" spans="1:13" ht="15" customHeight="1" x14ac:dyDescent="0.2">
      <c r="A178" t="s">
        <v>87</v>
      </c>
      <c r="B178" s="18">
        <v>0</v>
      </c>
      <c r="C178" s="18">
        <v>1</v>
      </c>
      <c r="D178" s="18">
        <v>0</v>
      </c>
      <c r="E178" s="18">
        <v>1</v>
      </c>
      <c r="F178" s="18">
        <v>0</v>
      </c>
      <c r="G178" s="18">
        <v>0</v>
      </c>
      <c r="H178" s="18">
        <v>0</v>
      </c>
      <c r="I178" s="18">
        <v>0</v>
      </c>
      <c r="J178" s="19">
        <f t="shared" si="8"/>
        <v>1</v>
      </c>
      <c r="K178" s="19">
        <f t="shared" si="9"/>
        <v>1</v>
      </c>
      <c r="L178" s="19">
        <f t="shared" si="10"/>
        <v>0</v>
      </c>
      <c r="M178" s="19">
        <f t="shared" si="11"/>
        <v>0</v>
      </c>
    </row>
    <row r="179" spans="1:13" ht="15" customHeight="1" x14ac:dyDescent="0.2">
      <c r="A179" t="s">
        <v>88</v>
      </c>
      <c r="B179" s="18">
        <v>0</v>
      </c>
      <c r="C179" s="18">
        <v>0</v>
      </c>
      <c r="D179" s="18">
        <v>0</v>
      </c>
      <c r="E179" s="18">
        <v>0</v>
      </c>
      <c r="F179" s="18">
        <v>0</v>
      </c>
      <c r="G179" s="18">
        <v>2</v>
      </c>
      <c r="H179" s="18">
        <v>0</v>
      </c>
      <c r="I179" s="18">
        <v>0</v>
      </c>
      <c r="J179" s="19">
        <f t="shared" si="8"/>
        <v>0</v>
      </c>
      <c r="K179" s="19">
        <f t="shared" si="9"/>
        <v>2</v>
      </c>
      <c r="L179" s="19">
        <f t="shared" si="10"/>
        <v>0</v>
      </c>
      <c r="M179" s="19">
        <f t="shared" si="11"/>
        <v>0</v>
      </c>
    </row>
    <row r="180" spans="1:13" ht="15" customHeight="1" x14ac:dyDescent="0.2">
      <c r="A180" t="s">
        <v>89</v>
      </c>
      <c r="B180" s="18">
        <v>1</v>
      </c>
      <c r="C180" s="18">
        <v>1</v>
      </c>
      <c r="D180" s="18">
        <v>0</v>
      </c>
      <c r="E180" s="18">
        <v>0</v>
      </c>
      <c r="F180" s="18">
        <v>0</v>
      </c>
      <c r="G180" s="18">
        <v>2</v>
      </c>
      <c r="H180" s="18">
        <v>0</v>
      </c>
      <c r="I180" s="18">
        <v>0</v>
      </c>
      <c r="J180" s="19">
        <f t="shared" si="8"/>
        <v>1</v>
      </c>
      <c r="K180" s="19">
        <f t="shared" si="9"/>
        <v>2</v>
      </c>
      <c r="L180" s="19">
        <f t="shared" si="10"/>
        <v>1</v>
      </c>
      <c r="M180" s="19">
        <f t="shared" si="11"/>
        <v>0</v>
      </c>
    </row>
    <row r="181" spans="1:13" ht="15" customHeight="1" x14ac:dyDescent="0.2">
      <c r="A181" t="s">
        <v>90</v>
      </c>
      <c r="B181" s="18">
        <v>0</v>
      </c>
      <c r="C181" s="18">
        <v>1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9">
        <f t="shared" si="8"/>
        <v>1</v>
      </c>
      <c r="K181" s="19">
        <f t="shared" si="9"/>
        <v>0</v>
      </c>
      <c r="L181" s="19">
        <f t="shared" si="10"/>
        <v>0</v>
      </c>
      <c r="M181" s="19">
        <f t="shared" si="11"/>
        <v>0</v>
      </c>
    </row>
    <row r="182" spans="1:13" ht="15" customHeight="1" x14ac:dyDescent="0.2">
      <c r="A182" t="s">
        <v>91</v>
      </c>
      <c r="B182" s="18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9">
        <f t="shared" si="8"/>
        <v>0</v>
      </c>
      <c r="K182" s="19">
        <f t="shared" si="9"/>
        <v>0</v>
      </c>
      <c r="L182" s="19">
        <f t="shared" si="10"/>
        <v>0</v>
      </c>
      <c r="M182" s="19">
        <f t="shared" si="11"/>
        <v>0</v>
      </c>
    </row>
    <row r="183" spans="1:13" ht="15" customHeight="1" x14ac:dyDescent="0.2">
      <c r="A183" t="s">
        <v>92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9">
        <f t="shared" si="8"/>
        <v>0</v>
      </c>
      <c r="K183" s="19">
        <f t="shared" si="9"/>
        <v>0</v>
      </c>
      <c r="L183" s="19">
        <f t="shared" si="10"/>
        <v>0</v>
      </c>
      <c r="M183" s="19">
        <f t="shared" si="11"/>
        <v>0</v>
      </c>
    </row>
    <row r="184" spans="1:13" ht="15" customHeight="1" x14ac:dyDescent="0.2">
      <c r="A184" t="s">
        <v>93</v>
      </c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1</v>
      </c>
      <c r="H184" s="18">
        <v>1</v>
      </c>
      <c r="I184" s="18">
        <v>1</v>
      </c>
      <c r="J184" s="19">
        <f t="shared" si="8"/>
        <v>1</v>
      </c>
      <c r="K184" s="19">
        <f t="shared" si="9"/>
        <v>1</v>
      </c>
      <c r="L184" s="19">
        <f t="shared" si="10"/>
        <v>1</v>
      </c>
      <c r="M184" s="19">
        <f t="shared" si="11"/>
        <v>0</v>
      </c>
    </row>
    <row r="185" spans="1:13" ht="15" customHeight="1" x14ac:dyDescent="0.2">
      <c r="A185" t="s">
        <v>94</v>
      </c>
      <c r="B185" s="18">
        <v>1</v>
      </c>
      <c r="C185" s="18">
        <v>1</v>
      </c>
      <c r="D185" s="18">
        <v>0</v>
      </c>
      <c r="E185" s="18">
        <v>0</v>
      </c>
      <c r="F185" s="18">
        <v>0</v>
      </c>
      <c r="G185" s="18">
        <v>1</v>
      </c>
      <c r="H185" s="18">
        <v>0</v>
      </c>
      <c r="I185" s="18">
        <v>0</v>
      </c>
      <c r="J185" s="19">
        <f t="shared" si="8"/>
        <v>1</v>
      </c>
      <c r="K185" s="19">
        <f t="shared" si="9"/>
        <v>1</v>
      </c>
      <c r="L185" s="19">
        <f t="shared" si="10"/>
        <v>1</v>
      </c>
      <c r="M185" s="19">
        <f t="shared" si="11"/>
        <v>0</v>
      </c>
    </row>
    <row r="186" spans="1:13" ht="15" customHeight="1" x14ac:dyDescent="0.2">
      <c r="A186" t="s">
        <v>95</v>
      </c>
      <c r="B186" s="18">
        <v>0</v>
      </c>
      <c r="C186" s="18">
        <v>0</v>
      </c>
      <c r="D186" s="18">
        <v>0</v>
      </c>
      <c r="E186" s="18">
        <v>1</v>
      </c>
      <c r="F186" s="18">
        <v>0</v>
      </c>
      <c r="G186" s="18">
        <v>1</v>
      </c>
      <c r="H186" s="18">
        <v>0</v>
      </c>
      <c r="I186" s="18">
        <v>1</v>
      </c>
      <c r="J186" s="19">
        <f t="shared" si="8"/>
        <v>1</v>
      </c>
      <c r="K186" s="19">
        <f t="shared" si="9"/>
        <v>2</v>
      </c>
      <c r="L186" s="19">
        <f t="shared" si="10"/>
        <v>0</v>
      </c>
      <c r="M186" s="19">
        <f t="shared" si="11"/>
        <v>0</v>
      </c>
    </row>
    <row r="187" spans="1:13" ht="15" customHeight="1" x14ac:dyDescent="0.2">
      <c r="A187" t="s">
        <v>96</v>
      </c>
      <c r="B187" s="18">
        <v>1</v>
      </c>
      <c r="C187" s="18">
        <v>0</v>
      </c>
      <c r="D187" s="18">
        <v>0</v>
      </c>
      <c r="E187" s="18">
        <v>1</v>
      </c>
      <c r="F187" s="18">
        <v>0</v>
      </c>
      <c r="G187" s="18">
        <v>1</v>
      </c>
      <c r="H187" s="18">
        <v>0</v>
      </c>
      <c r="I187" s="18">
        <v>1</v>
      </c>
      <c r="J187" s="19">
        <f t="shared" si="8"/>
        <v>1</v>
      </c>
      <c r="K187" s="19">
        <f t="shared" si="9"/>
        <v>2</v>
      </c>
      <c r="L187" s="19">
        <f t="shared" si="10"/>
        <v>1</v>
      </c>
      <c r="M187" s="19">
        <f t="shared" si="11"/>
        <v>0</v>
      </c>
    </row>
    <row r="188" spans="1:13" ht="15" customHeight="1" x14ac:dyDescent="0.2">
      <c r="A188" t="s">
        <v>97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9">
        <f t="shared" si="8"/>
        <v>0</v>
      </c>
      <c r="K188" s="19">
        <f t="shared" si="9"/>
        <v>0</v>
      </c>
      <c r="L188" s="19">
        <f t="shared" si="10"/>
        <v>0</v>
      </c>
      <c r="M188" s="19">
        <f t="shared" si="11"/>
        <v>0</v>
      </c>
    </row>
    <row r="189" spans="1:13" ht="15" customHeight="1" x14ac:dyDescent="0.2">
      <c r="A189" t="s">
        <v>98</v>
      </c>
      <c r="B189" s="18">
        <v>0</v>
      </c>
      <c r="C189" s="18">
        <v>1</v>
      </c>
      <c r="D189" s="18">
        <v>0</v>
      </c>
      <c r="E189" s="18">
        <v>1</v>
      </c>
      <c r="F189" s="18">
        <v>0</v>
      </c>
      <c r="G189" s="18">
        <v>0</v>
      </c>
      <c r="H189" s="18">
        <v>0</v>
      </c>
      <c r="I189" s="18">
        <v>0</v>
      </c>
      <c r="J189" s="19">
        <f t="shared" si="8"/>
        <v>1</v>
      </c>
      <c r="K189" s="19">
        <f t="shared" si="9"/>
        <v>1</v>
      </c>
      <c r="L189" s="19">
        <f t="shared" si="10"/>
        <v>0</v>
      </c>
      <c r="M189" s="19">
        <f t="shared" si="11"/>
        <v>0</v>
      </c>
    </row>
    <row r="190" spans="1:13" ht="15" customHeight="1" x14ac:dyDescent="0.2">
      <c r="A190" t="s">
        <v>99</v>
      </c>
      <c r="B190" s="18">
        <v>1</v>
      </c>
      <c r="C190" s="18">
        <v>2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9">
        <f t="shared" si="8"/>
        <v>2</v>
      </c>
      <c r="K190" s="19">
        <f t="shared" si="9"/>
        <v>0</v>
      </c>
      <c r="L190" s="19">
        <f t="shared" si="10"/>
        <v>1</v>
      </c>
      <c r="M190" s="19">
        <f t="shared" si="11"/>
        <v>0</v>
      </c>
    </row>
    <row r="191" spans="1:13" ht="15" customHeight="1" x14ac:dyDescent="0.2">
      <c r="A191" t="s">
        <v>100</v>
      </c>
      <c r="B191" s="18">
        <v>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9">
        <f t="shared" si="8"/>
        <v>0</v>
      </c>
      <c r="K191" s="19">
        <f t="shared" si="9"/>
        <v>0</v>
      </c>
      <c r="L191" s="19">
        <f t="shared" si="10"/>
        <v>0</v>
      </c>
      <c r="M191" s="19">
        <f t="shared" si="11"/>
        <v>0</v>
      </c>
    </row>
    <row r="192" spans="1:13" ht="15" customHeight="1" x14ac:dyDescent="0.2">
      <c r="A192" t="s">
        <v>101</v>
      </c>
      <c r="B192" s="18">
        <v>1</v>
      </c>
      <c r="C192" s="18">
        <v>0</v>
      </c>
      <c r="D192" s="18">
        <v>0</v>
      </c>
      <c r="E192" s="18">
        <v>0</v>
      </c>
      <c r="F192" s="18">
        <v>0</v>
      </c>
      <c r="G192" s="18">
        <v>1</v>
      </c>
      <c r="H192" s="18">
        <v>0</v>
      </c>
      <c r="I192" s="18">
        <v>2</v>
      </c>
      <c r="J192" s="19">
        <f t="shared" si="8"/>
        <v>2</v>
      </c>
      <c r="K192" s="19">
        <f t="shared" si="9"/>
        <v>1</v>
      </c>
      <c r="L192" s="19">
        <f t="shared" si="10"/>
        <v>1</v>
      </c>
      <c r="M192" s="19">
        <f t="shared" si="11"/>
        <v>0</v>
      </c>
    </row>
    <row r="193" spans="1:14" ht="15" customHeight="1" x14ac:dyDescent="0.2">
      <c r="A193" t="s">
        <v>102</v>
      </c>
      <c r="B193" s="18">
        <v>0</v>
      </c>
      <c r="C193" s="18">
        <v>0</v>
      </c>
      <c r="D193" s="18">
        <v>0</v>
      </c>
      <c r="E193" s="18">
        <v>1</v>
      </c>
      <c r="F193" s="18">
        <v>0</v>
      </c>
      <c r="G193" s="18">
        <v>0</v>
      </c>
      <c r="H193" s="18">
        <v>0</v>
      </c>
      <c r="I193" s="18">
        <v>1</v>
      </c>
      <c r="J193" s="19">
        <f t="shared" si="8"/>
        <v>1</v>
      </c>
      <c r="K193" s="19">
        <f t="shared" si="9"/>
        <v>1</v>
      </c>
      <c r="L193" s="19">
        <f t="shared" si="10"/>
        <v>0</v>
      </c>
      <c r="M193" s="19">
        <f t="shared" si="11"/>
        <v>0</v>
      </c>
    </row>
    <row r="194" spans="1:14" ht="15" customHeight="1" x14ac:dyDescent="0.2">
      <c r="A194" t="s">
        <v>103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3</v>
      </c>
      <c r="H194" s="18">
        <v>0</v>
      </c>
      <c r="I194" s="18">
        <v>0</v>
      </c>
      <c r="J194" s="19">
        <f t="shared" si="8"/>
        <v>0</v>
      </c>
      <c r="K194" s="19">
        <f t="shared" si="9"/>
        <v>3</v>
      </c>
      <c r="L194" s="19">
        <f t="shared" si="10"/>
        <v>0</v>
      </c>
      <c r="M194" s="19">
        <f t="shared" si="11"/>
        <v>0</v>
      </c>
    </row>
    <row r="195" spans="1:14" ht="15" customHeight="1" x14ac:dyDescent="0.2">
      <c r="A195" t="s">
        <v>104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9">
        <f t="shared" si="8"/>
        <v>0</v>
      </c>
      <c r="K195" s="19">
        <f t="shared" si="9"/>
        <v>0</v>
      </c>
      <c r="L195" s="19">
        <f t="shared" si="10"/>
        <v>0</v>
      </c>
      <c r="M195" s="19">
        <f t="shared" si="11"/>
        <v>0</v>
      </c>
    </row>
    <row r="196" spans="1:14" ht="15" customHeight="1" x14ac:dyDescent="0.2">
      <c r="A196" t="s">
        <v>105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9">
        <f t="shared" si="8"/>
        <v>0</v>
      </c>
      <c r="K196" s="19">
        <f t="shared" si="9"/>
        <v>0</v>
      </c>
      <c r="L196" s="19">
        <f t="shared" si="10"/>
        <v>0</v>
      </c>
      <c r="M196" s="19">
        <f t="shared" si="11"/>
        <v>0</v>
      </c>
    </row>
    <row r="197" spans="1:14" ht="15" customHeight="1" x14ac:dyDescent="0.2">
      <c r="A197" t="s">
        <v>106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1</v>
      </c>
      <c r="H197" s="18">
        <v>0</v>
      </c>
      <c r="I197" s="18">
        <v>0</v>
      </c>
      <c r="J197" s="19">
        <f t="shared" si="8"/>
        <v>0</v>
      </c>
      <c r="K197" s="19">
        <f t="shared" si="9"/>
        <v>1</v>
      </c>
      <c r="L197" s="19">
        <f t="shared" si="10"/>
        <v>0</v>
      </c>
      <c r="M197" s="19">
        <f t="shared" si="11"/>
        <v>0</v>
      </c>
    </row>
    <row r="198" spans="1:14" ht="15" customHeight="1" x14ac:dyDescent="0.2">
      <c r="A198" t="s">
        <v>107</v>
      </c>
      <c r="B198" s="18">
        <v>0</v>
      </c>
      <c r="C198" s="18">
        <v>1</v>
      </c>
      <c r="D198" s="18">
        <v>0</v>
      </c>
      <c r="E198" s="18">
        <v>0</v>
      </c>
      <c r="F198" s="18">
        <v>0</v>
      </c>
      <c r="G198" s="18">
        <v>1</v>
      </c>
      <c r="H198" s="18">
        <v>0</v>
      </c>
      <c r="I198" s="18">
        <v>0</v>
      </c>
      <c r="J198" s="19">
        <f t="shared" si="8"/>
        <v>1</v>
      </c>
      <c r="K198" s="19">
        <f t="shared" si="9"/>
        <v>1</v>
      </c>
      <c r="L198" s="19">
        <f t="shared" si="10"/>
        <v>0</v>
      </c>
      <c r="M198" s="19">
        <f t="shared" si="11"/>
        <v>0</v>
      </c>
    </row>
    <row r="199" spans="1:14" ht="15" customHeight="1" x14ac:dyDescent="0.2">
      <c r="A199" t="s">
        <v>108</v>
      </c>
      <c r="B199" s="18">
        <v>0</v>
      </c>
      <c r="C199" s="18">
        <v>1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9">
        <f t="shared" si="8"/>
        <v>1</v>
      </c>
      <c r="K199" s="19">
        <f t="shared" si="9"/>
        <v>0</v>
      </c>
      <c r="L199" s="19">
        <f t="shared" si="10"/>
        <v>0</v>
      </c>
      <c r="M199" s="19">
        <f t="shared" si="11"/>
        <v>0</v>
      </c>
    </row>
    <row r="200" spans="1:14" ht="15" customHeight="1" x14ac:dyDescent="0.2">
      <c r="A200" t="s">
        <v>109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9">
        <f t="shared" si="8"/>
        <v>0</v>
      </c>
      <c r="K200" s="19">
        <f t="shared" si="9"/>
        <v>0</v>
      </c>
      <c r="L200" s="19">
        <f t="shared" si="10"/>
        <v>0</v>
      </c>
      <c r="M200" s="19">
        <f t="shared" si="11"/>
        <v>0</v>
      </c>
    </row>
    <row r="201" spans="1:14" ht="15" customHeight="1" x14ac:dyDescent="0.2">
      <c r="A201" t="s">
        <v>110</v>
      </c>
      <c r="B201" s="18">
        <v>0</v>
      </c>
      <c r="C201" s="18">
        <v>1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9">
        <f t="shared" si="8"/>
        <v>1</v>
      </c>
      <c r="K201" s="19">
        <f t="shared" si="9"/>
        <v>0</v>
      </c>
      <c r="L201" s="19">
        <f t="shared" si="10"/>
        <v>0</v>
      </c>
      <c r="M201" s="19">
        <f t="shared" si="11"/>
        <v>0</v>
      </c>
      <c r="N201" t="s">
        <v>210</v>
      </c>
    </row>
    <row r="202" spans="1:14" ht="15" customHeight="1" x14ac:dyDescent="0.2">
      <c r="B202" s="19">
        <f t="shared" ref="B202:M202" si="12">SUM(B10:B201)</f>
        <v>59</v>
      </c>
      <c r="C202" s="19">
        <f t="shared" si="12"/>
        <v>83</v>
      </c>
      <c r="D202" s="19">
        <f t="shared" si="12"/>
        <v>12</v>
      </c>
      <c r="E202" s="19">
        <f t="shared" si="12"/>
        <v>97</v>
      </c>
      <c r="F202" s="19">
        <f t="shared" si="12"/>
        <v>5</v>
      </c>
      <c r="G202" s="19">
        <f t="shared" si="12"/>
        <v>99</v>
      </c>
      <c r="H202" s="19">
        <f t="shared" si="12"/>
        <v>42</v>
      </c>
      <c r="I202" s="19">
        <f t="shared" si="12"/>
        <v>99</v>
      </c>
      <c r="J202" s="19">
        <f t="shared" si="12"/>
        <v>182</v>
      </c>
      <c r="K202" s="19">
        <f t="shared" si="12"/>
        <v>196</v>
      </c>
      <c r="L202" s="19">
        <f t="shared" si="12"/>
        <v>101</v>
      </c>
      <c r="M202" s="19">
        <f t="shared" si="12"/>
        <v>17</v>
      </c>
      <c r="N202" s="71">
        <f>SUM(J202:K202)</f>
        <v>378</v>
      </c>
    </row>
    <row r="204" spans="1:14" ht="15" customHeight="1" x14ac:dyDescent="0.2">
      <c r="K204" s="88" t="s">
        <v>212</v>
      </c>
      <c r="L204" s="6">
        <f>SUM(L38:L89,L134:L186)</f>
        <v>85</v>
      </c>
    </row>
    <row r="205" spans="1:14" ht="15" customHeight="1" x14ac:dyDescent="0.2">
      <c r="K205" s="88" t="s">
        <v>213</v>
      </c>
      <c r="L205" s="6">
        <f>L202-L204</f>
        <v>16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N1" sqref="N1:N1048576"/>
    </sheetView>
  </sheetViews>
  <sheetFormatPr defaultColWidth="12.140625" defaultRowHeight="15" customHeight="1" x14ac:dyDescent="0.2"/>
  <cols>
    <col min="1" max="1" width="10.7109375" customWidth="1"/>
    <col min="2" max="2" width="10.42578125" style="45" customWidth="1"/>
    <col min="3" max="3" width="10.42578125" customWidth="1"/>
    <col min="4" max="5" width="9.85546875" customWidth="1"/>
    <col min="6" max="7" width="10.42578125" customWidth="1"/>
    <col min="8" max="8" width="9.85546875" style="45" customWidth="1"/>
    <col min="9" max="9" width="9.85546875" customWidth="1"/>
  </cols>
  <sheetData>
    <row r="1" spans="1:14" ht="15" customHeight="1" x14ac:dyDescent="0.3">
      <c r="A1" s="111" t="s">
        <v>0</v>
      </c>
      <c r="B1" s="111"/>
      <c r="C1" s="112" t="s">
        <v>159</v>
      </c>
      <c r="D1" s="112"/>
      <c r="E1" s="112"/>
      <c r="F1" s="112"/>
    </row>
    <row r="2" spans="1:14" ht="15" customHeight="1" x14ac:dyDescent="0.3">
      <c r="A2" s="111" t="s">
        <v>2</v>
      </c>
      <c r="B2" s="111"/>
      <c r="C2" s="112" t="s">
        <v>160</v>
      </c>
      <c r="D2" s="112"/>
      <c r="E2" s="112"/>
      <c r="F2" s="112"/>
    </row>
    <row r="3" spans="1:14" ht="15" customHeight="1" x14ac:dyDescent="0.3">
      <c r="A3" s="111" t="s">
        <v>4</v>
      </c>
      <c r="B3" s="111"/>
      <c r="C3" s="112" t="s">
        <v>5</v>
      </c>
      <c r="D3" s="112"/>
      <c r="E3" s="112"/>
      <c r="F3" s="112"/>
    </row>
    <row r="4" spans="1:14" ht="15" customHeight="1" x14ac:dyDescent="0.3">
      <c r="A4" s="111" t="s">
        <v>6</v>
      </c>
      <c r="B4" s="111"/>
      <c r="C4" s="112" t="s">
        <v>7</v>
      </c>
      <c r="D4" s="112"/>
      <c r="E4" s="112"/>
      <c r="F4" s="112"/>
    </row>
    <row r="7" spans="1:14" s="1" customFormat="1" ht="30" customHeight="1" x14ac:dyDescent="0.3">
      <c r="A7" s="2" t="s">
        <v>8</v>
      </c>
      <c r="B7" s="43" t="s">
        <v>161</v>
      </c>
      <c r="C7" s="3" t="s">
        <v>162</v>
      </c>
      <c r="D7" s="3" t="s">
        <v>161</v>
      </c>
      <c r="E7" s="3" t="s">
        <v>162</v>
      </c>
      <c r="F7" s="3" t="s">
        <v>165</v>
      </c>
      <c r="G7" s="3" t="s">
        <v>166</v>
      </c>
      <c r="H7" s="43" t="s">
        <v>165</v>
      </c>
      <c r="I7" s="3" t="s">
        <v>166</v>
      </c>
    </row>
    <row r="8" spans="1:14" s="1" customFormat="1" ht="15" customHeight="1" x14ac:dyDescent="0.3">
      <c r="A8" s="2" t="s">
        <v>13</v>
      </c>
      <c r="B8" s="43" t="s">
        <v>128</v>
      </c>
      <c r="C8" s="3" t="s">
        <v>128</v>
      </c>
      <c r="D8" s="3" t="s">
        <v>129</v>
      </c>
      <c r="E8" s="3" t="s">
        <v>129</v>
      </c>
      <c r="F8" s="3" t="s">
        <v>128</v>
      </c>
      <c r="G8" s="3" t="s">
        <v>128</v>
      </c>
      <c r="H8" s="43" t="s">
        <v>129</v>
      </c>
      <c r="I8" s="3" t="s">
        <v>129</v>
      </c>
    </row>
    <row r="9" spans="1:14" s="1" customFormat="1" ht="27.75" customHeight="1" x14ac:dyDescent="0.2">
      <c r="B9" s="55" t="s">
        <v>121</v>
      </c>
      <c r="C9" s="17" t="s">
        <v>113</v>
      </c>
      <c r="D9" s="16" t="s">
        <v>120</v>
      </c>
      <c r="E9" s="17" t="s">
        <v>111</v>
      </c>
      <c r="F9" s="16" t="s">
        <v>120</v>
      </c>
      <c r="G9" s="17" t="s">
        <v>111</v>
      </c>
      <c r="H9" s="55" t="s">
        <v>121</v>
      </c>
      <c r="I9" s="17" t="s">
        <v>113</v>
      </c>
      <c r="J9" s="17" t="s">
        <v>113</v>
      </c>
      <c r="K9" s="17" t="s">
        <v>111</v>
      </c>
      <c r="L9" s="92" t="s">
        <v>121</v>
      </c>
      <c r="M9" s="16" t="s">
        <v>120</v>
      </c>
    </row>
    <row r="10" spans="1:14" ht="15" customHeight="1" x14ac:dyDescent="0.2">
      <c r="A10" t="s">
        <v>5</v>
      </c>
      <c r="B10" s="56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56">
        <v>0</v>
      </c>
      <c r="I10" s="22">
        <v>2</v>
      </c>
      <c r="J10">
        <f>(C10+I10)</f>
        <v>2</v>
      </c>
      <c r="K10">
        <f>(E10+G10)</f>
        <v>0</v>
      </c>
      <c r="L10">
        <f>(B10+H10)</f>
        <v>0</v>
      </c>
      <c r="M10">
        <f>(D10+F10)</f>
        <v>0</v>
      </c>
      <c r="N10">
        <v>15</v>
      </c>
    </row>
    <row r="11" spans="1:14" ht="15" customHeight="1" x14ac:dyDescent="0.2">
      <c r="A11" t="s">
        <v>16</v>
      </c>
      <c r="B11" s="56">
        <v>0</v>
      </c>
      <c r="C11" s="22">
        <v>0</v>
      </c>
      <c r="D11" s="22">
        <v>0</v>
      </c>
      <c r="E11" s="22">
        <v>0</v>
      </c>
      <c r="F11" s="22">
        <v>0</v>
      </c>
      <c r="G11" s="22">
        <v>3</v>
      </c>
      <c r="H11" s="56">
        <v>0</v>
      </c>
      <c r="I11" s="22">
        <v>0</v>
      </c>
      <c r="J11">
        <f t="shared" ref="J11:J74" si="0">(C11+I11)</f>
        <v>0</v>
      </c>
      <c r="K11">
        <f t="shared" ref="K11:K74" si="1">(E11+G11)</f>
        <v>3</v>
      </c>
      <c r="L11">
        <f t="shared" ref="L11:L74" si="2">(B11+H11)</f>
        <v>0</v>
      </c>
      <c r="M11">
        <f t="shared" ref="M11:M74" si="3">(D11+F11)</f>
        <v>0</v>
      </c>
      <c r="N11">
        <v>15</v>
      </c>
    </row>
    <row r="12" spans="1:14" ht="15" customHeight="1" x14ac:dyDescent="0.2">
      <c r="A12" t="s">
        <v>17</v>
      </c>
      <c r="B12" s="56">
        <v>0</v>
      </c>
      <c r="C12" s="22">
        <v>0</v>
      </c>
      <c r="D12" s="22">
        <v>0</v>
      </c>
      <c r="E12" s="22">
        <v>0</v>
      </c>
      <c r="F12" s="22">
        <v>0</v>
      </c>
      <c r="G12" s="22">
        <v>1</v>
      </c>
      <c r="H12" s="56">
        <v>0</v>
      </c>
      <c r="I12" s="22">
        <v>0</v>
      </c>
      <c r="J12">
        <f t="shared" si="0"/>
        <v>0</v>
      </c>
      <c r="K12">
        <f t="shared" si="1"/>
        <v>1</v>
      </c>
      <c r="L12">
        <f t="shared" si="2"/>
        <v>0</v>
      </c>
      <c r="M12">
        <f t="shared" si="3"/>
        <v>0</v>
      </c>
      <c r="N12">
        <v>15</v>
      </c>
    </row>
    <row r="13" spans="1:14" ht="15" customHeight="1" x14ac:dyDescent="0.2">
      <c r="A13" t="s">
        <v>18</v>
      </c>
      <c r="B13" s="56">
        <v>0</v>
      </c>
      <c r="C13" s="22">
        <v>0</v>
      </c>
      <c r="D13" s="22">
        <v>0</v>
      </c>
      <c r="E13" s="22">
        <v>0</v>
      </c>
      <c r="F13" s="22">
        <v>0</v>
      </c>
      <c r="G13" s="22">
        <v>1</v>
      </c>
      <c r="H13" s="56">
        <v>0</v>
      </c>
      <c r="I13" s="22">
        <v>0</v>
      </c>
      <c r="J13">
        <f t="shared" si="0"/>
        <v>0</v>
      </c>
      <c r="K13">
        <f t="shared" si="1"/>
        <v>1</v>
      </c>
      <c r="L13">
        <f t="shared" si="2"/>
        <v>0</v>
      </c>
      <c r="M13">
        <f t="shared" si="3"/>
        <v>0</v>
      </c>
      <c r="N13">
        <v>15</v>
      </c>
    </row>
    <row r="14" spans="1:14" ht="15" customHeight="1" x14ac:dyDescent="0.2">
      <c r="A14" t="s">
        <v>19</v>
      </c>
      <c r="B14" s="56">
        <v>1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56">
        <v>0</v>
      </c>
      <c r="I14" s="22">
        <v>0</v>
      </c>
      <c r="J14">
        <f t="shared" si="0"/>
        <v>0</v>
      </c>
      <c r="K14">
        <f t="shared" si="1"/>
        <v>0</v>
      </c>
      <c r="L14">
        <f t="shared" si="2"/>
        <v>1</v>
      </c>
      <c r="M14">
        <f t="shared" si="3"/>
        <v>0</v>
      </c>
      <c r="N14">
        <v>15</v>
      </c>
    </row>
    <row r="15" spans="1:14" ht="15" customHeight="1" x14ac:dyDescent="0.2">
      <c r="A15" t="s">
        <v>20</v>
      </c>
      <c r="B15" s="56">
        <v>1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56">
        <v>1</v>
      </c>
      <c r="I15" s="22">
        <v>0</v>
      </c>
      <c r="J15">
        <f t="shared" si="0"/>
        <v>0</v>
      </c>
      <c r="K15">
        <f t="shared" si="1"/>
        <v>0</v>
      </c>
      <c r="L15">
        <f t="shared" si="2"/>
        <v>2</v>
      </c>
      <c r="M15">
        <f t="shared" si="3"/>
        <v>0</v>
      </c>
      <c r="N15">
        <v>15</v>
      </c>
    </row>
    <row r="16" spans="1:14" ht="15" customHeight="1" x14ac:dyDescent="0.2">
      <c r="A16" t="s">
        <v>21</v>
      </c>
      <c r="B16" s="56">
        <v>1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56">
        <v>0</v>
      </c>
      <c r="I16" s="22">
        <v>0</v>
      </c>
      <c r="J16">
        <f t="shared" si="0"/>
        <v>0</v>
      </c>
      <c r="K16">
        <f t="shared" si="1"/>
        <v>0</v>
      </c>
      <c r="L16">
        <f t="shared" si="2"/>
        <v>1</v>
      </c>
      <c r="M16">
        <f t="shared" si="3"/>
        <v>0</v>
      </c>
      <c r="N16">
        <v>15</v>
      </c>
    </row>
    <row r="17" spans="1:14" ht="15" customHeight="1" x14ac:dyDescent="0.2">
      <c r="A17" t="s">
        <v>22</v>
      </c>
      <c r="B17" s="56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56">
        <v>0</v>
      </c>
      <c r="I17" s="22">
        <v>1</v>
      </c>
      <c r="J17">
        <f t="shared" si="0"/>
        <v>1</v>
      </c>
      <c r="K17">
        <f t="shared" si="1"/>
        <v>0</v>
      </c>
      <c r="L17">
        <f t="shared" si="2"/>
        <v>0</v>
      </c>
      <c r="M17">
        <f t="shared" si="3"/>
        <v>0</v>
      </c>
      <c r="N17">
        <v>15</v>
      </c>
    </row>
    <row r="18" spans="1:14" ht="15" customHeight="1" x14ac:dyDescent="0.2">
      <c r="A18" t="s">
        <v>23</v>
      </c>
      <c r="B18" s="56">
        <v>0</v>
      </c>
      <c r="C18" s="22">
        <v>0</v>
      </c>
      <c r="D18" s="22">
        <v>0</v>
      </c>
      <c r="E18" s="22">
        <v>0</v>
      </c>
      <c r="F18" s="22">
        <v>1</v>
      </c>
      <c r="G18" s="22">
        <v>0</v>
      </c>
      <c r="H18" s="56">
        <v>1</v>
      </c>
      <c r="I18" s="22">
        <v>0</v>
      </c>
      <c r="J18">
        <f t="shared" si="0"/>
        <v>0</v>
      </c>
      <c r="K18">
        <f t="shared" si="1"/>
        <v>0</v>
      </c>
      <c r="L18">
        <f t="shared" si="2"/>
        <v>1</v>
      </c>
      <c r="M18">
        <f t="shared" si="3"/>
        <v>1</v>
      </c>
      <c r="N18">
        <v>15</v>
      </c>
    </row>
    <row r="19" spans="1:14" ht="15" customHeight="1" x14ac:dyDescent="0.2">
      <c r="A19" t="s">
        <v>24</v>
      </c>
      <c r="B19" s="56">
        <v>0</v>
      </c>
      <c r="C19" s="22">
        <v>0</v>
      </c>
      <c r="D19" s="22">
        <v>0</v>
      </c>
      <c r="E19" s="22">
        <v>0</v>
      </c>
      <c r="F19" s="22">
        <v>1</v>
      </c>
      <c r="G19" s="22">
        <v>0</v>
      </c>
      <c r="H19" s="56">
        <v>1</v>
      </c>
      <c r="I19" s="22">
        <v>0</v>
      </c>
      <c r="J19">
        <f t="shared" si="0"/>
        <v>0</v>
      </c>
      <c r="K19">
        <f t="shared" si="1"/>
        <v>0</v>
      </c>
      <c r="L19">
        <f t="shared" si="2"/>
        <v>1</v>
      </c>
      <c r="M19">
        <f t="shared" si="3"/>
        <v>1</v>
      </c>
      <c r="N19">
        <v>15</v>
      </c>
    </row>
    <row r="20" spans="1:14" ht="15" customHeight="1" x14ac:dyDescent="0.2">
      <c r="A20" t="s">
        <v>25</v>
      </c>
      <c r="B20" s="56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56">
        <v>0</v>
      </c>
      <c r="I20" s="22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  <c r="N20">
        <v>15</v>
      </c>
    </row>
    <row r="21" spans="1:14" ht="15" customHeight="1" x14ac:dyDescent="0.2">
      <c r="A21" t="s">
        <v>26</v>
      </c>
      <c r="B21" s="56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56">
        <v>0</v>
      </c>
      <c r="I21" s="22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  <c r="N21">
        <v>15</v>
      </c>
    </row>
    <row r="22" spans="1:14" ht="15" customHeight="1" x14ac:dyDescent="0.2">
      <c r="A22" t="s">
        <v>27</v>
      </c>
      <c r="B22" s="56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56">
        <v>2</v>
      </c>
      <c r="I22" s="22">
        <v>1</v>
      </c>
      <c r="J22">
        <f t="shared" si="0"/>
        <v>1</v>
      </c>
      <c r="K22">
        <f t="shared" si="1"/>
        <v>0</v>
      </c>
      <c r="L22">
        <f t="shared" si="2"/>
        <v>2</v>
      </c>
      <c r="M22">
        <f t="shared" si="3"/>
        <v>0</v>
      </c>
      <c r="N22">
        <v>15</v>
      </c>
    </row>
    <row r="23" spans="1:14" ht="15" customHeight="1" x14ac:dyDescent="0.2">
      <c r="A23" t="s">
        <v>28</v>
      </c>
      <c r="B23" s="56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56">
        <v>0</v>
      </c>
      <c r="I23" s="22">
        <v>2</v>
      </c>
      <c r="J23">
        <f t="shared" si="0"/>
        <v>2</v>
      </c>
      <c r="K23">
        <f t="shared" si="1"/>
        <v>0</v>
      </c>
      <c r="L23">
        <f t="shared" si="2"/>
        <v>0</v>
      </c>
      <c r="M23">
        <f t="shared" si="3"/>
        <v>0</v>
      </c>
      <c r="N23">
        <v>15</v>
      </c>
    </row>
    <row r="24" spans="1:14" ht="15" customHeight="1" x14ac:dyDescent="0.2">
      <c r="A24" t="s">
        <v>29</v>
      </c>
      <c r="B24" s="56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56">
        <v>0</v>
      </c>
      <c r="I24" s="22">
        <v>1</v>
      </c>
      <c r="J24">
        <f t="shared" si="0"/>
        <v>1</v>
      </c>
      <c r="K24">
        <f t="shared" si="1"/>
        <v>0</v>
      </c>
      <c r="L24">
        <f t="shared" si="2"/>
        <v>0</v>
      </c>
      <c r="M24">
        <f t="shared" si="3"/>
        <v>0</v>
      </c>
      <c r="N24">
        <v>15</v>
      </c>
    </row>
    <row r="25" spans="1:14" ht="15" customHeight="1" x14ac:dyDescent="0.2">
      <c r="A25" t="s">
        <v>30</v>
      </c>
      <c r="B25" s="56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56">
        <v>0</v>
      </c>
      <c r="I25" s="22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  <c r="N25">
        <v>15</v>
      </c>
    </row>
    <row r="26" spans="1:14" ht="15" customHeight="1" x14ac:dyDescent="0.2">
      <c r="A26" t="s">
        <v>31</v>
      </c>
      <c r="B26" s="56">
        <v>1</v>
      </c>
      <c r="C26" s="22">
        <v>0</v>
      </c>
      <c r="D26" s="22">
        <v>0</v>
      </c>
      <c r="E26" s="22">
        <v>0</v>
      </c>
      <c r="F26" s="22">
        <v>0</v>
      </c>
      <c r="G26" s="22">
        <v>1</v>
      </c>
      <c r="H26" s="56">
        <v>0</v>
      </c>
      <c r="I26" s="22">
        <v>0</v>
      </c>
      <c r="J26">
        <f t="shared" si="0"/>
        <v>0</v>
      </c>
      <c r="K26">
        <f t="shared" si="1"/>
        <v>1</v>
      </c>
      <c r="L26">
        <f t="shared" si="2"/>
        <v>1</v>
      </c>
      <c r="M26">
        <f t="shared" si="3"/>
        <v>0</v>
      </c>
      <c r="N26">
        <v>15</v>
      </c>
    </row>
    <row r="27" spans="1:14" ht="15" customHeight="1" x14ac:dyDescent="0.2">
      <c r="A27" t="s">
        <v>32</v>
      </c>
      <c r="B27" s="56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56">
        <v>0</v>
      </c>
      <c r="I27" s="22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  <c r="N27">
        <v>15</v>
      </c>
    </row>
    <row r="28" spans="1:14" ht="15" customHeight="1" x14ac:dyDescent="0.2">
      <c r="A28" t="s">
        <v>33</v>
      </c>
      <c r="B28" s="56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56">
        <v>0</v>
      </c>
      <c r="I28" s="22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  <c r="N28">
        <v>15</v>
      </c>
    </row>
    <row r="29" spans="1:14" ht="15" customHeight="1" x14ac:dyDescent="0.2">
      <c r="A29" t="s">
        <v>34</v>
      </c>
      <c r="B29" s="56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56">
        <v>0</v>
      </c>
      <c r="I29" s="22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  <c r="N29">
        <v>15</v>
      </c>
    </row>
    <row r="30" spans="1:14" ht="15" customHeight="1" x14ac:dyDescent="0.2">
      <c r="A30" t="s">
        <v>35</v>
      </c>
      <c r="B30" s="56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56">
        <v>1</v>
      </c>
      <c r="I30" s="22">
        <v>1</v>
      </c>
      <c r="J30">
        <f t="shared" si="0"/>
        <v>1</v>
      </c>
      <c r="K30">
        <f t="shared" si="1"/>
        <v>0</v>
      </c>
      <c r="L30">
        <f t="shared" si="2"/>
        <v>1</v>
      </c>
      <c r="M30">
        <f t="shared" si="3"/>
        <v>0</v>
      </c>
      <c r="N30">
        <v>15</v>
      </c>
    </row>
    <row r="31" spans="1:14" s="57" customFormat="1" ht="15" customHeight="1" x14ac:dyDescent="0.2">
      <c r="A31" s="57" t="s">
        <v>36</v>
      </c>
      <c r="B31" s="58">
        <v>1</v>
      </c>
      <c r="C31" s="58">
        <v>0</v>
      </c>
      <c r="D31" s="58">
        <v>0</v>
      </c>
      <c r="E31" s="58">
        <v>0</v>
      </c>
      <c r="F31" s="58">
        <v>0</v>
      </c>
      <c r="G31" s="58">
        <v>0</v>
      </c>
      <c r="H31" s="58">
        <v>0</v>
      </c>
      <c r="I31" s="58">
        <v>0</v>
      </c>
      <c r="J31" s="57">
        <f t="shared" si="0"/>
        <v>0</v>
      </c>
      <c r="K31" s="57">
        <f t="shared" si="1"/>
        <v>0</v>
      </c>
      <c r="L31" s="57">
        <f t="shared" si="2"/>
        <v>1</v>
      </c>
      <c r="M31" s="57">
        <f t="shared" si="3"/>
        <v>0</v>
      </c>
      <c r="N31">
        <v>15</v>
      </c>
    </row>
    <row r="32" spans="1:14" ht="15" customHeight="1" x14ac:dyDescent="0.2">
      <c r="A32" t="s">
        <v>37</v>
      </c>
      <c r="B32" s="56">
        <v>0</v>
      </c>
      <c r="C32" s="22">
        <v>0</v>
      </c>
      <c r="D32" s="22">
        <v>1</v>
      </c>
      <c r="E32" s="22">
        <v>0</v>
      </c>
      <c r="F32" s="22">
        <v>0</v>
      </c>
      <c r="G32" s="22">
        <v>0</v>
      </c>
      <c r="H32" s="56">
        <v>0</v>
      </c>
      <c r="I32" s="2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1</v>
      </c>
      <c r="N32">
        <v>15</v>
      </c>
    </row>
    <row r="33" spans="1:14" ht="15" customHeight="1" x14ac:dyDescent="0.2">
      <c r="A33" t="s">
        <v>38</v>
      </c>
      <c r="B33" s="56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56">
        <v>0</v>
      </c>
      <c r="I33" s="22">
        <v>1</v>
      </c>
      <c r="J33">
        <f t="shared" si="0"/>
        <v>1</v>
      </c>
      <c r="K33">
        <f t="shared" si="1"/>
        <v>0</v>
      </c>
      <c r="L33">
        <f t="shared" si="2"/>
        <v>0</v>
      </c>
      <c r="M33">
        <f t="shared" si="3"/>
        <v>0</v>
      </c>
      <c r="N33">
        <v>15</v>
      </c>
    </row>
    <row r="34" spans="1:14" ht="15" customHeight="1" x14ac:dyDescent="0.2">
      <c r="A34" t="s">
        <v>39</v>
      </c>
      <c r="B34" s="56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56">
        <v>0</v>
      </c>
      <c r="I34" s="22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  <c r="N34">
        <v>15</v>
      </c>
    </row>
    <row r="35" spans="1:14" ht="15" customHeight="1" x14ac:dyDescent="0.2">
      <c r="A35" t="s">
        <v>40</v>
      </c>
      <c r="B35" s="56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56">
        <v>0</v>
      </c>
      <c r="I35" s="22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  <c r="N35">
        <v>15</v>
      </c>
    </row>
    <row r="36" spans="1:14" ht="15" customHeight="1" x14ac:dyDescent="0.2">
      <c r="A36" t="s">
        <v>41</v>
      </c>
      <c r="B36" s="56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56">
        <v>0</v>
      </c>
      <c r="I36" s="22">
        <v>1</v>
      </c>
      <c r="J36">
        <f t="shared" si="0"/>
        <v>1</v>
      </c>
      <c r="K36">
        <f t="shared" si="1"/>
        <v>0</v>
      </c>
      <c r="L36">
        <f t="shared" si="2"/>
        <v>0</v>
      </c>
      <c r="M36">
        <f t="shared" si="3"/>
        <v>0</v>
      </c>
      <c r="N36">
        <v>15</v>
      </c>
    </row>
    <row r="37" spans="1:14" ht="15" customHeight="1" x14ac:dyDescent="0.2">
      <c r="A37" t="s">
        <v>42</v>
      </c>
      <c r="B37" s="56"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56">
        <v>0</v>
      </c>
      <c r="I37" s="22">
        <v>0</v>
      </c>
      <c r="J37">
        <f t="shared" si="0"/>
        <v>0</v>
      </c>
      <c r="K37">
        <f t="shared" si="1"/>
        <v>0</v>
      </c>
      <c r="L37">
        <f t="shared" si="2"/>
        <v>0</v>
      </c>
      <c r="M37">
        <f t="shared" si="3"/>
        <v>0</v>
      </c>
      <c r="N37">
        <v>15</v>
      </c>
    </row>
    <row r="38" spans="1:14" ht="15" customHeight="1" x14ac:dyDescent="0.2">
      <c r="A38" t="s">
        <v>43</v>
      </c>
      <c r="B38" s="56">
        <v>0</v>
      </c>
      <c r="C38" s="22">
        <v>0</v>
      </c>
      <c r="D38" s="22">
        <v>1</v>
      </c>
      <c r="E38" s="22">
        <v>0</v>
      </c>
      <c r="F38" s="22">
        <v>0</v>
      </c>
      <c r="G38" s="22">
        <v>0</v>
      </c>
      <c r="H38" s="56">
        <v>0</v>
      </c>
      <c r="I38" s="22">
        <v>0</v>
      </c>
      <c r="J38">
        <f t="shared" si="0"/>
        <v>0</v>
      </c>
      <c r="K38">
        <f t="shared" si="1"/>
        <v>0</v>
      </c>
      <c r="L38">
        <f t="shared" si="2"/>
        <v>0</v>
      </c>
      <c r="M38">
        <f t="shared" si="3"/>
        <v>1</v>
      </c>
      <c r="N38">
        <v>15</v>
      </c>
    </row>
    <row r="39" spans="1:14" ht="15" customHeight="1" x14ac:dyDescent="0.2">
      <c r="A39" t="s">
        <v>44</v>
      </c>
      <c r="B39" s="56">
        <v>0</v>
      </c>
      <c r="C39" s="22">
        <v>0</v>
      </c>
      <c r="D39" s="22">
        <v>1</v>
      </c>
      <c r="E39" s="22">
        <v>1</v>
      </c>
      <c r="F39" s="22">
        <v>0</v>
      </c>
      <c r="G39" s="22">
        <v>0</v>
      </c>
      <c r="H39" s="56">
        <v>0</v>
      </c>
      <c r="I39" s="22">
        <v>0</v>
      </c>
      <c r="J39">
        <f t="shared" si="0"/>
        <v>0</v>
      </c>
      <c r="K39">
        <f t="shared" si="1"/>
        <v>1</v>
      </c>
      <c r="L39">
        <f t="shared" si="2"/>
        <v>0</v>
      </c>
      <c r="M39">
        <f t="shared" si="3"/>
        <v>1</v>
      </c>
      <c r="N39">
        <v>15</v>
      </c>
    </row>
    <row r="40" spans="1:14" s="57" customFormat="1" ht="15" customHeight="1" x14ac:dyDescent="0.2">
      <c r="A40" s="57" t="s">
        <v>45</v>
      </c>
      <c r="B40" s="58">
        <v>1</v>
      </c>
      <c r="C40" s="58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7">
        <f t="shared" si="0"/>
        <v>0</v>
      </c>
      <c r="K40" s="57">
        <f t="shared" si="1"/>
        <v>0</v>
      </c>
      <c r="L40" s="57">
        <f t="shared" si="2"/>
        <v>1</v>
      </c>
      <c r="M40" s="57">
        <f t="shared" si="3"/>
        <v>0</v>
      </c>
      <c r="N40">
        <v>15</v>
      </c>
    </row>
    <row r="41" spans="1:14" s="33" customFormat="1" ht="15" customHeight="1" x14ac:dyDescent="0.2">
      <c r="A41" s="33" t="s">
        <v>46</v>
      </c>
      <c r="B41" s="34">
        <v>0</v>
      </c>
      <c r="C41" s="34">
        <v>0</v>
      </c>
      <c r="D41" s="34">
        <v>0</v>
      </c>
      <c r="E41" s="34">
        <v>0</v>
      </c>
      <c r="F41" s="34">
        <v>0</v>
      </c>
      <c r="G41" s="34">
        <v>1</v>
      </c>
      <c r="H41" s="34">
        <v>1</v>
      </c>
      <c r="I41" s="34">
        <v>0</v>
      </c>
      <c r="J41" s="33">
        <f t="shared" si="0"/>
        <v>0</v>
      </c>
      <c r="K41" s="33">
        <f t="shared" si="1"/>
        <v>1</v>
      </c>
      <c r="L41" s="33">
        <f t="shared" si="2"/>
        <v>1</v>
      </c>
      <c r="M41" s="33">
        <f t="shared" si="3"/>
        <v>0</v>
      </c>
      <c r="N41">
        <v>15</v>
      </c>
    </row>
    <row r="42" spans="1:14" ht="15" customHeight="1" x14ac:dyDescent="0.2">
      <c r="A42" t="s">
        <v>47</v>
      </c>
      <c r="B42" s="56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56">
        <v>0</v>
      </c>
      <c r="I42" s="22">
        <v>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  <c r="N42">
        <v>15</v>
      </c>
    </row>
    <row r="43" spans="1:14" ht="15" customHeight="1" x14ac:dyDescent="0.2">
      <c r="A43" t="s">
        <v>48</v>
      </c>
      <c r="B43" s="56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56">
        <v>0</v>
      </c>
      <c r="I43" s="22">
        <v>0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  <c r="N43">
        <v>15</v>
      </c>
    </row>
    <row r="44" spans="1:14" s="33" customFormat="1" ht="15" customHeight="1" x14ac:dyDescent="0.2">
      <c r="A44" s="33" t="s">
        <v>49</v>
      </c>
      <c r="B44" s="34">
        <v>0</v>
      </c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1</v>
      </c>
      <c r="I44" s="34">
        <v>1</v>
      </c>
      <c r="J44" s="33">
        <f t="shared" si="0"/>
        <v>1</v>
      </c>
      <c r="K44" s="33">
        <f t="shared" si="1"/>
        <v>0</v>
      </c>
      <c r="L44" s="33">
        <f t="shared" si="2"/>
        <v>1</v>
      </c>
      <c r="M44" s="33">
        <f t="shared" si="3"/>
        <v>0</v>
      </c>
      <c r="N44">
        <v>15</v>
      </c>
    </row>
    <row r="45" spans="1:14" ht="15" customHeight="1" x14ac:dyDescent="0.2">
      <c r="A45" t="s">
        <v>50</v>
      </c>
      <c r="B45" s="56">
        <v>0</v>
      </c>
      <c r="C45" s="22">
        <v>0</v>
      </c>
      <c r="D45" s="22">
        <v>0</v>
      </c>
      <c r="E45" s="22">
        <v>0</v>
      </c>
      <c r="F45" s="22">
        <v>1</v>
      </c>
      <c r="G45" s="22">
        <v>0</v>
      </c>
      <c r="H45" s="56">
        <v>0</v>
      </c>
      <c r="I45" s="22"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1</v>
      </c>
      <c r="N45">
        <v>15</v>
      </c>
    </row>
    <row r="46" spans="1:14" ht="15" customHeight="1" x14ac:dyDescent="0.2">
      <c r="A46" t="s">
        <v>51</v>
      </c>
      <c r="B46" s="56">
        <v>1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56">
        <v>0</v>
      </c>
      <c r="I46" s="22">
        <v>0</v>
      </c>
      <c r="J46">
        <f t="shared" si="0"/>
        <v>0</v>
      </c>
      <c r="K46">
        <f t="shared" si="1"/>
        <v>0</v>
      </c>
      <c r="L46">
        <f t="shared" si="2"/>
        <v>1</v>
      </c>
      <c r="M46">
        <f t="shared" si="3"/>
        <v>0</v>
      </c>
      <c r="N46">
        <v>15</v>
      </c>
    </row>
    <row r="47" spans="1:14" s="33" customFormat="1" ht="15" customHeight="1" x14ac:dyDescent="0.2">
      <c r="A47" s="33" t="s">
        <v>52</v>
      </c>
      <c r="B47" s="34">
        <v>0</v>
      </c>
      <c r="C47" s="34">
        <v>0</v>
      </c>
      <c r="D47" s="34">
        <v>0</v>
      </c>
      <c r="E47" s="34">
        <v>0</v>
      </c>
      <c r="F47" s="34">
        <v>0</v>
      </c>
      <c r="G47" s="34">
        <v>1</v>
      </c>
      <c r="H47" s="34">
        <v>1</v>
      </c>
      <c r="I47" s="34">
        <v>0</v>
      </c>
      <c r="J47" s="33">
        <f t="shared" si="0"/>
        <v>0</v>
      </c>
      <c r="K47" s="33">
        <f t="shared" si="1"/>
        <v>1</v>
      </c>
      <c r="L47" s="33">
        <f t="shared" si="2"/>
        <v>1</v>
      </c>
      <c r="M47" s="33">
        <f t="shared" si="3"/>
        <v>0</v>
      </c>
      <c r="N47">
        <v>15</v>
      </c>
    </row>
    <row r="48" spans="1:14" ht="15" customHeight="1" x14ac:dyDescent="0.2">
      <c r="A48" t="s">
        <v>53</v>
      </c>
      <c r="B48" s="56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56">
        <v>0</v>
      </c>
      <c r="I48" s="22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  <c r="N48">
        <v>15</v>
      </c>
    </row>
    <row r="49" spans="1:14" s="33" customFormat="1" ht="15" customHeight="1" x14ac:dyDescent="0.2">
      <c r="A49" s="33" t="s">
        <v>54</v>
      </c>
      <c r="B49" s="34">
        <v>1</v>
      </c>
      <c r="C49" s="34">
        <v>0</v>
      </c>
      <c r="D49" s="34">
        <v>0</v>
      </c>
      <c r="E49" s="34">
        <v>0</v>
      </c>
      <c r="F49" s="34">
        <v>0</v>
      </c>
      <c r="G49" s="34">
        <v>1</v>
      </c>
      <c r="H49" s="34">
        <v>1</v>
      </c>
      <c r="I49" s="34">
        <v>1</v>
      </c>
      <c r="J49" s="33">
        <f t="shared" si="0"/>
        <v>1</v>
      </c>
      <c r="K49" s="33">
        <f t="shared" si="1"/>
        <v>1</v>
      </c>
      <c r="L49" s="33">
        <f t="shared" si="2"/>
        <v>2</v>
      </c>
      <c r="M49" s="33">
        <f t="shared" si="3"/>
        <v>0</v>
      </c>
      <c r="N49">
        <v>15</v>
      </c>
    </row>
    <row r="50" spans="1:14" ht="15" customHeight="1" x14ac:dyDescent="0.2">
      <c r="A50" t="s">
        <v>55</v>
      </c>
      <c r="B50" s="56">
        <v>1</v>
      </c>
      <c r="C50" s="22">
        <v>0</v>
      </c>
      <c r="D50" s="22">
        <v>1</v>
      </c>
      <c r="E50" s="22">
        <v>0</v>
      </c>
      <c r="F50" s="22">
        <v>0</v>
      </c>
      <c r="G50" s="22">
        <v>0</v>
      </c>
      <c r="H50" s="56">
        <v>0</v>
      </c>
      <c r="I50" s="22">
        <v>0</v>
      </c>
      <c r="J50">
        <f t="shared" si="0"/>
        <v>0</v>
      </c>
      <c r="K50">
        <f t="shared" si="1"/>
        <v>0</v>
      </c>
      <c r="L50">
        <f t="shared" si="2"/>
        <v>1</v>
      </c>
      <c r="M50">
        <f t="shared" si="3"/>
        <v>1</v>
      </c>
      <c r="N50">
        <v>15</v>
      </c>
    </row>
    <row r="51" spans="1:14" ht="15" customHeight="1" x14ac:dyDescent="0.2">
      <c r="A51" t="s">
        <v>56</v>
      </c>
      <c r="B51" s="56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56">
        <v>0</v>
      </c>
      <c r="I51" s="22">
        <v>1</v>
      </c>
      <c r="J51">
        <f t="shared" si="0"/>
        <v>1</v>
      </c>
      <c r="K51">
        <f t="shared" si="1"/>
        <v>0</v>
      </c>
      <c r="L51">
        <f t="shared" si="2"/>
        <v>0</v>
      </c>
      <c r="M51">
        <f t="shared" si="3"/>
        <v>0</v>
      </c>
      <c r="N51">
        <v>15</v>
      </c>
    </row>
    <row r="52" spans="1:14" ht="15" customHeight="1" x14ac:dyDescent="0.2">
      <c r="A52" t="s">
        <v>57</v>
      </c>
      <c r="B52" s="56">
        <v>1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56">
        <v>0</v>
      </c>
      <c r="I52" s="22">
        <v>0</v>
      </c>
      <c r="J52">
        <f t="shared" si="0"/>
        <v>0</v>
      </c>
      <c r="K52">
        <f t="shared" si="1"/>
        <v>0</v>
      </c>
      <c r="L52">
        <f t="shared" si="2"/>
        <v>1</v>
      </c>
      <c r="M52">
        <f t="shared" si="3"/>
        <v>0</v>
      </c>
      <c r="N52">
        <v>15</v>
      </c>
    </row>
    <row r="53" spans="1:14" ht="15" customHeight="1" x14ac:dyDescent="0.2">
      <c r="A53" t="s">
        <v>58</v>
      </c>
      <c r="B53" s="56">
        <v>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56">
        <v>0</v>
      </c>
      <c r="I53" s="22">
        <v>0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  <c r="N53">
        <v>15</v>
      </c>
    </row>
    <row r="54" spans="1:14" s="33" customFormat="1" ht="15" customHeight="1" x14ac:dyDescent="0.2">
      <c r="A54" s="33" t="s">
        <v>59</v>
      </c>
      <c r="B54" s="34">
        <v>0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34">
        <v>1</v>
      </c>
      <c r="I54" s="34">
        <v>0</v>
      </c>
      <c r="J54" s="33">
        <f t="shared" si="0"/>
        <v>0</v>
      </c>
      <c r="K54" s="33">
        <f t="shared" si="1"/>
        <v>0</v>
      </c>
      <c r="L54" s="33">
        <f t="shared" si="2"/>
        <v>1</v>
      </c>
      <c r="M54" s="33">
        <f t="shared" si="3"/>
        <v>0</v>
      </c>
      <c r="N54">
        <v>15</v>
      </c>
    </row>
    <row r="55" spans="1:14" ht="15" customHeight="1" x14ac:dyDescent="0.2">
      <c r="A55" t="s">
        <v>60</v>
      </c>
      <c r="B55" s="56">
        <v>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56">
        <v>0</v>
      </c>
      <c r="I55" s="22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  <c r="N55">
        <v>15</v>
      </c>
    </row>
    <row r="56" spans="1:14" s="33" customFormat="1" ht="15" customHeight="1" x14ac:dyDescent="0.2">
      <c r="A56" s="33" t="s">
        <v>61</v>
      </c>
      <c r="B56" s="34">
        <v>0</v>
      </c>
      <c r="C56" s="34">
        <v>0</v>
      </c>
      <c r="D56" s="34">
        <v>0</v>
      </c>
      <c r="E56" s="34">
        <v>0</v>
      </c>
      <c r="F56" s="34">
        <v>0</v>
      </c>
      <c r="G56" s="34">
        <v>0</v>
      </c>
      <c r="H56" s="34">
        <v>1</v>
      </c>
      <c r="I56" s="34">
        <v>0</v>
      </c>
      <c r="J56" s="33">
        <f t="shared" si="0"/>
        <v>0</v>
      </c>
      <c r="K56" s="33">
        <f t="shared" si="1"/>
        <v>0</v>
      </c>
      <c r="L56" s="33">
        <f t="shared" si="2"/>
        <v>1</v>
      </c>
      <c r="M56" s="33">
        <f t="shared" si="3"/>
        <v>0</v>
      </c>
      <c r="N56">
        <v>15</v>
      </c>
    </row>
    <row r="57" spans="1:14" s="33" customFormat="1" ht="15" customHeight="1" x14ac:dyDescent="0.2">
      <c r="A57" s="33" t="s">
        <v>62</v>
      </c>
      <c r="B57" s="34">
        <v>0</v>
      </c>
      <c r="C57" s="34">
        <v>0</v>
      </c>
      <c r="D57" s="34">
        <v>0</v>
      </c>
      <c r="E57" s="34">
        <v>0</v>
      </c>
      <c r="F57" s="34">
        <v>0</v>
      </c>
      <c r="G57" s="34">
        <v>0</v>
      </c>
      <c r="H57" s="34">
        <v>1</v>
      </c>
      <c r="I57" s="34">
        <v>0</v>
      </c>
      <c r="J57" s="33">
        <f t="shared" si="0"/>
        <v>0</v>
      </c>
      <c r="K57" s="33">
        <f t="shared" si="1"/>
        <v>0</v>
      </c>
      <c r="L57" s="33">
        <f t="shared" si="2"/>
        <v>1</v>
      </c>
      <c r="M57" s="33">
        <f t="shared" si="3"/>
        <v>0</v>
      </c>
      <c r="N57">
        <v>15</v>
      </c>
    </row>
    <row r="58" spans="1:14" ht="15" customHeight="1" x14ac:dyDescent="0.2">
      <c r="A58" t="s">
        <v>63</v>
      </c>
      <c r="B58" s="56">
        <v>0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56">
        <v>0</v>
      </c>
      <c r="I58" s="22">
        <v>1</v>
      </c>
      <c r="J58">
        <f t="shared" si="0"/>
        <v>1</v>
      </c>
      <c r="K58">
        <f t="shared" si="1"/>
        <v>0</v>
      </c>
      <c r="L58">
        <f t="shared" si="2"/>
        <v>0</v>
      </c>
      <c r="M58">
        <f t="shared" si="3"/>
        <v>0</v>
      </c>
      <c r="N58">
        <v>15</v>
      </c>
    </row>
    <row r="59" spans="1:14" s="33" customFormat="1" ht="15" customHeight="1" x14ac:dyDescent="0.2">
      <c r="A59" s="33" t="s">
        <v>64</v>
      </c>
      <c r="B59" s="34">
        <v>0</v>
      </c>
      <c r="C59" s="34">
        <v>0</v>
      </c>
      <c r="D59" s="34">
        <v>0</v>
      </c>
      <c r="E59" s="34">
        <v>0</v>
      </c>
      <c r="F59" s="34">
        <v>0</v>
      </c>
      <c r="G59" s="34">
        <v>0</v>
      </c>
      <c r="H59" s="34">
        <v>1</v>
      </c>
      <c r="I59" s="34">
        <v>0</v>
      </c>
      <c r="J59" s="33">
        <f t="shared" si="0"/>
        <v>0</v>
      </c>
      <c r="K59" s="33">
        <f t="shared" si="1"/>
        <v>0</v>
      </c>
      <c r="L59" s="33">
        <f t="shared" si="2"/>
        <v>1</v>
      </c>
      <c r="M59" s="33">
        <f t="shared" si="3"/>
        <v>0</v>
      </c>
      <c r="N59">
        <v>15</v>
      </c>
    </row>
    <row r="60" spans="1:14" s="33" customFormat="1" ht="15" customHeight="1" x14ac:dyDescent="0.2">
      <c r="A60" s="33" t="s">
        <v>65</v>
      </c>
      <c r="B60" s="34">
        <v>1</v>
      </c>
      <c r="C60" s="34">
        <v>0</v>
      </c>
      <c r="D60" s="34">
        <v>0</v>
      </c>
      <c r="E60" s="34">
        <v>0</v>
      </c>
      <c r="F60" s="34">
        <v>0</v>
      </c>
      <c r="G60" s="34">
        <v>0</v>
      </c>
      <c r="H60" s="34">
        <v>1</v>
      </c>
      <c r="I60" s="34">
        <v>0</v>
      </c>
      <c r="J60" s="33">
        <f t="shared" si="0"/>
        <v>0</v>
      </c>
      <c r="K60" s="33">
        <f t="shared" si="1"/>
        <v>0</v>
      </c>
      <c r="L60" s="33">
        <f t="shared" si="2"/>
        <v>2</v>
      </c>
      <c r="M60" s="33">
        <f t="shared" si="3"/>
        <v>0</v>
      </c>
      <c r="N60">
        <v>15</v>
      </c>
    </row>
    <row r="61" spans="1:14" ht="15" customHeight="1" x14ac:dyDescent="0.2">
      <c r="A61" t="s">
        <v>66</v>
      </c>
      <c r="B61" s="56">
        <v>2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56">
        <v>0</v>
      </c>
      <c r="I61" s="22">
        <v>0</v>
      </c>
      <c r="J61">
        <f t="shared" si="0"/>
        <v>0</v>
      </c>
      <c r="K61">
        <f t="shared" si="1"/>
        <v>0</v>
      </c>
      <c r="L61">
        <f t="shared" si="2"/>
        <v>2</v>
      </c>
      <c r="M61">
        <f t="shared" si="3"/>
        <v>0</v>
      </c>
      <c r="N61">
        <v>15</v>
      </c>
    </row>
    <row r="62" spans="1:14" ht="15" customHeight="1" x14ac:dyDescent="0.2">
      <c r="A62" t="s">
        <v>67</v>
      </c>
      <c r="B62" s="56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56">
        <v>0</v>
      </c>
      <c r="I62" s="2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  <c r="N62">
        <v>15</v>
      </c>
    </row>
    <row r="63" spans="1:14" ht="15" customHeight="1" x14ac:dyDescent="0.2">
      <c r="A63" t="s">
        <v>68</v>
      </c>
      <c r="B63" s="56">
        <v>0</v>
      </c>
      <c r="C63" s="22">
        <v>0</v>
      </c>
      <c r="D63" s="22">
        <v>0</v>
      </c>
      <c r="E63" s="22">
        <v>0</v>
      </c>
      <c r="F63" s="22">
        <v>1</v>
      </c>
      <c r="G63" s="22">
        <v>0</v>
      </c>
      <c r="H63" s="56">
        <v>0</v>
      </c>
      <c r="I63" s="22">
        <v>0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3"/>
        <v>1</v>
      </c>
      <c r="N63">
        <v>15</v>
      </c>
    </row>
    <row r="64" spans="1:14" s="33" customFormat="1" ht="15" customHeight="1" x14ac:dyDescent="0.2">
      <c r="A64" s="33" t="s">
        <v>69</v>
      </c>
      <c r="B64" s="34">
        <v>0</v>
      </c>
      <c r="C64" s="34">
        <v>0</v>
      </c>
      <c r="D64" s="34">
        <v>0</v>
      </c>
      <c r="E64" s="34">
        <v>1</v>
      </c>
      <c r="F64" s="34">
        <v>0</v>
      </c>
      <c r="G64" s="34">
        <v>0</v>
      </c>
      <c r="H64" s="34">
        <v>1</v>
      </c>
      <c r="I64" s="34">
        <v>0</v>
      </c>
      <c r="J64" s="33">
        <f t="shared" si="0"/>
        <v>0</v>
      </c>
      <c r="K64" s="33">
        <f t="shared" si="1"/>
        <v>1</v>
      </c>
      <c r="L64" s="33">
        <f t="shared" si="2"/>
        <v>1</v>
      </c>
      <c r="M64" s="33">
        <f t="shared" si="3"/>
        <v>0</v>
      </c>
      <c r="N64">
        <v>15</v>
      </c>
    </row>
    <row r="65" spans="1:14" ht="15" customHeight="1" x14ac:dyDescent="0.2">
      <c r="A65" t="s">
        <v>70</v>
      </c>
      <c r="B65" s="56">
        <v>0</v>
      </c>
      <c r="C65" s="22">
        <v>2</v>
      </c>
      <c r="D65" s="22">
        <v>0</v>
      </c>
      <c r="E65" s="22">
        <v>0</v>
      </c>
      <c r="F65" s="22">
        <v>0</v>
      </c>
      <c r="G65" s="22">
        <v>0</v>
      </c>
      <c r="H65" s="56">
        <v>0</v>
      </c>
      <c r="I65" s="22">
        <v>0</v>
      </c>
      <c r="J65">
        <f t="shared" si="0"/>
        <v>2</v>
      </c>
      <c r="K65">
        <f t="shared" si="1"/>
        <v>0</v>
      </c>
      <c r="L65">
        <f t="shared" si="2"/>
        <v>0</v>
      </c>
      <c r="M65">
        <f t="shared" si="3"/>
        <v>0</v>
      </c>
      <c r="N65">
        <v>15</v>
      </c>
    </row>
    <row r="66" spans="1:14" ht="15" customHeight="1" x14ac:dyDescent="0.2">
      <c r="A66" t="s">
        <v>71</v>
      </c>
      <c r="B66" s="56">
        <v>0</v>
      </c>
      <c r="C66" s="22">
        <v>0</v>
      </c>
      <c r="D66" s="22">
        <v>1</v>
      </c>
      <c r="E66" s="22">
        <v>0</v>
      </c>
      <c r="F66" s="22">
        <v>0</v>
      </c>
      <c r="G66" s="22">
        <v>0</v>
      </c>
      <c r="H66" s="56">
        <v>0</v>
      </c>
      <c r="I66" s="22">
        <v>1</v>
      </c>
      <c r="J66">
        <f t="shared" si="0"/>
        <v>1</v>
      </c>
      <c r="K66">
        <f t="shared" si="1"/>
        <v>0</v>
      </c>
      <c r="L66">
        <f t="shared" si="2"/>
        <v>0</v>
      </c>
      <c r="M66">
        <f t="shared" si="3"/>
        <v>1</v>
      </c>
      <c r="N66">
        <v>15</v>
      </c>
    </row>
    <row r="67" spans="1:14" ht="15" customHeight="1" x14ac:dyDescent="0.2">
      <c r="A67" t="s">
        <v>72</v>
      </c>
      <c r="B67" s="56">
        <v>0</v>
      </c>
      <c r="C67" s="22">
        <v>0</v>
      </c>
      <c r="D67" s="22">
        <v>1</v>
      </c>
      <c r="E67" s="22">
        <v>0</v>
      </c>
      <c r="F67" s="22">
        <v>0</v>
      </c>
      <c r="G67" s="22">
        <v>0</v>
      </c>
      <c r="H67" s="56">
        <v>0</v>
      </c>
      <c r="I67" s="22">
        <v>0</v>
      </c>
      <c r="J67">
        <f t="shared" si="0"/>
        <v>0</v>
      </c>
      <c r="K67">
        <f t="shared" si="1"/>
        <v>0</v>
      </c>
      <c r="L67">
        <f t="shared" si="2"/>
        <v>0</v>
      </c>
      <c r="M67">
        <f t="shared" si="3"/>
        <v>1</v>
      </c>
      <c r="N67">
        <v>15</v>
      </c>
    </row>
    <row r="68" spans="1:14" ht="15" customHeight="1" x14ac:dyDescent="0.2">
      <c r="A68" t="s">
        <v>73</v>
      </c>
      <c r="B68" s="56">
        <v>0</v>
      </c>
      <c r="C68" s="22">
        <v>0</v>
      </c>
      <c r="D68" s="22">
        <v>0</v>
      </c>
      <c r="E68" s="22">
        <v>0</v>
      </c>
      <c r="F68" s="22">
        <v>0</v>
      </c>
      <c r="G68" s="22">
        <v>1</v>
      </c>
      <c r="H68" s="56">
        <v>0</v>
      </c>
      <c r="I68" s="22">
        <v>1</v>
      </c>
      <c r="J68">
        <f t="shared" si="0"/>
        <v>1</v>
      </c>
      <c r="K68">
        <f t="shared" si="1"/>
        <v>1</v>
      </c>
      <c r="L68">
        <f t="shared" si="2"/>
        <v>0</v>
      </c>
      <c r="M68">
        <f t="shared" si="3"/>
        <v>0</v>
      </c>
      <c r="N68">
        <v>15</v>
      </c>
    </row>
    <row r="69" spans="1:14" ht="15" customHeight="1" x14ac:dyDescent="0.2">
      <c r="A69" t="s">
        <v>74</v>
      </c>
      <c r="B69" s="56">
        <v>1</v>
      </c>
      <c r="C69" s="22">
        <v>0</v>
      </c>
      <c r="D69" s="22">
        <v>0</v>
      </c>
      <c r="E69" s="22">
        <v>0</v>
      </c>
      <c r="F69" s="22">
        <v>0</v>
      </c>
      <c r="G69" s="22">
        <v>1</v>
      </c>
      <c r="H69" s="56">
        <v>0</v>
      </c>
      <c r="I69" s="22">
        <v>1</v>
      </c>
      <c r="J69">
        <f t="shared" si="0"/>
        <v>1</v>
      </c>
      <c r="K69">
        <f t="shared" si="1"/>
        <v>1</v>
      </c>
      <c r="L69">
        <f t="shared" si="2"/>
        <v>1</v>
      </c>
      <c r="M69">
        <f t="shared" si="3"/>
        <v>0</v>
      </c>
      <c r="N69">
        <v>15</v>
      </c>
    </row>
    <row r="70" spans="1:14" ht="15" customHeight="1" x14ac:dyDescent="0.2">
      <c r="A70" t="s">
        <v>75</v>
      </c>
      <c r="B70" s="56">
        <v>0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56">
        <v>0</v>
      </c>
      <c r="I70" s="22">
        <v>0</v>
      </c>
      <c r="J70">
        <f t="shared" si="0"/>
        <v>0</v>
      </c>
      <c r="K70">
        <f t="shared" si="1"/>
        <v>0</v>
      </c>
      <c r="L70">
        <f t="shared" si="2"/>
        <v>0</v>
      </c>
      <c r="M70">
        <f t="shared" si="3"/>
        <v>0</v>
      </c>
      <c r="N70">
        <v>15</v>
      </c>
    </row>
    <row r="71" spans="1:14" s="33" customFormat="1" ht="15" customHeight="1" x14ac:dyDescent="0.2">
      <c r="A71" s="33" t="s">
        <v>76</v>
      </c>
      <c r="B71" s="34">
        <v>0</v>
      </c>
      <c r="C71" s="34">
        <v>0</v>
      </c>
      <c r="D71" s="34">
        <v>0</v>
      </c>
      <c r="E71" s="34">
        <v>0</v>
      </c>
      <c r="F71" s="34">
        <v>0</v>
      </c>
      <c r="G71" s="34">
        <v>0</v>
      </c>
      <c r="H71" s="34">
        <v>2</v>
      </c>
      <c r="I71" s="34">
        <v>0</v>
      </c>
      <c r="J71" s="33">
        <f t="shared" si="0"/>
        <v>0</v>
      </c>
      <c r="K71" s="33">
        <f t="shared" si="1"/>
        <v>0</v>
      </c>
      <c r="L71" s="33">
        <f t="shared" si="2"/>
        <v>2</v>
      </c>
      <c r="M71" s="33">
        <f t="shared" si="3"/>
        <v>0</v>
      </c>
      <c r="N71">
        <v>15</v>
      </c>
    </row>
    <row r="72" spans="1:14" ht="15" customHeight="1" x14ac:dyDescent="0.2">
      <c r="A72" t="s">
        <v>77</v>
      </c>
      <c r="B72" s="56">
        <v>0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56">
        <v>0</v>
      </c>
      <c r="I72" s="22">
        <v>0</v>
      </c>
      <c r="J72">
        <f t="shared" si="0"/>
        <v>0</v>
      </c>
      <c r="K72">
        <f t="shared" si="1"/>
        <v>0</v>
      </c>
      <c r="L72">
        <f t="shared" si="2"/>
        <v>0</v>
      </c>
      <c r="M72">
        <f t="shared" si="3"/>
        <v>0</v>
      </c>
      <c r="N72">
        <v>15</v>
      </c>
    </row>
    <row r="73" spans="1:14" s="33" customFormat="1" ht="15" customHeight="1" x14ac:dyDescent="0.2">
      <c r="A73" s="33" t="s">
        <v>78</v>
      </c>
      <c r="B73" s="34">
        <v>0</v>
      </c>
      <c r="C73" s="34">
        <v>0</v>
      </c>
      <c r="D73" s="34">
        <v>0</v>
      </c>
      <c r="E73" s="34">
        <v>0</v>
      </c>
      <c r="F73" s="34">
        <v>0</v>
      </c>
      <c r="G73" s="34">
        <v>1</v>
      </c>
      <c r="H73" s="34">
        <v>1</v>
      </c>
      <c r="I73" s="34">
        <v>1</v>
      </c>
      <c r="J73" s="33">
        <f t="shared" si="0"/>
        <v>1</v>
      </c>
      <c r="K73" s="33">
        <f t="shared" si="1"/>
        <v>1</v>
      </c>
      <c r="L73" s="33">
        <f t="shared" si="2"/>
        <v>1</v>
      </c>
      <c r="M73" s="33">
        <f t="shared" si="3"/>
        <v>0</v>
      </c>
      <c r="N73">
        <v>15</v>
      </c>
    </row>
    <row r="74" spans="1:14" ht="15" customHeight="1" x14ac:dyDescent="0.2">
      <c r="A74" t="s">
        <v>79</v>
      </c>
      <c r="B74" s="56">
        <v>3</v>
      </c>
      <c r="C74" s="22">
        <v>0</v>
      </c>
      <c r="D74" s="22">
        <v>0</v>
      </c>
      <c r="E74" s="22">
        <v>1</v>
      </c>
      <c r="F74" s="22">
        <v>0</v>
      </c>
      <c r="G74" s="22">
        <v>0</v>
      </c>
      <c r="H74" s="56">
        <v>0</v>
      </c>
      <c r="I74" s="22">
        <v>0</v>
      </c>
      <c r="J74">
        <f t="shared" si="0"/>
        <v>0</v>
      </c>
      <c r="K74">
        <f t="shared" si="1"/>
        <v>1</v>
      </c>
      <c r="L74">
        <f t="shared" si="2"/>
        <v>3</v>
      </c>
      <c r="M74">
        <f t="shared" si="3"/>
        <v>0</v>
      </c>
      <c r="N74">
        <v>15</v>
      </c>
    </row>
    <row r="75" spans="1:14" ht="15" customHeight="1" x14ac:dyDescent="0.2">
      <c r="A75" t="s">
        <v>80</v>
      </c>
      <c r="B75" s="56">
        <v>0</v>
      </c>
      <c r="C75" s="22">
        <v>1</v>
      </c>
      <c r="D75" s="22">
        <v>0</v>
      </c>
      <c r="E75" s="22">
        <v>0</v>
      </c>
      <c r="F75" s="22">
        <v>0</v>
      </c>
      <c r="G75" s="22">
        <v>0</v>
      </c>
      <c r="H75" s="56">
        <v>0</v>
      </c>
      <c r="I75" s="22">
        <v>0</v>
      </c>
      <c r="J75">
        <f t="shared" ref="J75:J138" si="4">(C75+I75)</f>
        <v>1</v>
      </c>
      <c r="K75">
        <f t="shared" ref="K75:K138" si="5">(E75+G75)</f>
        <v>0</v>
      </c>
      <c r="L75">
        <f t="shared" ref="L75:L138" si="6">(B75+H75)</f>
        <v>0</v>
      </c>
      <c r="M75">
        <f t="shared" ref="M75:M138" si="7">(D75+F75)</f>
        <v>0</v>
      </c>
      <c r="N75">
        <v>15</v>
      </c>
    </row>
    <row r="76" spans="1:14" ht="15" customHeight="1" x14ac:dyDescent="0.2">
      <c r="A76" t="s">
        <v>81</v>
      </c>
      <c r="B76" s="56">
        <v>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56">
        <v>0</v>
      </c>
      <c r="I76" s="22">
        <v>0</v>
      </c>
      <c r="J76">
        <f t="shared" si="4"/>
        <v>0</v>
      </c>
      <c r="K76">
        <f t="shared" si="5"/>
        <v>0</v>
      </c>
      <c r="L76">
        <f t="shared" si="6"/>
        <v>0</v>
      </c>
      <c r="M76">
        <f t="shared" si="7"/>
        <v>0</v>
      </c>
      <c r="N76">
        <v>15</v>
      </c>
    </row>
    <row r="77" spans="1:14" ht="15" customHeight="1" x14ac:dyDescent="0.2">
      <c r="A77" t="s">
        <v>82</v>
      </c>
      <c r="B77" s="56">
        <v>0</v>
      </c>
      <c r="C77" s="22">
        <v>0</v>
      </c>
      <c r="D77" s="22">
        <v>0</v>
      </c>
      <c r="E77" s="22">
        <v>0</v>
      </c>
      <c r="F77" s="22">
        <v>0</v>
      </c>
      <c r="G77" s="22">
        <v>1</v>
      </c>
      <c r="H77" s="56">
        <v>0</v>
      </c>
      <c r="I77" s="22">
        <v>0</v>
      </c>
      <c r="J77">
        <f t="shared" si="4"/>
        <v>0</v>
      </c>
      <c r="K77">
        <f t="shared" si="5"/>
        <v>1</v>
      </c>
      <c r="L77">
        <f t="shared" si="6"/>
        <v>0</v>
      </c>
      <c r="M77">
        <f t="shared" si="7"/>
        <v>0</v>
      </c>
      <c r="N77">
        <v>15</v>
      </c>
    </row>
    <row r="78" spans="1:14" ht="15" customHeight="1" x14ac:dyDescent="0.2">
      <c r="A78" t="s">
        <v>83</v>
      </c>
      <c r="B78" s="56">
        <v>0</v>
      </c>
      <c r="C78" s="22">
        <v>1</v>
      </c>
      <c r="D78" s="22">
        <v>0</v>
      </c>
      <c r="E78" s="22">
        <v>0</v>
      </c>
      <c r="F78" s="22">
        <v>0</v>
      </c>
      <c r="G78" s="22">
        <v>0</v>
      </c>
      <c r="H78" s="56">
        <v>0</v>
      </c>
      <c r="I78" s="22">
        <v>1</v>
      </c>
      <c r="J78">
        <f t="shared" si="4"/>
        <v>2</v>
      </c>
      <c r="K78">
        <f t="shared" si="5"/>
        <v>0</v>
      </c>
      <c r="L78">
        <f t="shared" si="6"/>
        <v>0</v>
      </c>
      <c r="M78">
        <f t="shared" si="7"/>
        <v>0</v>
      </c>
      <c r="N78">
        <v>15</v>
      </c>
    </row>
    <row r="79" spans="1:14" ht="15" customHeight="1" x14ac:dyDescent="0.2">
      <c r="A79" t="s">
        <v>84</v>
      </c>
      <c r="B79" s="56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56">
        <v>0</v>
      </c>
      <c r="I79" s="22">
        <v>2</v>
      </c>
      <c r="J79">
        <f t="shared" si="4"/>
        <v>2</v>
      </c>
      <c r="K79">
        <f t="shared" si="5"/>
        <v>0</v>
      </c>
      <c r="L79">
        <f t="shared" si="6"/>
        <v>0</v>
      </c>
      <c r="M79">
        <f t="shared" si="7"/>
        <v>0</v>
      </c>
      <c r="N79">
        <v>15</v>
      </c>
    </row>
    <row r="80" spans="1:14" ht="15" customHeight="1" x14ac:dyDescent="0.2">
      <c r="A80" t="s">
        <v>85</v>
      </c>
      <c r="B80" s="56">
        <v>0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56">
        <v>0</v>
      </c>
      <c r="I80" s="22">
        <v>1</v>
      </c>
      <c r="J80">
        <f t="shared" si="4"/>
        <v>1</v>
      </c>
      <c r="K80">
        <f t="shared" si="5"/>
        <v>0</v>
      </c>
      <c r="L80">
        <f t="shared" si="6"/>
        <v>0</v>
      </c>
      <c r="M80">
        <f t="shared" si="7"/>
        <v>0</v>
      </c>
      <c r="N80">
        <v>15</v>
      </c>
    </row>
    <row r="81" spans="1:14" ht="15" customHeight="1" x14ac:dyDescent="0.2">
      <c r="A81" t="s">
        <v>86</v>
      </c>
      <c r="B81" s="56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56">
        <v>0</v>
      </c>
      <c r="I81" s="22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0</v>
      </c>
      <c r="N81">
        <v>15</v>
      </c>
    </row>
    <row r="82" spans="1:14" ht="15" customHeight="1" x14ac:dyDescent="0.2">
      <c r="A82" t="s">
        <v>87</v>
      </c>
      <c r="B82" s="56">
        <v>1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56">
        <v>0</v>
      </c>
      <c r="I82" s="22">
        <v>1</v>
      </c>
      <c r="J82">
        <f t="shared" si="4"/>
        <v>1</v>
      </c>
      <c r="K82">
        <f t="shared" si="5"/>
        <v>0</v>
      </c>
      <c r="L82">
        <f t="shared" si="6"/>
        <v>1</v>
      </c>
      <c r="M82">
        <f t="shared" si="7"/>
        <v>0</v>
      </c>
      <c r="N82">
        <v>15</v>
      </c>
    </row>
    <row r="83" spans="1:14" ht="15" customHeight="1" x14ac:dyDescent="0.2">
      <c r="A83" t="s">
        <v>88</v>
      </c>
      <c r="B83" s="56">
        <v>0</v>
      </c>
      <c r="C83" s="22">
        <v>1</v>
      </c>
      <c r="D83" s="22">
        <v>0</v>
      </c>
      <c r="E83" s="22">
        <v>0</v>
      </c>
      <c r="F83" s="22">
        <v>0</v>
      </c>
      <c r="G83" s="22">
        <v>0</v>
      </c>
      <c r="H83" s="56">
        <v>0</v>
      </c>
      <c r="I83" s="22">
        <v>0</v>
      </c>
      <c r="J83">
        <f t="shared" si="4"/>
        <v>1</v>
      </c>
      <c r="K83">
        <f t="shared" si="5"/>
        <v>0</v>
      </c>
      <c r="L83">
        <f t="shared" si="6"/>
        <v>0</v>
      </c>
      <c r="M83">
        <f t="shared" si="7"/>
        <v>0</v>
      </c>
      <c r="N83">
        <v>15</v>
      </c>
    </row>
    <row r="84" spans="1:14" ht="15" customHeight="1" x14ac:dyDescent="0.2">
      <c r="A84" t="s">
        <v>89</v>
      </c>
      <c r="B84" s="56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56">
        <v>0</v>
      </c>
      <c r="I84" s="22">
        <v>2</v>
      </c>
      <c r="J84">
        <f t="shared" si="4"/>
        <v>2</v>
      </c>
      <c r="K84">
        <f t="shared" si="5"/>
        <v>0</v>
      </c>
      <c r="L84">
        <f t="shared" si="6"/>
        <v>0</v>
      </c>
      <c r="M84">
        <f t="shared" si="7"/>
        <v>0</v>
      </c>
      <c r="N84">
        <v>15</v>
      </c>
    </row>
    <row r="85" spans="1:14" ht="15" customHeight="1" x14ac:dyDescent="0.2">
      <c r="A85" t="s">
        <v>90</v>
      </c>
      <c r="B85" s="56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56">
        <v>0</v>
      </c>
      <c r="I85" s="22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  <c r="N85">
        <v>15</v>
      </c>
    </row>
    <row r="86" spans="1:14" ht="15" customHeight="1" x14ac:dyDescent="0.2">
      <c r="A86" t="s">
        <v>91</v>
      </c>
      <c r="B86" s="56">
        <v>0</v>
      </c>
      <c r="C86" s="22">
        <v>1</v>
      </c>
      <c r="D86" s="22">
        <v>0</v>
      </c>
      <c r="E86" s="22">
        <v>0</v>
      </c>
      <c r="F86" s="22">
        <v>0</v>
      </c>
      <c r="G86" s="22">
        <v>0</v>
      </c>
      <c r="H86" s="56">
        <v>0</v>
      </c>
      <c r="I86" s="22">
        <v>0</v>
      </c>
      <c r="J86">
        <f t="shared" si="4"/>
        <v>1</v>
      </c>
      <c r="K86">
        <f t="shared" si="5"/>
        <v>0</v>
      </c>
      <c r="L86">
        <f t="shared" si="6"/>
        <v>0</v>
      </c>
      <c r="M86">
        <f t="shared" si="7"/>
        <v>0</v>
      </c>
      <c r="N86">
        <v>15</v>
      </c>
    </row>
    <row r="87" spans="1:14" ht="15" customHeight="1" x14ac:dyDescent="0.2">
      <c r="A87" t="s">
        <v>92</v>
      </c>
      <c r="B87" s="56">
        <v>0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56">
        <v>0</v>
      </c>
      <c r="I87" s="22">
        <v>0</v>
      </c>
      <c r="J87">
        <f t="shared" si="4"/>
        <v>0</v>
      </c>
      <c r="K87">
        <f t="shared" si="5"/>
        <v>0</v>
      </c>
      <c r="L87">
        <f t="shared" si="6"/>
        <v>0</v>
      </c>
      <c r="M87">
        <f t="shared" si="7"/>
        <v>0</v>
      </c>
      <c r="N87">
        <v>15</v>
      </c>
    </row>
    <row r="88" spans="1:14" s="33" customFormat="1" ht="15" customHeight="1" x14ac:dyDescent="0.2">
      <c r="A88" s="33" t="s">
        <v>93</v>
      </c>
      <c r="B88" s="34">
        <v>0</v>
      </c>
      <c r="C88" s="34">
        <v>2</v>
      </c>
      <c r="D88" s="34">
        <v>0</v>
      </c>
      <c r="E88" s="34">
        <v>0</v>
      </c>
      <c r="F88" s="34">
        <v>0</v>
      </c>
      <c r="G88" s="34">
        <v>0</v>
      </c>
      <c r="H88" s="34">
        <v>1</v>
      </c>
      <c r="I88" s="34">
        <v>0</v>
      </c>
      <c r="J88" s="33">
        <f t="shared" si="4"/>
        <v>2</v>
      </c>
      <c r="K88" s="33">
        <f t="shared" si="5"/>
        <v>0</v>
      </c>
      <c r="L88" s="33">
        <f t="shared" si="6"/>
        <v>1</v>
      </c>
      <c r="M88" s="33">
        <f t="shared" si="7"/>
        <v>0</v>
      </c>
      <c r="N88">
        <v>15</v>
      </c>
    </row>
    <row r="89" spans="1:14" ht="15" customHeight="1" x14ac:dyDescent="0.2">
      <c r="A89" t="s">
        <v>94</v>
      </c>
      <c r="B89" s="56">
        <v>0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56">
        <v>0</v>
      </c>
      <c r="I89" s="22">
        <v>1</v>
      </c>
      <c r="J89">
        <f t="shared" si="4"/>
        <v>1</v>
      </c>
      <c r="K89">
        <f t="shared" si="5"/>
        <v>0</v>
      </c>
      <c r="L89">
        <f t="shared" si="6"/>
        <v>0</v>
      </c>
      <c r="M89">
        <f t="shared" si="7"/>
        <v>0</v>
      </c>
      <c r="N89">
        <v>15</v>
      </c>
    </row>
    <row r="90" spans="1:14" ht="15" customHeight="1" x14ac:dyDescent="0.2">
      <c r="A90" t="s">
        <v>95</v>
      </c>
      <c r="B90" s="56">
        <v>2</v>
      </c>
      <c r="C90" s="22">
        <v>2</v>
      </c>
      <c r="D90" s="22">
        <v>0</v>
      </c>
      <c r="E90" s="22">
        <v>0</v>
      </c>
      <c r="F90" s="22">
        <v>0</v>
      </c>
      <c r="G90" s="22">
        <v>0</v>
      </c>
      <c r="H90" s="56">
        <v>0</v>
      </c>
      <c r="I90" s="22">
        <v>0</v>
      </c>
      <c r="J90">
        <f t="shared" si="4"/>
        <v>2</v>
      </c>
      <c r="K90">
        <f t="shared" si="5"/>
        <v>0</v>
      </c>
      <c r="L90">
        <f t="shared" si="6"/>
        <v>2</v>
      </c>
      <c r="M90">
        <f t="shared" si="7"/>
        <v>0</v>
      </c>
      <c r="N90">
        <v>15</v>
      </c>
    </row>
    <row r="91" spans="1:14" s="33" customFormat="1" ht="15" customHeight="1" x14ac:dyDescent="0.2">
      <c r="A91" s="33" t="s">
        <v>96</v>
      </c>
      <c r="B91" s="34">
        <v>0</v>
      </c>
      <c r="C91" s="34">
        <v>0</v>
      </c>
      <c r="D91" s="34">
        <v>0</v>
      </c>
      <c r="E91" s="34">
        <v>0</v>
      </c>
      <c r="F91" s="34">
        <v>0</v>
      </c>
      <c r="G91" s="34">
        <v>0</v>
      </c>
      <c r="H91" s="34">
        <v>1</v>
      </c>
      <c r="I91" s="34">
        <v>0</v>
      </c>
      <c r="J91" s="33">
        <f t="shared" si="4"/>
        <v>0</v>
      </c>
      <c r="K91" s="33">
        <f t="shared" si="5"/>
        <v>0</v>
      </c>
      <c r="L91" s="33">
        <f t="shared" si="6"/>
        <v>1</v>
      </c>
      <c r="M91" s="33">
        <f t="shared" si="7"/>
        <v>0</v>
      </c>
      <c r="N91">
        <v>15</v>
      </c>
    </row>
    <row r="92" spans="1:14" s="33" customFormat="1" ht="15" customHeight="1" x14ac:dyDescent="0.2">
      <c r="A92" s="33" t="s">
        <v>97</v>
      </c>
      <c r="B92" s="34">
        <v>0</v>
      </c>
      <c r="C92" s="34">
        <v>0</v>
      </c>
      <c r="D92" s="34">
        <v>0</v>
      </c>
      <c r="E92" s="34">
        <v>0</v>
      </c>
      <c r="F92" s="34">
        <v>0</v>
      </c>
      <c r="G92" s="34">
        <v>0</v>
      </c>
      <c r="H92" s="34">
        <v>1</v>
      </c>
      <c r="I92" s="34">
        <v>0</v>
      </c>
      <c r="J92" s="33">
        <f t="shared" si="4"/>
        <v>0</v>
      </c>
      <c r="K92" s="33">
        <f t="shared" si="5"/>
        <v>0</v>
      </c>
      <c r="L92" s="33">
        <f t="shared" si="6"/>
        <v>1</v>
      </c>
      <c r="M92" s="33">
        <f t="shared" si="7"/>
        <v>0</v>
      </c>
      <c r="N92">
        <v>15</v>
      </c>
    </row>
    <row r="93" spans="1:14" ht="15" customHeight="1" x14ac:dyDescent="0.2">
      <c r="A93" t="s">
        <v>98</v>
      </c>
      <c r="B93" s="56">
        <v>0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56">
        <v>0</v>
      </c>
      <c r="I93" s="22">
        <v>0</v>
      </c>
      <c r="J93">
        <f t="shared" si="4"/>
        <v>0</v>
      </c>
      <c r="K93">
        <f t="shared" si="5"/>
        <v>0</v>
      </c>
      <c r="L93">
        <f t="shared" si="6"/>
        <v>0</v>
      </c>
      <c r="M93">
        <f t="shared" si="7"/>
        <v>0</v>
      </c>
      <c r="N93">
        <v>15</v>
      </c>
    </row>
    <row r="94" spans="1:14" ht="15" customHeight="1" x14ac:dyDescent="0.2">
      <c r="A94" t="s">
        <v>99</v>
      </c>
      <c r="B94" s="56">
        <v>0</v>
      </c>
      <c r="C94" s="22">
        <v>0</v>
      </c>
      <c r="D94" s="22">
        <v>0</v>
      </c>
      <c r="E94" s="22">
        <v>0</v>
      </c>
      <c r="F94" s="22">
        <v>0</v>
      </c>
      <c r="G94" s="22">
        <v>1</v>
      </c>
      <c r="H94" s="56">
        <v>0</v>
      </c>
      <c r="I94" s="22">
        <v>1</v>
      </c>
      <c r="J94">
        <f t="shared" si="4"/>
        <v>1</v>
      </c>
      <c r="K94">
        <f t="shared" si="5"/>
        <v>1</v>
      </c>
      <c r="L94">
        <f t="shared" si="6"/>
        <v>0</v>
      </c>
      <c r="M94">
        <f t="shared" si="7"/>
        <v>0</v>
      </c>
      <c r="N94">
        <v>15</v>
      </c>
    </row>
    <row r="95" spans="1:14" ht="15" customHeight="1" x14ac:dyDescent="0.2">
      <c r="A95" t="s">
        <v>100</v>
      </c>
      <c r="B95" s="56">
        <v>0</v>
      </c>
      <c r="C95" s="22">
        <v>3</v>
      </c>
      <c r="D95" s="22">
        <v>0</v>
      </c>
      <c r="E95" s="22">
        <v>0</v>
      </c>
      <c r="F95" s="22">
        <v>0</v>
      </c>
      <c r="G95" s="22">
        <v>0</v>
      </c>
      <c r="H95" s="56">
        <v>0</v>
      </c>
      <c r="I95" s="22">
        <v>0</v>
      </c>
      <c r="J95">
        <f t="shared" si="4"/>
        <v>3</v>
      </c>
      <c r="K95">
        <f t="shared" si="5"/>
        <v>0</v>
      </c>
      <c r="L95">
        <f t="shared" si="6"/>
        <v>0</v>
      </c>
      <c r="M95">
        <f t="shared" si="7"/>
        <v>0</v>
      </c>
      <c r="N95">
        <v>15</v>
      </c>
    </row>
    <row r="96" spans="1:14" ht="15" customHeight="1" x14ac:dyDescent="0.2">
      <c r="A96" t="s">
        <v>101</v>
      </c>
      <c r="B96" s="56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56">
        <v>0</v>
      </c>
      <c r="I96" s="22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  <c r="N96">
        <v>15</v>
      </c>
    </row>
    <row r="97" spans="1:14" ht="15" customHeight="1" x14ac:dyDescent="0.2">
      <c r="A97" t="s">
        <v>102</v>
      </c>
      <c r="B97" s="56">
        <v>0</v>
      </c>
      <c r="C97" s="22">
        <v>0</v>
      </c>
      <c r="D97" s="22">
        <v>0</v>
      </c>
      <c r="E97" s="22">
        <v>0</v>
      </c>
      <c r="F97" s="22">
        <v>0</v>
      </c>
      <c r="G97" s="22">
        <v>0</v>
      </c>
      <c r="H97" s="56">
        <v>0</v>
      </c>
      <c r="I97" s="22">
        <v>0</v>
      </c>
      <c r="J97">
        <f t="shared" si="4"/>
        <v>0</v>
      </c>
      <c r="K97">
        <f t="shared" si="5"/>
        <v>0</v>
      </c>
      <c r="L97">
        <f t="shared" si="6"/>
        <v>0</v>
      </c>
      <c r="M97">
        <f t="shared" si="7"/>
        <v>0</v>
      </c>
      <c r="N97">
        <v>15</v>
      </c>
    </row>
    <row r="98" spans="1:14" ht="15" customHeight="1" x14ac:dyDescent="0.2">
      <c r="A98" t="s">
        <v>103</v>
      </c>
      <c r="B98" s="56">
        <v>0</v>
      </c>
      <c r="C98" s="22">
        <v>0</v>
      </c>
      <c r="D98" s="22">
        <v>0</v>
      </c>
      <c r="E98" s="22">
        <v>0</v>
      </c>
      <c r="F98" s="22">
        <v>1</v>
      </c>
      <c r="G98" s="22">
        <v>0</v>
      </c>
      <c r="H98" s="56">
        <v>0</v>
      </c>
      <c r="I98" s="22">
        <v>1</v>
      </c>
      <c r="J98">
        <f t="shared" si="4"/>
        <v>1</v>
      </c>
      <c r="K98">
        <f t="shared" si="5"/>
        <v>0</v>
      </c>
      <c r="L98">
        <f t="shared" si="6"/>
        <v>0</v>
      </c>
      <c r="M98">
        <f t="shared" si="7"/>
        <v>1</v>
      </c>
      <c r="N98">
        <v>15</v>
      </c>
    </row>
    <row r="99" spans="1:14" ht="15" customHeight="1" x14ac:dyDescent="0.2">
      <c r="A99" t="s">
        <v>104</v>
      </c>
      <c r="B99" s="56">
        <v>1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 s="56">
        <v>0</v>
      </c>
      <c r="I99" s="22">
        <v>0</v>
      </c>
      <c r="J99">
        <f t="shared" si="4"/>
        <v>0</v>
      </c>
      <c r="K99">
        <f t="shared" si="5"/>
        <v>0</v>
      </c>
      <c r="L99">
        <f t="shared" si="6"/>
        <v>1</v>
      </c>
      <c r="M99">
        <f t="shared" si="7"/>
        <v>0</v>
      </c>
      <c r="N99">
        <v>15</v>
      </c>
    </row>
    <row r="100" spans="1:14" ht="15" customHeight="1" x14ac:dyDescent="0.2">
      <c r="A100" t="s">
        <v>105</v>
      </c>
      <c r="B100" s="56">
        <v>0</v>
      </c>
      <c r="C100" s="22">
        <v>0</v>
      </c>
      <c r="D100" s="22">
        <v>0</v>
      </c>
      <c r="E100" s="22">
        <v>1</v>
      </c>
      <c r="F100" s="22">
        <v>0</v>
      </c>
      <c r="G100" s="22">
        <v>0</v>
      </c>
      <c r="H100" s="56">
        <v>0</v>
      </c>
      <c r="I100" s="22">
        <v>0</v>
      </c>
      <c r="J100">
        <f t="shared" si="4"/>
        <v>0</v>
      </c>
      <c r="K100">
        <f t="shared" si="5"/>
        <v>1</v>
      </c>
      <c r="L100">
        <f t="shared" si="6"/>
        <v>0</v>
      </c>
      <c r="M100">
        <f t="shared" si="7"/>
        <v>0</v>
      </c>
      <c r="N100">
        <v>15</v>
      </c>
    </row>
    <row r="101" spans="1:14" ht="15" customHeight="1" x14ac:dyDescent="0.2">
      <c r="A101" t="s">
        <v>106</v>
      </c>
      <c r="B101" s="56">
        <v>0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56">
        <v>0</v>
      </c>
      <c r="I101" s="22">
        <v>0</v>
      </c>
      <c r="J101">
        <f t="shared" si="4"/>
        <v>0</v>
      </c>
      <c r="K101">
        <f t="shared" si="5"/>
        <v>0</v>
      </c>
      <c r="L101">
        <f t="shared" si="6"/>
        <v>0</v>
      </c>
      <c r="M101">
        <f t="shared" si="7"/>
        <v>0</v>
      </c>
      <c r="N101">
        <v>15</v>
      </c>
    </row>
    <row r="102" spans="1:14" ht="15" customHeight="1" x14ac:dyDescent="0.2">
      <c r="A102" t="s">
        <v>107</v>
      </c>
      <c r="B102" s="56">
        <v>0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56">
        <v>0</v>
      </c>
      <c r="I102" s="22">
        <v>0</v>
      </c>
      <c r="J102">
        <f t="shared" si="4"/>
        <v>0</v>
      </c>
      <c r="K102">
        <f t="shared" si="5"/>
        <v>0</v>
      </c>
      <c r="L102">
        <f t="shared" si="6"/>
        <v>0</v>
      </c>
      <c r="M102">
        <f t="shared" si="7"/>
        <v>0</v>
      </c>
      <c r="N102">
        <v>15</v>
      </c>
    </row>
    <row r="103" spans="1:14" ht="15" customHeight="1" x14ac:dyDescent="0.2">
      <c r="A103" t="s">
        <v>108</v>
      </c>
      <c r="B103" s="56">
        <v>0</v>
      </c>
      <c r="C103" s="22">
        <v>0</v>
      </c>
      <c r="D103" s="22">
        <v>1</v>
      </c>
      <c r="E103" s="22">
        <v>0</v>
      </c>
      <c r="F103" s="22">
        <v>0</v>
      </c>
      <c r="G103" s="22">
        <v>0</v>
      </c>
      <c r="H103" s="56">
        <v>0</v>
      </c>
      <c r="I103" s="22">
        <v>0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1</v>
      </c>
      <c r="N103">
        <v>15</v>
      </c>
    </row>
    <row r="104" spans="1:14" ht="15" customHeight="1" x14ac:dyDescent="0.2">
      <c r="A104" t="s">
        <v>109</v>
      </c>
      <c r="B104" s="56">
        <v>0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56">
        <v>0</v>
      </c>
      <c r="I104" s="22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  <c r="N104">
        <v>15</v>
      </c>
    </row>
    <row r="105" spans="1:14" ht="15" customHeight="1" x14ac:dyDescent="0.2">
      <c r="A105" t="s">
        <v>110</v>
      </c>
      <c r="B105" s="56">
        <v>0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56">
        <v>0</v>
      </c>
      <c r="I105" s="22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  <c r="N105">
        <v>15</v>
      </c>
    </row>
    <row r="106" spans="1:14" ht="15" customHeight="1" x14ac:dyDescent="0.2">
      <c r="A106" t="s">
        <v>5</v>
      </c>
      <c r="B106" s="56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56">
        <v>0</v>
      </c>
      <c r="I106" s="22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  <c r="N106">
        <v>15</v>
      </c>
    </row>
    <row r="107" spans="1:14" ht="15" customHeight="1" x14ac:dyDescent="0.2">
      <c r="A107" t="s">
        <v>16</v>
      </c>
      <c r="B107" s="56">
        <v>0</v>
      </c>
      <c r="C107" s="22">
        <v>0</v>
      </c>
      <c r="D107" s="22">
        <v>1</v>
      </c>
      <c r="E107" s="22">
        <v>1</v>
      </c>
      <c r="F107" s="22">
        <v>0</v>
      </c>
      <c r="G107" s="22">
        <v>0</v>
      </c>
      <c r="H107" s="56">
        <v>0</v>
      </c>
      <c r="I107" s="22">
        <v>0</v>
      </c>
      <c r="J107">
        <f t="shared" si="4"/>
        <v>0</v>
      </c>
      <c r="K107">
        <f t="shared" si="5"/>
        <v>1</v>
      </c>
      <c r="L107">
        <f t="shared" si="6"/>
        <v>0</v>
      </c>
      <c r="M107">
        <f t="shared" si="7"/>
        <v>1</v>
      </c>
      <c r="N107">
        <v>15</v>
      </c>
    </row>
    <row r="108" spans="1:14" ht="15" customHeight="1" x14ac:dyDescent="0.2">
      <c r="A108" t="s">
        <v>17</v>
      </c>
      <c r="B108" s="56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56">
        <v>0</v>
      </c>
      <c r="I108" s="22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  <c r="N108">
        <v>15</v>
      </c>
    </row>
    <row r="109" spans="1:14" ht="15" customHeight="1" x14ac:dyDescent="0.2">
      <c r="A109" t="s">
        <v>18</v>
      </c>
      <c r="B109" s="56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56">
        <v>0</v>
      </c>
      <c r="I109" s="22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  <c r="N109">
        <v>15</v>
      </c>
    </row>
    <row r="110" spans="1:14" ht="15" customHeight="1" x14ac:dyDescent="0.2">
      <c r="A110" t="s">
        <v>19</v>
      </c>
      <c r="B110" s="56">
        <v>0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56">
        <v>0</v>
      </c>
      <c r="I110" s="22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  <c r="N110">
        <v>15</v>
      </c>
    </row>
    <row r="111" spans="1:14" ht="15" customHeight="1" x14ac:dyDescent="0.2">
      <c r="A111" t="s">
        <v>20</v>
      </c>
      <c r="B111" s="56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56">
        <v>0</v>
      </c>
      <c r="I111" s="22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  <c r="N111">
        <v>15</v>
      </c>
    </row>
    <row r="112" spans="1:14" ht="15" customHeight="1" x14ac:dyDescent="0.2">
      <c r="A112" t="s">
        <v>21</v>
      </c>
      <c r="B112" s="56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56">
        <v>0</v>
      </c>
      <c r="I112" s="2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  <c r="N112">
        <v>15</v>
      </c>
    </row>
    <row r="113" spans="1:14" ht="15" customHeight="1" x14ac:dyDescent="0.2">
      <c r="A113" t="s">
        <v>22</v>
      </c>
      <c r="B113" s="56">
        <v>0</v>
      </c>
      <c r="C113" s="22">
        <v>0</v>
      </c>
      <c r="D113" s="22">
        <v>0</v>
      </c>
      <c r="E113" s="22">
        <v>0</v>
      </c>
      <c r="F113" s="22">
        <v>0</v>
      </c>
      <c r="G113" s="22">
        <v>4</v>
      </c>
      <c r="H113" s="56">
        <v>0</v>
      </c>
      <c r="I113" s="22">
        <v>0</v>
      </c>
      <c r="J113">
        <f t="shared" si="4"/>
        <v>0</v>
      </c>
      <c r="K113">
        <f t="shared" si="5"/>
        <v>4</v>
      </c>
      <c r="L113">
        <f t="shared" si="6"/>
        <v>0</v>
      </c>
      <c r="M113">
        <f t="shared" si="7"/>
        <v>0</v>
      </c>
      <c r="N113">
        <v>15</v>
      </c>
    </row>
    <row r="114" spans="1:14" ht="15" customHeight="1" x14ac:dyDescent="0.2">
      <c r="A114" t="s">
        <v>23</v>
      </c>
      <c r="B114" s="56">
        <v>0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56">
        <v>0</v>
      </c>
      <c r="I114" s="22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  <c r="N114">
        <v>15</v>
      </c>
    </row>
    <row r="115" spans="1:14" ht="15" customHeight="1" x14ac:dyDescent="0.2">
      <c r="A115" t="s">
        <v>24</v>
      </c>
      <c r="B115" s="56">
        <v>0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56">
        <v>0</v>
      </c>
      <c r="I115" s="22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  <c r="N115">
        <v>15</v>
      </c>
    </row>
    <row r="116" spans="1:14" ht="15" customHeight="1" x14ac:dyDescent="0.2">
      <c r="A116" t="s">
        <v>25</v>
      </c>
      <c r="B116" s="56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56">
        <v>0</v>
      </c>
      <c r="I116" s="22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  <c r="N116">
        <v>15</v>
      </c>
    </row>
    <row r="117" spans="1:14" ht="15" customHeight="1" x14ac:dyDescent="0.2">
      <c r="A117" t="s">
        <v>26</v>
      </c>
      <c r="B117" s="56">
        <v>0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56">
        <v>0</v>
      </c>
      <c r="I117" s="22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  <c r="N117">
        <v>15</v>
      </c>
    </row>
    <row r="118" spans="1:14" ht="15" customHeight="1" x14ac:dyDescent="0.2">
      <c r="A118" t="s">
        <v>27</v>
      </c>
      <c r="B118" s="56">
        <v>0</v>
      </c>
      <c r="C118" s="22">
        <v>0</v>
      </c>
      <c r="D118" s="22">
        <v>0</v>
      </c>
      <c r="E118" s="22">
        <v>0</v>
      </c>
      <c r="F118" s="22">
        <v>0</v>
      </c>
      <c r="G118" s="22">
        <v>0</v>
      </c>
      <c r="H118" s="56">
        <v>1</v>
      </c>
      <c r="I118" s="22">
        <v>0</v>
      </c>
      <c r="J118">
        <f t="shared" si="4"/>
        <v>0</v>
      </c>
      <c r="K118">
        <f t="shared" si="5"/>
        <v>0</v>
      </c>
      <c r="L118">
        <f t="shared" si="6"/>
        <v>1</v>
      </c>
      <c r="M118">
        <f t="shared" si="7"/>
        <v>0</v>
      </c>
      <c r="N118">
        <v>15</v>
      </c>
    </row>
    <row r="119" spans="1:14" ht="15" customHeight="1" x14ac:dyDescent="0.2">
      <c r="A119" t="s">
        <v>28</v>
      </c>
      <c r="B119" s="56">
        <v>0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56">
        <v>0</v>
      </c>
      <c r="I119" s="22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  <c r="N119">
        <v>15</v>
      </c>
    </row>
    <row r="120" spans="1:14" ht="15" customHeight="1" x14ac:dyDescent="0.2">
      <c r="A120" t="s">
        <v>29</v>
      </c>
      <c r="B120" s="56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56">
        <v>0</v>
      </c>
      <c r="I120" s="22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  <c r="N120">
        <v>15</v>
      </c>
    </row>
    <row r="121" spans="1:14" ht="15" customHeight="1" x14ac:dyDescent="0.2">
      <c r="A121" t="s">
        <v>30</v>
      </c>
      <c r="B121" s="56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56">
        <v>0</v>
      </c>
      <c r="I121" s="22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  <c r="N121">
        <v>15</v>
      </c>
    </row>
    <row r="122" spans="1:14" ht="15" customHeight="1" x14ac:dyDescent="0.2">
      <c r="A122" t="s">
        <v>31</v>
      </c>
      <c r="B122" s="56">
        <v>0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56">
        <v>0</v>
      </c>
      <c r="I122" s="22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  <c r="N122">
        <v>15</v>
      </c>
    </row>
    <row r="123" spans="1:14" ht="15" customHeight="1" x14ac:dyDescent="0.2">
      <c r="A123" t="s">
        <v>32</v>
      </c>
      <c r="B123" s="56">
        <v>0</v>
      </c>
      <c r="C123" s="22">
        <v>0</v>
      </c>
      <c r="D123" s="22">
        <v>1</v>
      </c>
      <c r="E123" s="22">
        <v>0</v>
      </c>
      <c r="F123" s="22">
        <v>0</v>
      </c>
      <c r="G123" s="22">
        <v>0</v>
      </c>
      <c r="H123" s="56">
        <v>0</v>
      </c>
      <c r="I123" s="22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1</v>
      </c>
      <c r="N123">
        <v>15</v>
      </c>
    </row>
    <row r="124" spans="1:14" ht="15" customHeight="1" x14ac:dyDescent="0.2">
      <c r="A124" t="s">
        <v>33</v>
      </c>
      <c r="B124" s="56">
        <v>0</v>
      </c>
      <c r="C124" s="22">
        <v>0</v>
      </c>
      <c r="D124" s="22">
        <v>0</v>
      </c>
      <c r="E124" s="22">
        <v>0</v>
      </c>
      <c r="F124" s="22">
        <v>0</v>
      </c>
      <c r="G124" s="22">
        <v>0</v>
      </c>
      <c r="H124" s="56">
        <v>0</v>
      </c>
      <c r="I124" s="22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  <c r="N124">
        <v>15</v>
      </c>
    </row>
    <row r="125" spans="1:14" ht="15" customHeight="1" x14ac:dyDescent="0.2">
      <c r="A125" t="s">
        <v>34</v>
      </c>
      <c r="B125" s="56">
        <v>0</v>
      </c>
      <c r="C125" s="22">
        <v>0</v>
      </c>
      <c r="D125" s="22">
        <v>0</v>
      </c>
      <c r="E125" s="22">
        <v>0</v>
      </c>
      <c r="F125" s="22">
        <v>1</v>
      </c>
      <c r="G125" s="22">
        <v>0</v>
      </c>
      <c r="H125" s="56">
        <v>0</v>
      </c>
      <c r="I125" s="22">
        <v>1</v>
      </c>
      <c r="J125">
        <f t="shared" si="4"/>
        <v>1</v>
      </c>
      <c r="K125">
        <f t="shared" si="5"/>
        <v>0</v>
      </c>
      <c r="L125">
        <f t="shared" si="6"/>
        <v>0</v>
      </c>
      <c r="M125">
        <f t="shared" si="7"/>
        <v>1</v>
      </c>
      <c r="N125">
        <v>15</v>
      </c>
    </row>
    <row r="126" spans="1:14" ht="15" customHeight="1" x14ac:dyDescent="0.2">
      <c r="A126" t="s">
        <v>35</v>
      </c>
      <c r="B126" s="56">
        <v>0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 s="56">
        <v>1</v>
      </c>
      <c r="I126" s="22">
        <v>1</v>
      </c>
      <c r="J126">
        <f t="shared" si="4"/>
        <v>1</v>
      </c>
      <c r="K126">
        <f t="shared" si="5"/>
        <v>0</v>
      </c>
      <c r="L126">
        <f t="shared" si="6"/>
        <v>1</v>
      </c>
      <c r="M126">
        <f t="shared" si="7"/>
        <v>0</v>
      </c>
      <c r="N126">
        <v>15</v>
      </c>
    </row>
    <row r="127" spans="1:14" ht="15" customHeight="1" x14ac:dyDescent="0.2">
      <c r="A127" t="s">
        <v>36</v>
      </c>
      <c r="B127" s="56">
        <v>0</v>
      </c>
      <c r="C127" s="22">
        <v>0</v>
      </c>
      <c r="D127" s="22">
        <v>0</v>
      </c>
      <c r="E127" s="22">
        <v>0</v>
      </c>
      <c r="F127" s="22">
        <v>0</v>
      </c>
      <c r="G127" s="22">
        <v>1</v>
      </c>
      <c r="H127" s="56">
        <v>0</v>
      </c>
      <c r="I127" s="22">
        <v>0</v>
      </c>
      <c r="J127">
        <f t="shared" si="4"/>
        <v>0</v>
      </c>
      <c r="K127">
        <f t="shared" si="5"/>
        <v>1</v>
      </c>
      <c r="L127">
        <f t="shared" si="6"/>
        <v>0</v>
      </c>
      <c r="M127">
        <f t="shared" si="7"/>
        <v>0</v>
      </c>
      <c r="N127">
        <v>15</v>
      </c>
    </row>
    <row r="128" spans="1:14" ht="15" customHeight="1" x14ac:dyDescent="0.2">
      <c r="A128" t="s">
        <v>37</v>
      </c>
      <c r="B128" s="56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1</v>
      </c>
      <c r="H128" s="56">
        <v>0</v>
      </c>
      <c r="I128" s="22">
        <v>1</v>
      </c>
      <c r="J128">
        <f t="shared" si="4"/>
        <v>1</v>
      </c>
      <c r="K128">
        <f t="shared" si="5"/>
        <v>1</v>
      </c>
      <c r="L128">
        <f t="shared" si="6"/>
        <v>0</v>
      </c>
      <c r="M128">
        <f t="shared" si="7"/>
        <v>0</v>
      </c>
      <c r="N128">
        <v>15</v>
      </c>
    </row>
    <row r="129" spans="1:14" ht="15" customHeight="1" x14ac:dyDescent="0.2">
      <c r="A129" t="s">
        <v>38</v>
      </c>
      <c r="B129" s="56">
        <v>0</v>
      </c>
      <c r="C129" s="22">
        <v>0</v>
      </c>
      <c r="D129" s="22">
        <v>0</v>
      </c>
      <c r="E129" s="22">
        <v>1</v>
      </c>
      <c r="F129" s="22">
        <v>0</v>
      </c>
      <c r="G129" s="22">
        <v>0</v>
      </c>
      <c r="H129" s="56">
        <v>0</v>
      </c>
      <c r="I129" s="22">
        <v>0</v>
      </c>
      <c r="J129">
        <f t="shared" si="4"/>
        <v>0</v>
      </c>
      <c r="K129">
        <f t="shared" si="5"/>
        <v>1</v>
      </c>
      <c r="L129">
        <f t="shared" si="6"/>
        <v>0</v>
      </c>
      <c r="M129">
        <f t="shared" si="7"/>
        <v>0</v>
      </c>
      <c r="N129">
        <v>15</v>
      </c>
    </row>
    <row r="130" spans="1:14" ht="15" customHeight="1" x14ac:dyDescent="0.2">
      <c r="A130" t="s">
        <v>39</v>
      </c>
      <c r="B130" s="56">
        <v>0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56">
        <v>0</v>
      </c>
      <c r="I130" s="22">
        <v>0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  <c r="N130">
        <v>15</v>
      </c>
    </row>
    <row r="131" spans="1:14" ht="15" customHeight="1" x14ac:dyDescent="0.2">
      <c r="A131" t="s">
        <v>40</v>
      </c>
      <c r="B131" s="56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 s="56">
        <v>0</v>
      </c>
      <c r="I131" s="22">
        <v>1</v>
      </c>
      <c r="J131">
        <f t="shared" si="4"/>
        <v>1</v>
      </c>
      <c r="K131">
        <f t="shared" si="5"/>
        <v>0</v>
      </c>
      <c r="L131">
        <f t="shared" si="6"/>
        <v>0</v>
      </c>
      <c r="M131">
        <f t="shared" si="7"/>
        <v>0</v>
      </c>
      <c r="N131">
        <v>15</v>
      </c>
    </row>
    <row r="132" spans="1:14" ht="15" customHeight="1" x14ac:dyDescent="0.2">
      <c r="A132" t="s">
        <v>41</v>
      </c>
      <c r="B132" s="56">
        <v>0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 s="56">
        <v>0</v>
      </c>
      <c r="I132" s="22">
        <v>0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  <c r="N132">
        <v>15</v>
      </c>
    </row>
    <row r="133" spans="1:14" ht="15" customHeight="1" x14ac:dyDescent="0.2">
      <c r="A133" t="s">
        <v>42</v>
      </c>
      <c r="B133" s="56">
        <v>0</v>
      </c>
      <c r="C133" s="22">
        <v>0</v>
      </c>
      <c r="D133" s="22">
        <v>1</v>
      </c>
      <c r="E133" s="22">
        <v>1</v>
      </c>
      <c r="F133" s="22">
        <v>0</v>
      </c>
      <c r="G133" s="22">
        <v>0</v>
      </c>
      <c r="H133" s="56">
        <v>0</v>
      </c>
      <c r="I133" s="22">
        <v>0</v>
      </c>
      <c r="J133">
        <f t="shared" si="4"/>
        <v>0</v>
      </c>
      <c r="K133">
        <f t="shared" si="5"/>
        <v>1</v>
      </c>
      <c r="L133">
        <f t="shared" si="6"/>
        <v>0</v>
      </c>
      <c r="M133">
        <f t="shared" si="7"/>
        <v>1</v>
      </c>
      <c r="N133">
        <v>15</v>
      </c>
    </row>
    <row r="134" spans="1:14" ht="15" customHeight="1" x14ac:dyDescent="0.2">
      <c r="A134" t="s">
        <v>43</v>
      </c>
      <c r="B134" s="56">
        <v>0</v>
      </c>
      <c r="C134" s="22">
        <v>0</v>
      </c>
      <c r="D134" s="22">
        <v>1</v>
      </c>
      <c r="E134" s="22">
        <v>0</v>
      </c>
      <c r="F134" s="22">
        <v>0</v>
      </c>
      <c r="G134" s="22">
        <v>0</v>
      </c>
      <c r="H134" s="56">
        <v>0</v>
      </c>
      <c r="I134" s="22">
        <v>0</v>
      </c>
      <c r="J134">
        <f t="shared" si="4"/>
        <v>0</v>
      </c>
      <c r="K134">
        <f t="shared" si="5"/>
        <v>0</v>
      </c>
      <c r="L134">
        <f t="shared" si="6"/>
        <v>0</v>
      </c>
      <c r="M134">
        <f t="shared" si="7"/>
        <v>1</v>
      </c>
      <c r="N134">
        <v>15</v>
      </c>
    </row>
    <row r="135" spans="1:14" ht="15" customHeight="1" x14ac:dyDescent="0.2">
      <c r="A135" t="s">
        <v>44</v>
      </c>
      <c r="B135" s="56">
        <v>0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56">
        <v>0</v>
      </c>
      <c r="I135" s="22">
        <v>0</v>
      </c>
      <c r="J135">
        <f t="shared" si="4"/>
        <v>0</v>
      </c>
      <c r="K135">
        <f t="shared" si="5"/>
        <v>0</v>
      </c>
      <c r="L135">
        <f t="shared" si="6"/>
        <v>0</v>
      </c>
      <c r="M135">
        <f t="shared" si="7"/>
        <v>0</v>
      </c>
      <c r="N135">
        <v>15</v>
      </c>
    </row>
    <row r="136" spans="1:14" ht="15" customHeight="1" x14ac:dyDescent="0.2">
      <c r="A136" t="s">
        <v>45</v>
      </c>
      <c r="B136" s="56">
        <v>0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 s="56">
        <v>0</v>
      </c>
      <c r="I136" s="22">
        <v>0</v>
      </c>
      <c r="J136">
        <f t="shared" si="4"/>
        <v>0</v>
      </c>
      <c r="K136">
        <f t="shared" si="5"/>
        <v>0</v>
      </c>
      <c r="L136">
        <f t="shared" si="6"/>
        <v>0</v>
      </c>
      <c r="M136">
        <f t="shared" si="7"/>
        <v>0</v>
      </c>
      <c r="N136">
        <v>15</v>
      </c>
    </row>
    <row r="137" spans="1:14" ht="15" customHeight="1" x14ac:dyDescent="0.2">
      <c r="A137" t="s">
        <v>46</v>
      </c>
      <c r="B137" s="56">
        <v>0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56">
        <v>0</v>
      </c>
      <c r="I137" s="22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  <c r="N137">
        <v>15</v>
      </c>
    </row>
    <row r="138" spans="1:14" ht="15" customHeight="1" x14ac:dyDescent="0.2">
      <c r="A138" t="s">
        <v>47</v>
      </c>
      <c r="B138" s="56">
        <v>1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56">
        <v>0</v>
      </c>
      <c r="I138" s="22">
        <v>0</v>
      </c>
      <c r="J138">
        <f t="shared" si="4"/>
        <v>0</v>
      </c>
      <c r="K138">
        <f t="shared" si="5"/>
        <v>0</v>
      </c>
      <c r="L138">
        <f t="shared" si="6"/>
        <v>1</v>
      </c>
      <c r="M138">
        <f t="shared" si="7"/>
        <v>0</v>
      </c>
      <c r="N138">
        <v>15</v>
      </c>
    </row>
    <row r="139" spans="1:14" s="33" customFormat="1" ht="15" customHeight="1" x14ac:dyDescent="0.2">
      <c r="A139" s="33" t="s">
        <v>48</v>
      </c>
      <c r="B139" s="34">
        <v>1</v>
      </c>
      <c r="C139" s="34">
        <v>0</v>
      </c>
      <c r="D139" s="34">
        <v>0</v>
      </c>
      <c r="E139" s="34">
        <v>0</v>
      </c>
      <c r="F139" s="34">
        <v>0</v>
      </c>
      <c r="G139" s="34">
        <v>2</v>
      </c>
      <c r="H139" s="34">
        <v>1</v>
      </c>
      <c r="I139" s="34">
        <v>0</v>
      </c>
      <c r="J139" s="33">
        <f t="shared" ref="J139:J201" si="8">(C139+I139)</f>
        <v>0</v>
      </c>
      <c r="K139" s="33">
        <f t="shared" ref="K139:K201" si="9">(E139+G139)</f>
        <v>2</v>
      </c>
      <c r="L139" s="33">
        <f t="shared" ref="L139:L201" si="10">(B139+H139)</f>
        <v>2</v>
      </c>
      <c r="M139" s="33">
        <f t="shared" ref="M139:M201" si="11">(D139+F139)</f>
        <v>0</v>
      </c>
      <c r="N139">
        <v>15</v>
      </c>
    </row>
    <row r="140" spans="1:14" ht="15" customHeight="1" x14ac:dyDescent="0.2">
      <c r="A140" t="s">
        <v>49</v>
      </c>
      <c r="B140" s="56">
        <v>0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56">
        <v>0</v>
      </c>
      <c r="I140" s="22">
        <v>2</v>
      </c>
      <c r="J140">
        <f t="shared" si="8"/>
        <v>2</v>
      </c>
      <c r="K140">
        <f t="shared" si="9"/>
        <v>0</v>
      </c>
      <c r="L140">
        <f t="shared" si="10"/>
        <v>0</v>
      </c>
      <c r="M140">
        <f t="shared" si="11"/>
        <v>0</v>
      </c>
      <c r="N140">
        <v>15</v>
      </c>
    </row>
    <row r="141" spans="1:14" ht="15" customHeight="1" x14ac:dyDescent="0.2">
      <c r="A141" t="s">
        <v>50</v>
      </c>
      <c r="B141" s="56">
        <v>0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56">
        <v>0</v>
      </c>
      <c r="I141" s="22">
        <v>0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  <c r="N141">
        <v>15</v>
      </c>
    </row>
    <row r="142" spans="1:14" ht="15" customHeight="1" x14ac:dyDescent="0.2">
      <c r="A142" t="s">
        <v>51</v>
      </c>
      <c r="B142" s="56">
        <v>0</v>
      </c>
      <c r="C142" s="22">
        <v>0</v>
      </c>
      <c r="D142" s="22">
        <v>0</v>
      </c>
      <c r="E142" s="22">
        <v>1</v>
      </c>
      <c r="F142" s="22">
        <v>0</v>
      </c>
      <c r="G142" s="22">
        <v>1</v>
      </c>
      <c r="H142" s="56">
        <v>0</v>
      </c>
      <c r="I142" s="22">
        <v>0</v>
      </c>
      <c r="J142">
        <f t="shared" si="8"/>
        <v>0</v>
      </c>
      <c r="K142">
        <f t="shared" si="9"/>
        <v>2</v>
      </c>
      <c r="L142">
        <f t="shared" si="10"/>
        <v>0</v>
      </c>
      <c r="M142">
        <f t="shared" si="11"/>
        <v>0</v>
      </c>
      <c r="N142">
        <v>15</v>
      </c>
    </row>
    <row r="143" spans="1:14" ht="15" customHeight="1" x14ac:dyDescent="0.2">
      <c r="A143" t="s">
        <v>52</v>
      </c>
      <c r="B143" s="56">
        <v>1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56">
        <v>0</v>
      </c>
      <c r="I143" s="22">
        <v>0</v>
      </c>
      <c r="J143">
        <f t="shared" si="8"/>
        <v>0</v>
      </c>
      <c r="K143">
        <f t="shared" si="9"/>
        <v>0</v>
      </c>
      <c r="L143">
        <f t="shared" si="10"/>
        <v>1</v>
      </c>
      <c r="M143">
        <f t="shared" si="11"/>
        <v>0</v>
      </c>
      <c r="N143">
        <v>15</v>
      </c>
    </row>
    <row r="144" spans="1:14" ht="15" customHeight="1" x14ac:dyDescent="0.2">
      <c r="A144" t="s">
        <v>53</v>
      </c>
      <c r="B144" s="56">
        <v>0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56">
        <v>0</v>
      </c>
      <c r="I144" s="22">
        <v>1</v>
      </c>
      <c r="J144">
        <f t="shared" si="8"/>
        <v>1</v>
      </c>
      <c r="K144">
        <f t="shared" si="9"/>
        <v>0</v>
      </c>
      <c r="L144">
        <f t="shared" si="10"/>
        <v>0</v>
      </c>
      <c r="M144">
        <f t="shared" si="11"/>
        <v>0</v>
      </c>
      <c r="N144">
        <v>15</v>
      </c>
    </row>
    <row r="145" spans="1:14" s="33" customFormat="1" ht="15" customHeight="1" x14ac:dyDescent="0.2">
      <c r="A145" s="33" t="s">
        <v>54</v>
      </c>
      <c r="B145" s="34">
        <v>0</v>
      </c>
      <c r="C145" s="34">
        <v>0</v>
      </c>
      <c r="D145" s="34">
        <v>1</v>
      </c>
      <c r="E145" s="34">
        <v>0</v>
      </c>
      <c r="F145" s="34">
        <v>0</v>
      </c>
      <c r="G145" s="34">
        <v>0</v>
      </c>
      <c r="H145" s="34">
        <v>1</v>
      </c>
      <c r="I145" s="34">
        <v>0</v>
      </c>
      <c r="J145" s="33">
        <f t="shared" si="8"/>
        <v>0</v>
      </c>
      <c r="K145" s="33">
        <f t="shared" si="9"/>
        <v>0</v>
      </c>
      <c r="L145" s="33">
        <f t="shared" si="10"/>
        <v>1</v>
      </c>
      <c r="M145" s="33">
        <f t="shared" si="11"/>
        <v>1</v>
      </c>
      <c r="N145">
        <v>15</v>
      </c>
    </row>
    <row r="146" spans="1:14" s="33" customFormat="1" ht="15" customHeight="1" x14ac:dyDescent="0.2">
      <c r="A146" s="33" t="s">
        <v>55</v>
      </c>
      <c r="B146" s="34">
        <v>0</v>
      </c>
      <c r="C146" s="34">
        <v>0</v>
      </c>
      <c r="D146" s="34">
        <v>0</v>
      </c>
      <c r="E146" s="34">
        <v>0</v>
      </c>
      <c r="F146" s="34">
        <v>0</v>
      </c>
      <c r="G146" s="34">
        <v>0</v>
      </c>
      <c r="H146" s="34">
        <v>2</v>
      </c>
      <c r="I146" s="34">
        <v>0</v>
      </c>
      <c r="J146" s="33">
        <f t="shared" si="8"/>
        <v>0</v>
      </c>
      <c r="K146" s="33">
        <f t="shared" si="9"/>
        <v>0</v>
      </c>
      <c r="L146" s="33">
        <f t="shared" si="10"/>
        <v>2</v>
      </c>
      <c r="M146" s="33">
        <f t="shared" si="11"/>
        <v>0</v>
      </c>
      <c r="N146">
        <v>15</v>
      </c>
    </row>
    <row r="147" spans="1:14" ht="15" customHeight="1" x14ac:dyDescent="0.2">
      <c r="A147" t="s">
        <v>56</v>
      </c>
      <c r="B147" s="56">
        <v>0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56">
        <v>0</v>
      </c>
      <c r="I147" s="22">
        <v>0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  <c r="N147">
        <v>15</v>
      </c>
    </row>
    <row r="148" spans="1:14" s="33" customFormat="1" ht="15" customHeight="1" x14ac:dyDescent="0.2">
      <c r="A148" s="33" t="s">
        <v>57</v>
      </c>
      <c r="B148" s="34">
        <v>0</v>
      </c>
      <c r="C148" s="34">
        <v>0</v>
      </c>
      <c r="D148" s="34">
        <v>0</v>
      </c>
      <c r="E148" s="34">
        <v>0</v>
      </c>
      <c r="F148" s="34">
        <v>0</v>
      </c>
      <c r="G148" s="34">
        <v>0</v>
      </c>
      <c r="H148" s="34">
        <v>1</v>
      </c>
      <c r="I148" s="34">
        <v>0</v>
      </c>
      <c r="J148" s="33">
        <f t="shared" si="8"/>
        <v>0</v>
      </c>
      <c r="K148" s="33">
        <f t="shared" si="9"/>
        <v>0</v>
      </c>
      <c r="L148" s="33">
        <f t="shared" si="10"/>
        <v>1</v>
      </c>
      <c r="M148" s="33">
        <f t="shared" si="11"/>
        <v>0</v>
      </c>
      <c r="N148">
        <v>15</v>
      </c>
    </row>
    <row r="149" spans="1:14" ht="15" customHeight="1" x14ac:dyDescent="0.2">
      <c r="A149" t="s">
        <v>58</v>
      </c>
      <c r="B149" s="56">
        <v>0</v>
      </c>
      <c r="C149" s="22">
        <v>0</v>
      </c>
      <c r="D149" s="22">
        <v>1</v>
      </c>
      <c r="E149" s="22">
        <v>1</v>
      </c>
      <c r="F149" s="22">
        <v>0</v>
      </c>
      <c r="G149" s="22">
        <v>0</v>
      </c>
      <c r="H149" s="56">
        <v>0</v>
      </c>
      <c r="I149" s="22">
        <v>0</v>
      </c>
      <c r="J149">
        <f t="shared" si="8"/>
        <v>0</v>
      </c>
      <c r="K149">
        <f t="shared" si="9"/>
        <v>1</v>
      </c>
      <c r="L149">
        <f t="shared" si="10"/>
        <v>0</v>
      </c>
      <c r="M149">
        <f t="shared" si="11"/>
        <v>1</v>
      </c>
      <c r="N149">
        <v>15</v>
      </c>
    </row>
    <row r="150" spans="1:14" ht="15" customHeight="1" x14ac:dyDescent="0.2">
      <c r="A150" t="s">
        <v>59</v>
      </c>
      <c r="B150" s="56">
        <v>0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 s="56">
        <v>0</v>
      </c>
      <c r="I150" s="22">
        <v>0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  <c r="N150">
        <v>15</v>
      </c>
    </row>
    <row r="151" spans="1:14" ht="15" customHeight="1" x14ac:dyDescent="0.2">
      <c r="A151" t="s">
        <v>60</v>
      </c>
      <c r="B151" s="56">
        <v>0</v>
      </c>
      <c r="C151" s="22">
        <v>0</v>
      </c>
      <c r="D151" s="22">
        <v>0</v>
      </c>
      <c r="E151" s="22">
        <v>0</v>
      </c>
      <c r="F151" s="22">
        <v>0</v>
      </c>
      <c r="G151" s="22">
        <v>0</v>
      </c>
      <c r="H151" s="56">
        <v>0</v>
      </c>
      <c r="I151" s="22">
        <v>0</v>
      </c>
      <c r="J151">
        <f t="shared" si="8"/>
        <v>0</v>
      </c>
      <c r="K151">
        <f t="shared" si="9"/>
        <v>0</v>
      </c>
      <c r="L151">
        <f t="shared" si="10"/>
        <v>0</v>
      </c>
      <c r="M151">
        <f t="shared" si="11"/>
        <v>0</v>
      </c>
      <c r="N151">
        <v>15</v>
      </c>
    </row>
    <row r="152" spans="1:14" ht="15" customHeight="1" x14ac:dyDescent="0.2">
      <c r="A152" t="s">
        <v>61</v>
      </c>
      <c r="B152" s="56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56">
        <v>0</v>
      </c>
      <c r="I152" s="22">
        <v>0</v>
      </c>
      <c r="J152">
        <f t="shared" si="8"/>
        <v>0</v>
      </c>
      <c r="K152">
        <f t="shared" si="9"/>
        <v>0</v>
      </c>
      <c r="L152">
        <f t="shared" si="10"/>
        <v>0</v>
      </c>
      <c r="M152">
        <f t="shared" si="11"/>
        <v>0</v>
      </c>
      <c r="N152">
        <v>15</v>
      </c>
    </row>
    <row r="153" spans="1:14" ht="15" customHeight="1" x14ac:dyDescent="0.2">
      <c r="A153" t="s">
        <v>62</v>
      </c>
      <c r="B153" s="56">
        <v>0</v>
      </c>
      <c r="C153" s="22">
        <v>0</v>
      </c>
      <c r="D153" s="22">
        <v>0</v>
      </c>
      <c r="E153" s="22">
        <v>0</v>
      </c>
      <c r="F153" s="22">
        <v>0</v>
      </c>
      <c r="G153" s="22">
        <v>1</v>
      </c>
      <c r="H153" s="56">
        <v>0</v>
      </c>
      <c r="I153" s="22">
        <v>0</v>
      </c>
      <c r="J153">
        <f t="shared" si="8"/>
        <v>0</v>
      </c>
      <c r="K153">
        <f t="shared" si="9"/>
        <v>1</v>
      </c>
      <c r="L153">
        <f t="shared" si="10"/>
        <v>0</v>
      </c>
      <c r="M153">
        <f t="shared" si="11"/>
        <v>0</v>
      </c>
      <c r="N153">
        <v>15</v>
      </c>
    </row>
    <row r="154" spans="1:14" s="33" customFormat="1" ht="15" customHeight="1" x14ac:dyDescent="0.2">
      <c r="A154" s="33" t="s">
        <v>63</v>
      </c>
      <c r="B154" s="34">
        <v>1</v>
      </c>
      <c r="C154" s="34">
        <v>0</v>
      </c>
      <c r="D154" s="34">
        <v>0</v>
      </c>
      <c r="E154" s="34">
        <v>0</v>
      </c>
      <c r="F154" s="34">
        <v>0</v>
      </c>
      <c r="G154" s="34">
        <v>0</v>
      </c>
      <c r="H154" s="34">
        <v>2</v>
      </c>
      <c r="I154" s="34">
        <v>1</v>
      </c>
      <c r="J154" s="33">
        <f t="shared" si="8"/>
        <v>1</v>
      </c>
      <c r="K154" s="33">
        <f t="shared" si="9"/>
        <v>0</v>
      </c>
      <c r="L154" s="33">
        <f t="shared" si="10"/>
        <v>3</v>
      </c>
      <c r="M154" s="33">
        <f t="shared" si="11"/>
        <v>0</v>
      </c>
      <c r="N154">
        <v>15</v>
      </c>
    </row>
    <row r="155" spans="1:14" ht="15" customHeight="1" x14ac:dyDescent="0.2">
      <c r="A155" t="s">
        <v>64</v>
      </c>
      <c r="B155" s="56">
        <v>0</v>
      </c>
      <c r="C155" s="22">
        <v>0</v>
      </c>
      <c r="D155" s="22">
        <v>0</v>
      </c>
      <c r="E155" s="22">
        <v>0</v>
      </c>
      <c r="F155" s="22">
        <v>0</v>
      </c>
      <c r="G155" s="22">
        <v>1</v>
      </c>
      <c r="H155" s="56">
        <v>0</v>
      </c>
      <c r="I155" s="22">
        <v>0</v>
      </c>
      <c r="J155">
        <f t="shared" si="8"/>
        <v>0</v>
      </c>
      <c r="K155">
        <f t="shared" si="9"/>
        <v>1</v>
      </c>
      <c r="L155">
        <f t="shared" si="10"/>
        <v>0</v>
      </c>
      <c r="M155">
        <f t="shared" si="11"/>
        <v>0</v>
      </c>
      <c r="N155">
        <v>15</v>
      </c>
    </row>
    <row r="156" spans="1:14" s="33" customFormat="1" ht="15" customHeight="1" x14ac:dyDescent="0.2">
      <c r="A156" s="33" t="s">
        <v>65</v>
      </c>
      <c r="B156" s="34">
        <v>0</v>
      </c>
      <c r="C156" s="34">
        <v>0</v>
      </c>
      <c r="D156" s="34">
        <v>0</v>
      </c>
      <c r="E156" s="34">
        <v>0</v>
      </c>
      <c r="F156" s="34">
        <v>0</v>
      </c>
      <c r="G156" s="34">
        <v>0</v>
      </c>
      <c r="H156" s="34">
        <v>1</v>
      </c>
      <c r="I156" s="34">
        <v>1</v>
      </c>
      <c r="J156" s="33">
        <f t="shared" si="8"/>
        <v>1</v>
      </c>
      <c r="K156" s="33">
        <f t="shared" si="9"/>
        <v>0</v>
      </c>
      <c r="L156" s="33">
        <f t="shared" si="10"/>
        <v>1</v>
      </c>
      <c r="M156" s="33">
        <f t="shared" si="11"/>
        <v>0</v>
      </c>
      <c r="N156">
        <v>15</v>
      </c>
    </row>
    <row r="157" spans="1:14" ht="15" customHeight="1" x14ac:dyDescent="0.2">
      <c r="A157" t="s">
        <v>66</v>
      </c>
      <c r="B157" s="56">
        <v>0</v>
      </c>
      <c r="C157" s="22">
        <v>1</v>
      </c>
      <c r="D157" s="22">
        <v>0</v>
      </c>
      <c r="E157" s="22">
        <v>0</v>
      </c>
      <c r="F157" s="22">
        <v>0</v>
      </c>
      <c r="G157" s="22">
        <v>0</v>
      </c>
      <c r="H157" s="56">
        <v>0</v>
      </c>
      <c r="I157" s="22">
        <v>0</v>
      </c>
      <c r="J157">
        <f t="shared" si="8"/>
        <v>1</v>
      </c>
      <c r="K157">
        <f t="shared" si="9"/>
        <v>0</v>
      </c>
      <c r="L157">
        <f t="shared" si="10"/>
        <v>0</v>
      </c>
      <c r="M157">
        <f t="shared" si="11"/>
        <v>0</v>
      </c>
      <c r="N157">
        <v>15</v>
      </c>
    </row>
    <row r="158" spans="1:14" ht="15" customHeight="1" x14ac:dyDescent="0.2">
      <c r="A158" t="s">
        <v>67</v>
      </c>
      <c r="B158" s="56">
        <v>0</v>
      </c>
      <c r="C158" s="22">
        <v>0</v>
      </c>
      <c r="D158" s="22">
        <v>0</v>
      </c>
      <c r="E158" s="22">
        <v>0</v>
      </c>
      <c r="F158" s="22">
        <v>0</v>
      </c>
      <c r="G158" s="22">
        <v>1</v>
      </c>
      <c r="H158" s="56">
        <v>0</v>
      </c>
      <c r="I158" s="22">
        <v>0</v>
      </c>
      <c r="J158">
        <f t="shared" si="8"/>
        <v>0</v>
      </c>
      <c r="K158">
        <f t="shared" si="9"/>
        <v>1</v>
      </c>
      <c r="L158">
        <f t="shared" si="10"/>
        <v>0</v>
      </c>
      <c r="M158">
        <f t="shared" si="11"/>
        <v>0</v>
      </c>
      <c r="N158">
        <v>15</v>
      </c>
    </row>
    <row r="159" spans="1:14" ht="15" customHeight="1" x14ac:dyDescent="0.2">
      <c r="A159" t="s">
        <v>68</v>
      </c>
      <c r="B159" s="56">
        <v>0</v>
      </c>
      <c r="C159" s="22">
        <v>1</v>
      </c>
      <c r="D159" s="22">
        <v>0</v>
      </c>
      <c r="E159" s="22">
        <v>1</v>
      </c>
      <c r="F159" s="22">
        <v>0</v>
      </c>
      <c r="G159" s="22">
        <v>1</v>
      </c>
      <c r="H159" s="56">
        <v>0</v>
      </c>
      <c r="I159" s="22">
        <v>0</v>
      </c>
      <c r="J159">
        <f t="shared" si="8"/>
        <v>1</v>
      </c>
      <c r="K159">
        <f t="shared" si="9"/>
        <v>2</v>
      </c>
      <c r="L159">
        <f t="shared" si="10"/>
        <v>0</v>
      </c>
      <c r="M159">
        <f t="shared" si="11"/>
        <v>0</v>
      </c>
      <c r="N159">
        <v>15</v>
      </c>
    </row>
    <row r="160" spans="1:14" ht="15" customHeight="1" x14ac:dyDescent="0.2">
      <c r="A160" t="s">
        <v>69</v>
      </c>
      <c r="B160" s="56">
        <v>0</v>
      </c>
      <c r="C160" s="22">
        <v>1</v>
      </c>
      <c r="D160" s="22">
        <v>0</v>
      </c>
      <c r="E160" s="22">
        <v>0</v>
      </c>
      <c r="F160" s="22">
        <v>1</v>
      </c>
      <c r="G160" s="22">
        <v>0</v>
      </c>
      <c r="H160" s="56">
        <v>0</v>
      </c>
      <c r="I160" s="22">
        <v>1</v>
      </c>
      <c r="J160">
        <f t="shared" si="8"/>
        <v>2</v>
      </c>
      <c r="K160">
        <f t="shared" si="9"/>
        <v>0</v>
      </c>
      <c r="L160">
        <f t="shared" si="10"/>
        <v>0</v>
      </c>
      <c r="M160">
        <f t="shared" si="11"/>
        <v>1</v>
      </c>
      <c r="N160">
        <v>15</v>
      </c>
    </row>
    <row r="161" spans="1:14" ht="15" customHeight="1" x14ac:dyDescent="0.2">
      <c r="A161" t="s">
        <v>70</v>
      </c>
      <c r="B161" s="56">
        <v>0</v>
      </c>
      <c r="C161" s="22">
        <v>0</v>
      </c>
      <c r="D161" s="22">
        <v>0</v>
      </c>
      <c r="E161" s="22">
        <v>2</v>
      </c>
      <c r="F161" s="22">
        <v>0</v>
      </c>
      <c r="G161" s="22">
        <v>0</v>
      </c>
      <c r="H161" s="56">
        <v>0</v>
      </c>
      <c r="I161" s="22">
        <v>1</v>
      </c>
      <c r="J161">
        <f t="shared" si="8"/>
        <v>1</v>
      </c>
      <c r="K161">
        <f t="shared" si="9"/>
        <v>2</v>
      </c>
      <c r="L161">
        <f t="shared" si="10"/>
        <v>0</v>
      </c>
      <c r="M161">
        <f t="shared" si="11"/>
        <v>0</v>
      </c>
      <c r="N161">
        <v>15</v>
      </c>
    </row>
    <row r="162" spans="1:14" ht="15" customHeight="1" x14ac:dyDescent="0.2">
      <c r="A162" t="s">
        <v>71</v>
      </c>
      <c r="B162" s="56">
        <v>0</v>
      </c>
      <c r="C162" s="22">
        <v>0</v>
      </c>
      <c r="D162" s="22">
        <v>0</v>
      </c>
      <c r="E162" s="22">
        <v>0</v>
      </c>
      <c r="F162" s="22">
        <v>0</v>
      </c>
      <c r="G162" s="22">
        <v>0</v>
      </c>
      <c r="H162" s="56">
        <v>0</v>
      </c>
      <c r="I162" s="22">
        <v>0</v>
      </c>
      <c r="J162">
        <f t="shared" si="8"/>
        <v>0</v>
      </c>
      <c r="K162">
        <f t="shared" si="9"/>
        <v>0</v>
      </c>
      <c r="L162">
        <f t="shared" si="10"/>
        <v>0</v>
      </c>
      <c r="M162">
        <f t="shared" si="11"/>
        <v>0</v>
      </c>
      <c r="N162">
        <v>15</v>
      </c>
    </row>
    <row r="163" spans="1:14" ht="15" customHeight="1" x14ac:dyDescent="0.2">
      <c r="A163" t="s">
        <v>72</v>
      </c>
      <c r="B163" s="56">
        <v>0</v>
      </c>
      <c r="C163" s="22">
        <v>1</v>
      </c>
      <c r="D163" s="22">
        <v>0</v>
      </c>
      <c r="E163" s="22">
        <v>0</v>
      </c>
      <c r="F163" s="22">
        <v>0</v>
      </c>
      <c r="G163" s="22">
        <v>0</v>
      </c>
      <c r="H163" s="56">
        <v>0</v>
      </c>
      <c r="I163" s="22">
        <v>0</v>
      </c>
      <c r="J163">
        <f t="shared" si="8"/>
        <v>1</v>
      </c>
      <c r="K163">
        <f t="shared" si="9"/>
        <v>0</v>
      </c>
      <c r="L163">
        <f t="shared" si="10"/>
        <v>0</v>
      </c>
      <c r="M163">
        <f t="shared" si="11"/>
        <v>0</v>
      </c>
      <c r="N163">
        <v>15</v>
      </c>
    </row>
    <row r="164" spans="1:14" ht="15" customHeight="1" x14ac:dyDescent="0.2">
      <c r="A164" t="s">
        <v>73</v>
      </c>
      <c r="B164" s="56">
        <v>0</v>
      </c>
      <c r="C164" s="22">
        <v>0</v>
      </c>
      <c r="D164" s="22">
        <v>0</v>
      </c>
      <c r="E164" s="22">
        <v>1</v>
      </c>
      <c r="F164" s="22">
        <v>0</v>
      </c>
      <c r="G164" s="22">
        <v>0</v>
      </c>
      <c r="H164" s="56">
        <v>0</v>
      </c>
      <c r="I164" s="22">
        <v>0</v>
      </c>
      <c r="J164">
        <f t="shared" si="8"/>
        <v>0</v>
      </c>
      <c r="K164">
        <f t="shared" si="9"/>
        <v>1</v>
      </c>
      <c r="L164">
        <f t="shared" si="10"/>
        <v>0</v>
      </c>
      <c r="M164">
        <f t="shared" si="11"/>
        <v>0</v>
      </c>
      <c r="N164">
        <v>15</v>
      </c>
    </row>
    <row r="165" spans="1:14" s="33" customFormat="1" ht="15" customHeight="1" x14ac:dyDescent="0.2">
      <c r="A165" s="33" t="s">
        <v>74</v>
      </c>
      <c r="B165" s="34">
        <v>0</v>
      </c>
      <c r="C165" s="34">
        <v>0</v>
      </c>
      <c r="D165" s="34">
        <v>0</v>
      </c>
      <c r="E165" s="34">
        <v>0</v>
      </c>
      <c r="F165" s="34">
        <v>0</v>
      </c>
      <c r="G165" s="34">
        <v>0</v>
      </c>
      <c r="H165" s="34">
        <v>1</v>
      </c>
      <c r="I165" s="34">
        <v>0</v>
      </c>
      <c r="J165" s="33">
        <f t="shared" si="8"/>
        <v>0</v>
      </c>
      <c r="K165" s="33">
        <f t="shared" si="9"/>
        <v>0</v>
      </c>
      <c r="L165" s="33">
        <f t="shared" si="10"/>
        <v>1</v>
      </c>
      <c r="M165" s="33">
        <f t="shared" si="11"/>
        <v>0</v>
      </c>
      <c r="N165">
        <v>15</v>
      </c>
    </row>
    <row r="166" spans="1:14" s="33" customFormat="1" ht="15" customHeight="1" x14ac:dyDescent="0.2">
      <c r="A166" s="33" t="s">
        <v>75</v>
      </c>
      <c r="B166" s="34">
        <v>0</v>
      </c>
      <c r="C166" s="34">
        <v>1</v>
      </c>
      <c r="D166" s="34">
        <v>0</v>
      </c>
      <c r="E166" s="34">
        <v>0</v>
      </c>
      <c r="F166" s="34">
        <v>0</v>
      </c>
      <c r="G166" s="34">
        <v>0</v>
      </c>
      <c r="H166" s="34">
        <v>1</v>
      </c>
      <c r="I166" s="34">
        <v>0</v>
      </c>
      <c r="J166" s="33">
        <f t="shared" si="8"/>
        <v>1</v>
      </c>
      <c r="K166" s="33">
        <f t="shared" si="9"/>
        <v>0</v>
      </c>
      <c r="L166" s="33">
        <f t="shared" si="10"/>
        <v>1</v>
      </c>
      <c r="M166" s="33">
        <f t="shared" si="11"/>
        <v>0</v>
      </c>
      <c r="N166">
        <v>15</v>
      </c>
    </row>
    <row r="167" spans="1:14" s="33" customFormat="1" ht="15" customHeight="1" x14ac:dyDescent="0.2">
      <c r="A167" s="33" t="s">
        <v>76</v>
      </c>
      <c r="B167" s="34">
        <v>0</v>
      </c>
      <c r="C167" s="34">
        <v>0</v>
      </c>
      <c r="D167" s="34">
        <v>0</v>
      </c>
      <c r="E167" s="34">
        <v>0</v>
      </c>
      <c r="F167" s="34">
        <v>0</v>
      </c>
      <c r="G167" s="34">
        <v>1</v>
      </c>
      <c r="H167" s="34">
        <v>1</v>
      </c>
      <c r="I167" s="34">
        <v>0</v>
      </c>
      <c r="J167" s="33">
        <f t="shared" si="8"/>
        <v>0</v>
      </c>
      <c r="K167" s="33">
        <f t="shared" si="9"/>
        <v>1</v>
      </c>
      <c r="L167" s="33">
        <f t="shared" si="10"/>
        <v>1</v>
      </c>
      <c r="M167" s="33">
        <f t="shared" si="11"/>
        <v>0</v>
      </c>
      <c r="N167">
        <v>15</v>
      </c>
    </row>
    <row r="168" spans="1:14" ht="15" customHeight="1" x14ac:dyDescent="0.2">
      <c r="A168" t="s">
        <v>77</v>
      </c>
      <c r="B168" s="56">
        <v>0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 s="56">
        <v>0</v>
      </c>
      <c r="I168" s="22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  <c r="N168">
        <v>15</v>
      </c>
    </row>
    <row r="169" spans="1:14" ht="15" customHeight="1" x14ac:dyDescent="0.2">
      <c r="A169" t="s">
        <v>78</v>
      </c>
      <c r="B169" s="56">
        <v>0</v>
      </c>
      <c r="C169" s="22">
        <v>0</v>
      </c>
      <c r="D169" s="22">
        <v>0</v>
      </c>
      <c r="E169" s="22">
        <v>0</v>
      </c>
      <c r="F169" s="22">
        <v>0</v>
      </c>
      <c r="G169" s="22">
        <v>1</v>
      </c>
      <c r="H169" s="56">
        <v>0</v>
      </c>
      <c r="I169" s="22">
        <v>1</v>
      </c>
      <c r="J169">
        <f t="shared" si="8"/>
        <v>1</v>
      </c>
      <c r="K169">
        <f t="shared" si="9"/>
        <v>1</v>
      </c>
      <c r="L169">
        <f t="shared" si="10"/>
        <v>0</v>
      </c>
      <c r="M169">
        <f t="shared" si="11"/>
        <v>0</v>
      </c>
      <c r="N169">
        <v>15</v>
      </c>
    </row>
    <row r="170" spans="1:14" ht="15" customHeight="1" x14ac:dyDescent="0.2">
      <c r="A170" t="s">
        <v>79</v>
      </c>
      <c r="B170" s="56">
        <v>1</v>
      </c>
      <c r="C170" s="22">
        <v>0</v>
      </c>
      <c r="D170" s="22">
        <v>0</v>
      </c>
      <c r="E170" s="22">
        <v>1</v>
      </c>
      <c r="F170" s="22">
        <v>0</v>
      </c>
      <c r="G170" s="22">
        <v>0</v>
      </c>
      <c r="H170" s="56">
        <v>0</v>
      </c>
      <c r="I170" s="22">
        <v>0</v>
      </c>
      <c r="J170">
        <f t="shared" si="8"/>
        <v>0</v>
      </c>
      <c r="K170">
        <f t="shared" si="9"/>
        <v>1</v>
      </c>
      <c r="L170">
        <f t="shared" si="10"/>
        <v>1</v>
      </c>
      <c r="M170">
        <f t="shared" si="11"/>
        <v>0</v>
      </c>
      <c r="N170">
        <v>15</v>
      </c>
    </row>
    <row r="171" spans="1:14" ht="15" customHeight="1" x14ac:dyDescent="0.2">
      <c r="A171" t="s">
        <v>80</v>
      </c>
      <c r="B171" s="56">
        <v>0</v>
      </c>
      <c r="C171" s="22">
        <v>1</v>
      </c>
      <c r="D171" s="22">
        <v>0</v>
      </c>
      <c r="E171" s="22">
        <v>0</v>
      </c>
      <c r="F171" s="22">
        <v>0</v>
      </c>
      <c r="G171" s="22">
        <v>0</v>
      </c>
      <c r="H171" s="56">
        <v>0</v>
      </c>
      <c r="I171" s="22">
        <v>1</v>
      </c>
      <c r="J171">
        <f t="shared" si="8"/>
        <v>2</v>
      </c>
      <c r="K171">
        <f t="shared" si="9"/>
        <v>0</v>
      </c>
      <c r="L171">
        <f t="shared" si="10"/>
        <v>0</v>
      </c>
      <c r="M171">
        <f t="shared" si="11"/>
        <v>0</v>
      </c>
      <c r="N171">
        <v>15</v>
      </c>
    </row>
    <row r="172" spans="1:14" ht="15" customHeight="1" x14ac:dyDescent="0.2">
      <c r="A172" t="s">
        <v>81</v>
      </c>
      <c r="B172" s="56">
        <v>0</v>
      </c>
      <c r="C172" s="22">
        <v>1</v>
      </c>
      <c r="D172" s="22">
        <v>0</v>
      </c>
      <c r="E172" s="22">
        <v>1</v>
      </c>
      <c r="F172" s="22">
        <v>0</v>
      </c>
      <c r="G172" s="22">
        <v>0</v>
      </c>
      <c r="H172" s="56">
        <v>0</v>
      </c>
      <c r="I172" s="22">
        <v>1</v>
      </c>
      <c r="J172">
        <f t="shared" si="8"/>
        <v>2</v>
      </c>
      <c r="K172">
        <f t="shared" si="9"/>
        <v>1</v>
      </c>
      <c r="L172">
        <f t="shared" si="10"/>
        <v>0</v>
      </c>
      <c r="M172">
        <f t="shared" si="11"/>
        <v>0</v>
      </c>
      <c r="N172">
        <v>15</v>
      </c>
    </row>
    <row r="173" spans="1:14" s="33" customFormat="1" ht="15" customHeight="1" x14ac:dyDescent="0.2">
      <c r="A173" s="33" t="s">
        <v>82</v>
      </c>
      <c r="B173" s="34">
        <v>0</v>
      </c>
      <c r="C173" s="34">
        <v>0</v>
      </c>
      <c r="D173" s="34">
        <v>0</v>
      </c>
      <c r="E173" s="34">
        <v>0</v>
      </c>
      <c r="F173" s="34">
        <v>0</v>
      </c>
      <c r="G173" s="34">
        <v>0</v>
      </c>
      <c r="H173" s="34">
        <v>1</v>
      </c>
      <c r="I173" s="34">
        <v>0</v>
      </c>
      <c r="J173" s="33">
        <f t="shared" si="8"/>
        <v>0</v>
      </c>
      <c r="K173" s="33">
        <f t="shared" si="9"/>
        <v>0</v>
      </c>
      <c r="L173" s="33">
        <f t="shared" si="10"/>
        <v>1</v>
      </c>
      <c r="M173" s="33">
        <f t="shared" si="11"/>
        <v>0</v>
      </c>
      <c r="N173">
        <v>15</v>
      </c>
    </row>
    <row r="174" spans="1:14" s="33" customFormat="1" ht="15" customHeight="1" x14ac:dyDescent="0.2">
      <c r="A174" s="33" t="s">
        <v>83</v>
      </c>
      <c r="B174" s="34">
        <v>0</v>
      </c>
      <c r="C174" s="34">
        <v>2</v>
      </c>
      <c r="D174" s="34">
        <v>0</v>
      </c>
      <c r="E174" s="34">
        <v>0</v>
      </c>
      <c r="F174" s="34">
        <v>0</v>
      </c>
      <c r="G174" s="34">
        <v>0</v>
      </c>
      <c r="H174" s="34">
        <v>1</v>
      </c>
      <c r="I174" s="34">
        <v>2</v>
      </c>
      <c r="J174" s="33">
        <f t="shared" si="8"/>
        <v>4</v>
      </c>
      <c r="K174" s="33">
        <f t="shared" si="9"/>
        <v>0</v>
      </c>
      <c r="L174" s="33">
        <f t="shared" si="10"/>
        <v>1</v>
      </c>
      <c r="M174" s="33">
        <f t="shared" si="11"/>
        <v>0</v>
      </c>
      <c r="N174">
        <v>15</v>
      </c>
    </row>
    <row r="175" spans="1:14" ht="15" customHeight="1" x14ac:dyDescent="0.2">
      <c r="A175" t="s">
        <v>84</v>
      </c>
      <c r="B175" s="56">
        <v>0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56">
        <v>0</v>
      </c>
      <c r="I175" s="22">
        <v>0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  <c r="N175">
        <v>15</v>
      </c>
    </row>
    <row r="176" spans="1:14" s="33" customFormat="1" ht="15" customHeight="1" x14ac:dyDescent="0.2">
      <c r="A176" s="33" t="s">
        <v>85</v>
      </c>
      <c r="B176" s="34">
        <v>0</v>
      </c>
      <c r="C176" s="34">
        <v>1</v>
      </c>
      <c r="D176" s="34">
        <v>0</v>
      </c>
      <c r="E176" s="34">
        <v>0</v>
      </c>
      <c r="F176" s="34">
        <v>0</v>
      </c>
      <c r="G176" s="34">
        <v>0</v>
      </c>
      <c r="H176" s="34">
        <v>1</v>
      </c>
      <c r="I176" s="34">
        <v>0</v>
      </c>
      <c r="J176" s="33">
        <f t="shared" si="8"/>
        <v>1</v>
      </c>
      <c r="K176" s="33">
        <f t="shared" si="9"/>
        <v>0</v>
      </c>
      <c r="L176" s="33">
        <f t="shared" si="10"/>
        <v>1</v>
      </c>
      <c r="M176" s="33">
        <f t="shared" si="11"/>
        <v>0</v>
      </c>
      <c r="N176">
        <v>15</v>
      </c>
    </row>
    <row r="177" spans="1:14" ht="15" customHeight="1" x14ac:dyDescent="0.2">
      <c r="A177" t="s">
        <v>86</v>
      </c>
      <c r="B177" s="56">
        <v>0</v>
      </c>
      <c r="C177" s="22">
        <v>1</v>
      </c>
      <c r="D177" s="22">
        <v>0</v>
      </c>
      <c r="E177" s="22">
        <v>0</v>
      </c>
      <c r="F177" s="22">
        <v>0</v>
      </c>
      <c r="G177" s="22">
        <v>0</v>
      </c>
      <c r="H177" s="56">
        <v>0</v>
      </c>
      <c r="I177" s="22">
        <v>0</v>
      </c>
      <c r="J177">
        <f t="shared" si="8"/>
        <v>1</v>
      </c>
      <c r="K177">
        <f t="shared" si="9"/>
        <v>0</v>
      </c>
      <c r="L177">
        <f t="shared" si="10"/>
        <v>0</v>
      </c>
      <c r="M177">
        <f t="shared" si="11"/>
        <v>0</v>
      </c>
      <c r="N177">
        <v>15</v>
      </c>
    </row>
    <row r="178" spans="1:14" ht="15" customHeight="1" x14ac:dyDescent="0.2">
      <c r="A178" t="s">
        <v>87</v>
      </c>
      <c r="B178" s="56">
        <v>0</v>
      </c>
      <c r="C178" s="22">
        <v>0</v>
      </c>
      <c r="D178" s="22">
        <v>0</v>
      </c>
      <c r="E178" s="22">
        <v>0</v>
      </c>
      <c r="F178" s="22">
        <v>1</v>
      </c>
      <c r="G178" s="22">
        <v>0</v>
      </c>
      <c r="H178" s="56">
        <v>0</v>
      </c>
      <c r="I178" s="22">
        <v>0</v>
      </c>
      <c r="J178">
        <f t="shared" si="8"/>
        <v>0</v>
      </c>
      <c r="K178">
        <f t="shared" si="9"/>
        <v>0</v>
      </c>
      <c r="L178">
        <f t="shared" si="10"/>
        <v>0</v>
      </c>
      <c r="M178">
        <f t="shared" si="11"/>
        <v>1</v>
      </c>
      <c r="N178">
        <v>15</v>
      </c>
    </row>
    <row r="179" spans="1:14" ht="15" customHeight="1" x14ac:dyDescent="0.2">
      <c r="A179" t="s">
        <v>88</v>
      </c>
      <c r="B179" s="56">
        <v>0</v>
      </c>
      <c r="C179" s="22">
        <v>1</v>
      </c>
      <c r="D179" s="22">
        <v>0</v>
      </c>
      <c r="E179" s="22">
        <v>0</v>
      </c>
      <c r="F179" s="22">
        <v>0</v>
      </c>
      <c r="G179" s="22">
        <v>1</v>
      </c>
      <c r="H179" s="56">
        <v>0</v>
      </c>
      <c r="I179" s="22">
        <v>1</v>
      </c>
      <c r="J179">
        <f t="shared" si="8"/>
        <v>2</v>
      </c>
      <c r="K179">
        <f t="shared" si="9"/>
        <v>1</v>
      </c>
      <c r="L179">
        <f t="shared" si="10"/>
        <v>0</v>
      </c>
      <c r="M179">
        <f t="shared" si="11"/>
        <v>0</v>
      </c>
      <c r="N179">
        <v>15</v>
      </c>
    </row>
    <row r="180" spans="1:14" ht="15" customHeight="1" x14ac:dyDescent="0.2">
      <c r="A180" t="s">
        <v>89</v>
      </c>
      <c r="B180" s="56">
        <v>0</v>
      </c>
      <c r="C180" s="22">
        <v>0</v>
      </c>
      <c r="D180" s="22">
        <v>0</v>
      </c>
      <c r="E180" s="22">
        <v>0</v>
      </c>
      <c r="F180" s="22">
        <v>0</v>
      </c>
      <c r="G180" s="22">
        <v>0</v>
      </c>
      <c r="H180" s="56">
        <v>0</v>
      </c>
      <c r="I180" s="22">
        <v>0</v>
      </c>
      <c r="J180">
        <f t="shared" si="8"/>
        <v>0</v>
      </c>
      <c r="K180">
        <f t="shared" si="9"/>
        <v>0</v>
      </c>
      <c r="L180">
        <f t="shared" si="10"/>
        <v>0</v>
      </c>
      <c r="M180">
        <f t="shared" si="11"/>
        <v>0</v>
      </c>
      <c r="N180">
        <v>15</v>
      </c>
    </row>
    <row r="181" spans="1:14" ht="15" customHeight="1" x14ac:dyDescent="0.2">
      <c r="A181" t="s">
        <v>90</v>
      </c>
      <c r="B181" s="56">
        <v>0</v>
      </c>
      <c r="C181" s="22">
        <v>0</v>
      </c>
      <c r="D181" s="22">
        <v>0</v>
      </c>
      <c r="E181" s="22">
        <v>0</v>
      </c>
      <c r="F181" s="22">
        <v>0</v>
      </c>
      <c r="G181" s="22">
        <v>0</v>
      </c>
      <c r="H181" s="56">
        <v>0</v>
      </c>
      <c r="I181" s="22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  <c r="N181">
        <v>15</v>
      </c>
    </row>
    <row r="182" spans="1:14" ht="15" customHeight="1" x14ac:dyDescent="0.2">
      <c r="A182" t="s">
        <v>91</v>
      </c>
      <c r="B182" s="56">
        <v>1</v>
      </c>
      <c r="C182" s="22">
        <v>1</v>
      </c>
      <c r="D182" s="22">
        <v>0</v>
      </c>
      <c r="E182" s="22">
        <v>0</v>
      </c>
      <c r="F182" s="22">
        <v>0</v>
      </c>
      <c r="G182" s="22">
        <v>0</v>
      </c>
      <c r="H182" s="56">
        <v>0</v>
      </c>
      <c r="I182" s="22">
        <v>0</v>
      </c>
      <c r="J182">
        <f t="shared" si="8"/>
        <v>1</v>
      </c>
      <c r="K182">
        <f t="shared" si="9"/>
        <v>0</v>
      </c>
      <c r="L182">
        <f t="shared" si="10"/>
        <v>1</v>
      </c>
      <c r="M182">
        <f t="shared" si="11"/>
        <v>0</v>
      </c>
      <c r="N182">
        <v>15</v>
      </c>
    </row>
    <row r="183" spans="1:14" ht="15" customHeight="1" x14ac:dyDescent="0.2">
      <c r="A183" t="s">
        <v>92</v>
      </c>
      <c r="B183" s="56">
        <v>2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56">
        <v>0</v>
      </c>
      <c r="I183" s="22">
        <v>0</v>
      </c>
      <c r="J183">
        <f t="shared" si="8"/>
        <v>0</v>
      </c>
      <c r="K183">
        <f t="shared" si="9"/>
        <v>0</v>
      </c>
      <c r="L183">
        <f t="shared" si="10"/>
        <v>2</v>
      </c>
      <c r="M183">
        <f t="shared" si="11"/>
        <v>0</v>
      </c>
      <c r="N183">
        <v>15</v>
      </c>
    </row>
    <row r="184" spans="1:14" ht="15" customHeight="1" x14ac:dyDescent="0.2">
      <c r="A184" t="s">
        <v>93</v>
      </c>
      <c r="B184" s="56">
        <v>2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56">
        <v>0</v>
      </c>
      <c r="I184" s="22">
        <v>0</v>
      </c>
      <c r="J184">
        <f t="shared" si="8"/>
        <v>0</v>
      </c>
      <c r="K184">
        <f t="shared" si="9"/>
        <v>0</v>
      </c>
      <c r="L184">
        <f t="shared" si="10"/>
        <v>2</v>
      </c>
      <c r="M184">
        <f t="shared" si="11"/>
        <v>0</v>
      </c>
      <c r="N184">
        <v>15</v>
      </c>
    </row>
    <row r="185" spans="1:14" ht="15" customHeight="1" x14ac:dyDescent="0.2">
      <c r="A185" t="s">
        <v>94</v>
      </c>
      <c r="B185" s="56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56">
        <v>0</v>
      </c>
      <c r="I185" s="22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  <c r="N185">
        <v>15</v>
      </c>
    </row>
    <row r="186" spans="1:14" ht="15" customHeight="1" x14ac:dyDescent="0.2">
      <c r="A186" t="s">
        <v>95</v>
      </c>
      <c r="B186" s="56">
        <v>1</v>
      </c>
      <c r="C186" s="22">
        <v>0</v>
      </c>
      <c r="D186" s="22">
        <v>0</v>
      </c>
      <c r="E186" s="22">
        <v>0</v>
      </c>
      <c r="F186" s="22">
        <v>0</v>
      </c>
      <c r="G186" s="22">
        <v>1</v>
      </c>
      <c r="H186" s="56">
        <v>0</v>
      </c>
      <c r="I186" s="22">
        <v>0</v>
      </c>
      <c r="J186">
        <f t="shared" si="8"/>
        <v>0</v>
      </c>
      <c r="K186">
        <f t="shared" si="9"/>
        <v>1</v>
      </c>
      <c r="L186">
        <f t="shared" si="10"/>
        <v>1</v>
      </c>
      <c r="M186">
        <f t="shared" si="11"/>
        <v>0</v>
      </c>
      <c r="N186">
        <v>15</v>
      </c>
    </row>
    <row r="187" spans="1:14" ht="15" customHeight="1" x14ac:dyDescent="0.2">
      <c r="A187" t="s">
        <v>96</v>
      </c>
      <c r="B187" s="56">
        <v>0</v>
      </c>
      <c r="C187" s="22">
        <v>0</v>
      </c>
      <c r="D187" s="22">
        <v>0</v>
      </c>
      <c r="E187" s="22">
        <v>0</v>
      </c>
      <c r="F187" s="22">
        <v>0</v>
      </c>
      <c r="G187" s="22">
        <v>1</v>
      </c>
      <c r="H187" s="56">
        <v>0</v>
      </c>
      <c r="I187" s="22">
        <v>0</v>
      </c>
      <c r="J187">
        <f t="shared" si="8"/>
        <v>0</v>
      </c>
      <c r="K187">
        <f t="shared" si="9"/>
        <v>1</v>
      </c>
      <c r="L187">
        <f t="shared" si="10"/>
        <v>0</v>
      </c>
      <c r="M187">
        <f t="shared" si="11"/>
        <v>0</v>
      </c>
      <c r="N187">
        <v>15</v>
      </c>
    </row>
    <row r="188" spans="1:14" ht="15" customHeight="1" x14ac:dyDescent="0.2">
      <c r="A188" t="s">
        <v>97</v>
      </c>
      <c r="B188" s="56">
        <v>0</v>
      </c>
      <c r="C188" s="22">
        <v>0</v>
      </c>
      <c r="D188" s="22">
        <v>1</v>
      </c>
      <c r="E188" s="22">
        <v>0</v>
      </c>
      <c r="F188" s="22">
        <v>0</v>
      </c>
      <c r="G188" s="22">
        <v>0</v>
      </c>
      <c r="H188" s="56">
        <v>0</v>
      </c>
      <c r="I188" s="22">
        <v>1</v>
      </c>
      <c r="J188">
        <f t="shared" si="8"/>
        <v>1</v>
      </c>
      <c r="K188">
        <f t="shared" si="9"/>
        <v>0</v>
      </c>
      <c r="L188">
        <f t="shared" si="10"/>
        <v>0</v>
      </c>
      <c r="M188">
        <f t="shared" si="11"/>
        <v>1</v>
      </c>
      <c r="N188">
        <v>15</v>
      </c>
    </row>
    <row r="189" spans="1:14" ht="15" customHeight="1" x14ac:dyDescent="0.2">
      <c r="A189" t="s">
        <v>98</v>
      </c>
      <c r="B189" s="56">
        <v>0</v>
      </c>
      <c r="C189" s="22">
        <v>0</v>
      </c>
      <c r="D189" s="22">
        <v>0</v>
      </c>
      <c r="E189" s="22">
        <v>1</v>
      </c>
      <c r="F189" s="22">
        <v>0</v>
      </c>
      <c r="G189" s="22">
        <v>0</v>
      </c>
      <c r="H189" s="56">
        <v>0</v>
      </c>
      <c r="I189" s="22">
        <v>0</v>
      </c>
      <c r="J189">
        <f t="shared" si="8"/>
        <v>0</v>
      </c>
      <c r="K189">
        <f t="shared" si="9"/>
        <v>1</v>
      </c>
      <c r="L189">
        <f t="shared" si="10"/>
        <v>0</v>
      </c>
      <c r="M189">
        <f t="shared" si="11"/>
        <v>0</v>
      </c>
      <c r="N189">
        <v>15</v>
      </c>
    </row>
    <row r="190" spans="1:14" ht="15" customHeight="1" x14ac:dyDescent="0.2">
      <c r="A190" t="s">
        <v>99</v>
      </c>
      <c r="B190" s="56">
        <v>0</v>
      </c>
      <c r="C190" s="22">
        <v>0</v>
      </c>
      <c r="D190" s="22">
        <v>1</v>
      </c>
      <c r="E190" s="22">
        <v>0</v>
      </c>
      <c r="F190" s="22">
        <v>0</v>
      </c>
      <c r="G190" s="22">
        <v>0</v>
      </c>
      <c r="H190" s="56">
        <v>0</v>
      </c>
      <c r="I190" s="22">
        <v>0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1</v>
      </c>
      <c r="N190">
        <v>15</v>
      </c>
    </row>
    <row r="191" spans="1:14" ht="15" customHeight="1" x14ac:dyDescent="0.2">
      <c r="A191" t="s">
        <v>100</v>
      </c>
      <c r="B191" s="56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56">
        <v>0</v>
      </c>
      <c r="I191" s="22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  <c r="N191">
        <v>15</v>
      </c>
    </row>
    <row r="192" spans="1:14" ht="15" customHeight="1" x14ac:dyDescent="0.2">
      <c r="A192" t="s">
        <v>101</v>
      </c>
      <c r="B192" s="56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56">
        <v>1</v>
      </c>
      <c r="I192" s="22">
        <v>0</v>
      </c>
      <c r="J192">
        <f t="shared" si="8"/>
        <v>0</v>
      </c>
      <c r="K192">
        <f t="shared" si="9"/>
        <v>0</v>
      </c>
      <c r="L192">
        <f t="shared" si="10"/>
        <v>1</v>
      </c>
      <c r="M192">
        <f t="shared" si="11"/>
        <v>0</v>
      </c>
      <c r="N192">
        <v>15</v>
      </c>
    </row>
    <row r="193" spans="1:14" ht="15" customHeight="1" x14ac:dyDescent="0.2">
      <c r="A193" t="s">
        <v>102</v>
      </c>
      <c r="B193" s="56">
        <v>0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56">
        <v>0</v>
      </c>
      <c r="I193" s="22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  <c r="N193">
        <v>15</v>
      </c>
    </row>
    <row r="194" spans="1:14" ht="15" customHeight="1" x14ac:dyDescent="0.2">
      <c r="A194" t="s">
        <v>103</v>
      </c>
      <c r="B194" s="56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56">
        <v>0</v>
      </c>
      <c r="I194" s="22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  <c r="N194">
        <v>15</v>
      </c>
    </row>
    <row r="195" spans="1:14" ht="15" customHeight="1" x14ac:dyDescent="0.2">
      <c r="A195" t="s">
        <v>104</v>
      </c>
      <c r="B195" s="56">
        <v>0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56">
        <v>0</v>
      </c>
      <c r="I195" s="22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  <c r="N195">
        <v>15</v>
      </c>
    </row>
    <row r="196" spans="1:14" ht="15" customHeight="1" x14ac:dyDescent="0.2">
      <c r="A196" t="s">
        <v>105</v>
      </c>
      <c r="B196" s="56">
        <v>0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56">
        <v>0</v>
      </c>
      <c r="I196" s="22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  <c r="N196">
        <v>15</v>
      </c>
    </row>
    <row r="197" spans="1:14" ht="15" customHeight="1" x14ac:dyDescent="0.2">
      <c r="A197" t="s">
        <v>106</v>
      </c>
      <c r="B197" s="56">
        <v>0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 s="56">
        <v>0</v>
      </c>
      <c r="I197" s="22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  <c r="N197">
        <v>15</v>
      </c>
    </row>
    <row r="198" spans="1:14" ht="15" customHeight="1" x14ac:dyDescent="0.2">
      <c r="A198" t="s">
        <v>107</v>
      </c>
      <c r="B198" s="56">
        <v>0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 s="56">
        <v>1</v>
      </c>
      <c r="I198" s="22">
        <v>0</v>
      </c>
      <c r="J198">
        <f t="shared" si="8"/>
        <v>0</v>
      </c>
      <c r="K198">
        <f t="shared" si="9"/>
        <v>0</v>
      </c>
      <c r="L198">
        <f t="shared" si="10"/>
        <v>1</v>
      </c>
      <c r="M198">
        <f t="shared" si="11"/>
        <v>0</v>
      </c>
      <c r="N198">
        <v>15</v>
      </c>
    </row>
    <row r="199" spans="1:14" ht="15" customHeight="1" x14ac:dyDescent="0.2">
      <c r="A199" t="s">
        <v>108</v>
      </c>
      <c r="B199" s="56">
        <v>0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 s="56">
        <v>0</v>
      </c>
      <c r="I199" s="22">
        <v>0</v>
      </c>
      <c r="J199">
        <f t="shared" si="8"/>
        <v>0</v>
      </c>
      <c r="K199">
        <f t="shared" si="9"/>
        <v>0</v>
      </c>
      <c r="L199">
        <f t="shared" si="10"/>
        <v>0</v>
      </c>
      <c r="M199">
        <f t="shared" si="11"/>
        <v>0</v>
      </c>
      <c r="N199">
        <v>15</v>
      </c>
    </row>
    <row r="200" spans="1:14" ht="15" customHeight="1" x14ac:dyDescent="0.2">
      <c r="A200" t="s">
        <v>109</v>
      </c>
      <c r="B200" s="56">
        <v>0</v>
      </c>
      <c r="C200" s="22">
        <v>0</v>
      </c>
      <c r="D200" s="22">
        <v>0</v>
      </c>
      <c r="E200" s="22">
        <v>0</v>
      </c>
      <c r="F200" s="22">
        <v>0</v>
      </c>
      <c r="G200" s="22">
        <v>1</v>
      </c>
      <c r="H200" s="56">
        <v>0</v>
      </c>
      <c r="I200" s="22">
        <v>0</v>
      </c>
      <c r="J200">
        <f t="shared" si="8"/>
        <v>0</v>
      </c>
      <c r="K200">
        <f t="shared" si="9"/>
        <v>1</v>
      </c>
      <c r="L200">
        <f t="shared" si="10"/>
        <v>0</v>
      </c>
      <c r="M200">
        <f t="shared" si="11"/>
        <v>0</v>
      </c>
      <c r="N200">
        <v>15</v>
      </c>
    </row>
    <row r="201" spans="1:14" ht="15" customHeight="1" x14ac:dyDescent="0.2">
      <c r="A201" t="s">
        <v>110</v>
      </c>
      <c r="B201" s="56">
        <v>0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56">
        <v>0</v>
      </c>
      <c r="I201" s="22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  <c r="N201">
        <v>15</v>
      </c>
    </row>
    <row r="202" spans="1:14" ht="15" customHeight="1" x14ac:dyDescent="0.2">
      <c r="B202" s="45">
        <f t="shared" ref="B202:M202" si="12">SUM(B10:B201)</f>
        <v>32</v>
      </c>
      <c r="C202">
        <f t="shared" si="12"/>
        <v>26</v>
      </c>
      <c r="D202">
        <f t="shared" si="12"/>
        <v>15</v>
      </c>
      <c r="E202">
        <f t="shared" si="12"/>
        <v>16</v>
      </c>
      <c r="F202">
        <f t="shared" si="12"/>
        <v>8</v>
      </c>
      <c r="G202">
        <f t="shared" si="12"/>
        <v>33</v>
      </c>
      <c r="H202" s="45">
        <f t="shared" si="12"/>
        <v>40</v>
      </c>
      <c r="I202">
        <f t="shared" si="12"/>
        <v>46</v>
      </c>
      <c r="J202">
        <f t="shared" si="12"/>
        <v>72</v>
      </c>
      <c r="K202">
        <f t="shared" si="12"/>
        <v>49</v>
      </c>
      <c r="L202">
        <f t="shared" si="12"/>
        <v>72</v>
      </c>
      <c r="M202">
        <f t="shared" si="12"/>
        <v>23</v>
      </c>
      <c r="N202" s="80">
        <f t="shared" ref="N202" si="13">SUM(N10:N201)</f>
        <v>2880</v>
      </c>
    </row>
    <row r="204" spans="1:14" ht="15" customHeight="1" x14ac:dyDescent="0.2">
      <c r="K204" s="88" t="s">
        <v>212</v>
      </c>
      <c r="L204" s="6">
        <f>SUM(L36:L91,L132:L187)</f>
        <v>55</v>
      </c>
      <c r="N204" s="28">
        <f>SUM(N36:N91,N132:N187)/60</f>
        <v>28</v>
      </c>
    </row>
    <row r="205" spans="1:14" ht="15" customHeight="1" x14ac:dyDescent="0.2">
      <c r="K205" s="88" t="s">
        <v>213</v>
      </c>
      <c r="L205" s="6">
        <f>L202-L204</f>
        <v>17</v>
      </c>
      <c r="N205" s="28">
        <f>48-N204</f>
        <v>20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pane xSplit="1" ySplit="9" topLeftCell="B187" activePane="bottomRight" state="frozen"/>
      <selection pane="topRight" activeCell="B1" sqref="B1"/>
      <selection pane="bottomLeft" activeCell="A10" sqref="A10"/>
      <selection pane="bottomRight" activeCell="K204" sqref="K204:L205"/>
    </sheetView>
  </sheetViews>
  <sheetFormatPr defaultColWidth="12.140625" defaultRowHeight="15" customHeight="1" x14ac:dyDescent="0.2"/>
  <cols>
    <col min="1" max="1" width="10.7109375" customWidth="1"/>
    <col min="2" max="2" width="10.42578125" customWidth="1"/>
    <col min="3" max="3" width="10.42578125" style="45" customWidth="1"/>
    <col min="4" max="4" width="9.85546875" hidden="1" customWidth="1"/>
    <col min="5" max="5" width="11.140625" hidden="1" customWidth="1"/>
    <col min="6" max="7" width="10.42578125" hidden="1" customWidth="1"/>
    <col min="8" max="8" width="9.85546875" hidden="1" customWidth="1"/>
    <col min="9" max="9" width="9.85546875" style="45" customWidth="1"/>
  </cols>
  <sheetData>
    <row r="1" spans="1:13" ht="15" customHeight="1" x14ac:dyDescent="0.3">
      <c r="A1" s="111" t="s">
        <v>0</v>
      </c>
      <c r="B1" s="111"/>
      <c r="C1" s="112" t="s">
        <v>163</v>
      </c>
      <c r="D1" s="112"/>
      <c r="E1" s="112"/>
      <c r="F1" s="112"/>
    </row>
    <row r="2" spans="1:13" ht="15" customHeight="1" x14ac:dyDescent="0.3">
      <c r="A2" s="111" t="s">
        <v>2</v>
      </c>
      <c r="B2" s="111"/>
      <c r="C2" s="112" t="s">
        <v>160</v>
      </c>
      <c r="D2" s="112"/>
      <c r="E2" s="112"/>
      <c r="F2" s="112"/>
    </row>
    <row r="3" spans="1:13" ht="15" customHeight="1" x14ac:dyDescent="0.3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3">
      <c r="A4" s="111" t="s">
        <v>6</v>
      </c>
      <c r="B4" s="111"/>
      <c r="C4" s="112" t="s">
        <v>7</v>
      </c>
      <c r="D4" s="112"/>
      <c r="E4" s="112"/>
      <c r="F4" s="112"/>
    </row>
    <row r="7" spans="1:13" s="1" customFormat="1" ht="30.75" customHeight="1" x14ac:dyDescent="0.3">
      <c r="A7" s="2" t="s">
        <v>8</v>
      </c>
      <c r="B7" s="3" t="s">
        <v>162</v>
      </c>
      <c r="C7" s="43" t="s">
        <v>164</v>
      </c>
      <c r="D7" s="3" t="s">
        <v>162</v>
      </c>
      <c r="E7" s="3" t="s">
        <v>164</v>
      </c>
      <c r="F7" s="3" t="s">
        <v>167</v>
      </c>
      <c r="G7" s="3" t="s">
        <v>168</v>
      </c>
      <c r="H7" s="3" t="s">
        <v>167</v>
      </c>
      <c r="I7" s="43" t="s">
        <v>168</v>
      </c>
    </row>
    <row r="8" spans="1:13" s="1" customFormat="1" ht="15" customHeight="1" x14ac:dyDescent="0.3">
      <c r="A8" s="2" t="s">
        <v>13</v>
      </c>
      <c r="B8" s="3" t="s">
        <v>128</v>
      </c>
      <c r="C8" s="43" t="s">
        <v>128</v>
      </c>
      <c r="D8" s="3" t="s">
        <v>129</v>
      </c>
      <c r="E8" s="3" t="s">
        <v>129</v>
      </c>
      <c r="F8" s="3" t="s">
        <v>128</v>
      </c>
      <c r="G8" s="3" t="s">
        <v>128</v>
      </c>
      <c r="H8" s="3" t="s">
        <v>129</v>
      </c>
      <c r="I8" s="43" t="s">
        <v>129</v>
      </c>
    </row>
    <row r="9" spans="1:13" s="1" customFormat="1" ht="30.75" customHeight="1" x14ac:dyDescent="0.2">
      <c r="B9" s="17" t="s">
        <v>113</v>
      </c>
      <c r="C9" s="55" t="s">
        <v>114</v>
      </c>
      <c r="D9" s="17" t="s">
        <v>111</v>
      </c>
      <c r="E9" s="16" t="s">
        <v>112</v>
      </c>
      <c r="F9" s="17" t="s">
        <v>111</v>
      </c>
      <c r="G9" s="16" t="s">
        <v>112</v>
      </c>
      <c r="H9" s="17" t="s">
        <v>113</v>
      </c>
      <c r="I9" s="55" t="s">
        <v>114</v>
      </c>
      <c r="J9" s="17" t="s">
        <v>113</v>
      </c>
      <c r="K9" s="17" t="s">
        <v>111</v>
      </c>
      <c r="L9" s="92" t="s">
        <v>114</v>
      </c>
      <c r="M9" s="16" t="s">
        <v>112</v>
      </c>
    </row>
    <row r="10" spans="1:13" ht="15" customHeight="1" x14ac:dyDescent="0.2">
      <c r="A10" t="s">
        <v>5</v>
      </c>
      <c r="B10" s="22">
        <v>1</v>
      </c>
      <c r="C10" s="56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56">
        <v>0</v>
      </c>
      <c r="J10">
        <f>(B10+H10)</f>
        <v>1</v>
      </c>
      <c r="K10">
        <f>(D10+F10)</f>
        <v>0</v>
      </c>
      <c r="L10">
        <f>(C10+I10)</f>
        <v>0</v>
      </c>
      <c r="M10">
        <f>(E10+G10)</f>
        <v>0</v>
      </c>
    </row>
    <row r="11" spans="1:13" ht="15" customHeight="1" x14ac:dyDescent="0.2">
      <c r="A11" t="s">
        <v>16</v>
      </c>
      <c r="B11" s="22">
        <v>1</v>
      </c>
      <c r="C11" s="56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56">
        <v>0</v>
      </c>
      <c r="J11">
        <f t="shared" ref="J11:J74" si="0">(B11+H11)</f>
        <v>1</v>
      </c>
      <c r="K11">
        <f t="shared" ref="K11:K74" si="1">(D11+F11)</f>
        <v>0</v>
      </c>
      <c r="L11">
        <f t="shared" ref="L11:L74" si="2">(C11+I11)</f>
        <v>0</v>
      </c>
      <c r="M11">
        <f t="shared" ref="M11:M74" si="3">(E11+G11)</f>
        <v>0</v>
      </c>
    </row>
    <row r="12" spans="1:13" ht="15" customHeight="1" x14ac:dyDescent="0.2">
      <c r="A12" t="s">
        <v>17</v>
      </c>
      <c r="B12" s="22">
        <v>1</v>
      </c>
      <c r="C12" s="56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56">
        <v>0</v>
      </c>
      <c r="J12">
        <f t="shared" si="0"/>
        <v>1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">
      <c r="A13" t="s">
        <v>18</v>
      </c>
      <c r="B13" s="22">
        <v>0</v>
      </c>
      <c r="C13" s="56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56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">
      <c r="A14" t="s">
        <v>19</v>
      </c>
      <c r="B14" s="22">
        <v>0</v>
      </c>
      <c r="C14" s="56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56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">
      <c r="A15" t="s">
        <v>20</v>
      </c>
      <c r="B15" s="22">
        <v>0</v>
      </c>
      <c r="C15" s="56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56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">
      <c r="A16" t="s">
        <v>21</v>
      </c>
      <c r="B16" s="22">
        <v>0</v>
      </c>
      <c r="C16" s="56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56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">
      <c r="A17" t="s">
        <v>22</v>
      </c>
      <c r="B17" s="22">
        <v>0</v>
      </c>
      <c r="C17" s="56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56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">
      <c r="A18" t="s">
        <v>23</v>
      </c>
      <c r="B18" s="22">
        <v>0</v>
      </c>
      <c r="C18" s="56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56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">
      <c r="A19" t="s">
        <v>24</v>
      </c>
      <c r="B19" s="22">
        <v>0</v>
      </c>
      <c r="C19" s="56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56"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 ht="15" customHeight="1" x14ac:dyDescent="0.2">
      <c r="A20" t="s">
        <v>25</v>
      </c>
      <c r="B20" s="22">
        <v>0</v>
      </c>
      <c r="C20" s="56">
        <v>0</v>
      </c>
      <c r="D20" s="22">
        <v>1</v>
      </c>
      <c r="E20" s="22">
        <v>0</v>
      </c>
      <c r="F20" s="22">
        <v>0</v>
      </c>
      <c r="G20" s="22">
        <v>0</v>
      </c>
      <c r="H20" s="22">
        <v>0</v>
      </c>
      <c r="I20" s="56">
        <v>0</v>
      </c>
      <c r="J20">
        <f t="shared" si="0"/>
        <v>0</v>
      </c>
      <c r="K20">
        <f t="shared" si="1"/>
        <v>1</v>
      </c>
      <c r="L20">
        <f t="shared" si="2"/>
        <v>0</v>
      </c>
      <c r="M20">
        <f t="shared" si="3"/>
        <v>0</v>
      </c>
    </row>
    <row r="21" spans="1:13" ht="15" customHeight="1" x14ac:dyDescent="0.2">
      <c r="A21" t="s">
        <v>26</v>
      </c>
      <c r="B21" s="22">
        <v>0</v>
      </c>
      <c r="C21" s="56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56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">
      <c r="A22" t="s">
        <v>27</v>
      </c>
      <c r="B22" s="22">
        <v>0</v>
      </c>
      <c r="C22" s="56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56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">
      <c r="A23" t="s">
        <v>28</v>
      </c>
      <c r="B23" s="22">
        <v>0</v>
      </c>
      <c r="C23" s="56">
        <v>0</v>
      </c>
      <c r="D23" s="22">
        <v>0</v>
      </c>
      <c r="E23" s="22">
        <v>0</v>
      </c>
      <c r="F23" s="22">
        <v>1</v>
      </c>
      <c r="G23" s="22">
        <v>0</v>
      </c>
      <c r="H23" s="22">
        <v>0</v>
      </c>
      <c r="I23" s="56">
        <v>0</v>
      </c>
      <c r="J23">
        <f t="shared" si="0"/>
        <v>0</v>
      </c>
      <c r="K23">
        <f t="shared" si="1"/>
        <v>1</v>
      </c>
      <c r="L23">
        <f t="shared" si="2"/>
        <v>0</v>
      </c>
      <c r="M23">
        <f t="shared" si="3"/>
        <v>0</v>
      </c>
    </row>
    <row r="24" spans="1:13" ht="15" customHeight="1" x14ac:dyDescent="0.2">
      <c r="A24" t="s">
        <v>29</v>
      </c>
      <c r="B24" s="22">
        <v>0</v>
      </c>
      <c r="C24" s="56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56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">
      <c r="A25" t="s">
        <v>30</v>
      </c>
      <c r="B25" s="22">
        <v>0</v>
      </c>
      <c r="C25" s="56">
        <v>0</v>
      </c>
      <c r="D25" s="22">
        <v>1</v>
      </c>
      <c r="E25" s="22">
        <v>0</v>
      </c>
      <c r="F25" s="22">
        <v>1</v>
      </c>
      <c r="G25" s="22">
        <v>0</v>
      </c>
      <c r="H25" s="22">
        <v>0</v>
      </c>
      <c r="I25" s="56">
        <v>0</v>
      </c>
      <c r="J25">
        <f t="shared" si="0"/>
        <v>0</v>
      </c>
      <c r="K25">
        <f t="shared" si="1"/>
        <v>2</v>
      </c>
      <c r="L25">
        <f t="shared" si="2"/>
        <v>0</v>
      </c>
      <c r="M25">
        <f t="shared" si="3"/>
        <v>0</v>
      </c>
    </row>
    <row r="26" spans="1:13" ht="15" customHeight="1" x14ac:dyDescent="0.2">
      <c r="A26" t="s">
        <v>31</v>
      </c>
      <c r="B26" s="22">
        <v>0</v>
      </c>
      <c r="C26" s="56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56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">
      <c r="A27" t="s">
        <v>32</v>
      </c>
      <c r="B27" s="22">
        <v>0</v>
      </c>
      <c r="C27" s="56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56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">
      <c r="A28" t="s">
        <v>33</v>
      </c>
      <c r="B28" s="22">
        <v>0</v>
      </c>
      <c r="C28" s="56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56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ht="15" customHeight="1" x14ac:dyDescent="0.2">
      <c r="A29" t="s">
        <v>34</v>
      </c>
      <c r="B29" s="22">
        <v>0</v>
      </c>
      <c r="C29" s="56">
        <v>0</v>
      </c>
      <c r="D29" s="22">
        <v>0</v>
      </c>
      <c r="E29" s="22">
        <v>0</v>
      </c>
      <c r="F29" s="22">
        <v>1</v>
      </c>
      <c r="G29" s="22">
        <v>0</v>
      </c>
      <c r="H29" s="22">
        <v>0</v>
      </c>
      <c r="I29" s="56">
        <v>0</v>
      </c>
      <c r="J29">
        <f t="shared" si="0"/>
        <v>0</v>
      </c>
      <c r="K29">
        <f t="shared" si="1"/>
        <v>1</v>
      </c>
      <c r="L29">
        <f t="shared" si="2"/>
        <v>0</v>
      </c>
      <c r="M29">
        <f t="shared" si="3"/>
        <v>0</v>
      </c>
    </row>
    <row r="30" spans="1:13" ht="15" customHeight="1" x14ac:dyDescent="0.2">
      <c r="A30" t="s">
        <v>35</v>
      </c>
      <c r="B30" s="22">
        <v>0</v>
      </c>
      <c r="C30" s="56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56">
        <v>0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</row>
    <row r="31" spans="1:13" ht="15" customHeight="1" x14ac:dyDescent="0.2">
      <c r="A31" t="s">
        <v>36</v>
      </c>
      <c r="B31" s="22">
        <v>0</v>
      </c>
      <c r="C31" s="56">
        <v>0</v>
      </c>
      <c r="D31" s="22">
        <v>0</v>
      </c>
      <c r="E31" s="22">
        <v>0</v>
      </c>
      <c r="F31" s="22">
        <v>0</v>
      </c>
      <c r="G31" s="22">
        <v>0</v>
      </c>
      <c r="H31" s="22">
        <v>2</v>
      </c>
      <c r="I31" s="56">
        <v>0</v>
      </c>
      <c r="J31">
        <f t="shared" si="0"/>
        <v>2</v>
      </c>
      <c r="K31">
        <f t="shared" si="1"/>
        <v>0</v>
      </c>
      <c r="L31">
        <f t="shared" si="2"/>
        <v>0</v>
      </c>
      <c r="M31">
        <f t="shared" si="3"/>
        <v>0</v>
      </c>
    </row>
    <row r="32" spans="1:13" s="33" customFormat="1" ht="15" customHeight="1" x14ac:dyDescent="0.2">
      <c r="A32" s="33" t="s">
        <v>37</v>
      </c>
      <c r="B32" s="34">
        <v>0</v>
      </c>
      <c r="C32" s="34">
        <v>1</v>
      </c>
      <c r="D32" s="34">
        <v>0</v>
      </c>
      <c r="E32" s="34">
        <v>0</v>
      </c>
      <c r="F32" s="34">
        <v>0</v>
      </c>
      <c r="G32" s="34">
        <v>0</v>
      </c>
      <c r="H32" s="34">
        <v>2</v>
      </c>
      <c r="I32" s="34">
        <v>0</v>
      </c>
      <c r="J32" s="33">
        <f t="shared" si="0"/>
        <v>2</v>
      </c>
      <c r="K32" s="33">
        <f t="shared" si="1"/>
        <v>0</v>
      </c>
      <c r="L32" s="33">
        <f t="shared" si="2"/>
        <v>1</v>
      </c>
      <c r="M32" s="33">
        <f t="shared" si="3"/>
        <v>0</v>
      </c>
    </row>
    <row r="33" spans="1:13" ht="15" customHeight="1" x14ac:dyDescent="0.2">
      <c r="A33" t="s">
        <v>38</v>
      </c>
      <c r="B33" s="22">
        <v>0</v>
      </c>
      <c r="C33" s="56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56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ht="15" customHeight="1" x14ac:dyDescent="0.2">
      <c r="A34" t="s">
        <v>39</v>
      </c>
      <c r="B34" s="22">
        <v>0</v>
      </c>
      <c r="C34" s="56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56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 ht="15" customHeight="1" x14ac:dyDescent="0.2">
      <c r="A35" t="s">
        <v>40</v>
      </c>
      <c r="B35" s="22">
        <v>0</v>
      </c>
      <c r="C35" s="56">
        <v>0</v>
      </c>
      <c r="D35" s="22">
        <v>0</v>
      </c>
      <c r="E35" s="22">
        <v>0</v>
      </c>
      <c r="F35" s="22">
        <v>1</v>
      </c>
      <c r="G35" s="22">
        <v>0</v>
      </c>
      <c r="H35" s="22">
        <v>0</v>
      </c>
      <c r="I35" s="56">
        <v>0</v>
      </c>
      <c r="J35">
        <f t="shared" si="0"/>
        <v>0</v>
      </c>
      <c r="K35">
        <f t="shared" si="1"/>
        <v>1</v>
      </c>
      <c r="L35">
        <f t="shared" si="2"/>
        <v>0</v>
      </c>
      <c r="M35">
        <f t="shared" si="3"/>
        <v>0</v>
      </c>
    </row>
    <row r="36" spans="1:13" ht="15" customHeight="1" x14ac:dyDescent="0.2">
      <c r="A36" t="s">
        <v>41</v>
      </c>
      <c r="B36" s="22">
        <v>3</v>
      </c>
      <c r="C36" s="56">
        <v>0</v>
      </c>
      <c r="D36" s="22">
        <v>0</v>
      </c>
      <c r="E36" s="22">
        <v>0</v>
      </c>
      <c r="F36" s="22">
        <v>1</v>
      </c>
      <c r="G36" s="22">
        <v>0</v>
      </c>
      <c r="H36" s="22">
        <v>1</v>
      </c>
      <c r="I36" s="56">
        <v>0</v>
      </c>
      <c r="J36">
        <f t="shared" si="0"/>
        <v>4</v>
      </c>
      <c r="K36">
        <f t="shared" si="1"/>
        <v>1</v>
      </c>
      <c r="L36">
        <f t="shared" si="2"/>
        <v>0</v>
      </c>
      <c r="M36">
        <f t="shared" si="3"/>
        <v>0</v>
      </c>
    </row>
    <row r="37" spans="1:13" ht="15" customHeight="1" x14ac:dyDescent="0.2">
      <c r="A37" t="s">
        <v>42</v>
      </c>
      <c r="B37" s="22">
        <v>0</v>
      </c>
      <c r="C37" s="56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56">
        <v>0</v>
      </c>
      <c r="J37">
        <f t="shared" si="0"/>
        <v>0</v>
      </c>
      <c r="K37">
        <f t="shared" si="1"/>
        <v>0</v>
      </c>
      <c r="L37">
        <f t="shared" si="2"/>
        <v>0</v>
      </c>
      <c r="M37">
        <f t="shared" si="3"/>
        <v>0</v>
      </c>
    </row>
    <row r="38" spans="1:13" ht="15" customHeight="1" x14ac:dyDescent="0.2">
      <c r="A38" t="s">
        <v>43</v>
      </c>
      <c r="B38" s="22">
        <v>0</v>
      </c>
      <c r="C38" s="56">
        <v>0</v>
      </c>
      <c r="D38" s="22">
        <v>1</v>
      </c>
      <c r="E38" s="22">
        <v>0</v>
      </c>
      <c r="F38" s="22">
        <v>0</v>
      </c>
      <c r="G38" s="22">
        <v>0</v>
      </c>
      <c r="H38" s="22">
        <v>0</v>
      </c>
      <c r="I38" s="56">
        <v>0</v>
      </c>
      <c r="J38">
        <f t="shared" si="0"/>
        <v>0</v>
      </c>
      <c r="K38">
        <f t="shared" si="1"/>
        <v>1</v>
      </c>
      <c r="L38">
        <f t="shared" si="2"/>
        <v>0</v>
      </c>
      <c r="M38">
        <f t="shared" si="3"/>
        <v>0</v>
      </c>
    </row>
    <row r="39" spans="1:13" ht="15" customHeight="1" x14ac:dyDescent="0.2">
      <c r="A39" t="s">
        <v>44</v>
      </c>
      <c r="B39" s="22">
        <v>0</v>
      </c>
      <c r="C39" s="56">
        <v>0</v>
      </c>
      <c r="D39" s="22">
        <v>0</v>
      </c>
      <c r="E39" s="22">
        <v>0</v>
      </c>
      <c r="F39" s="22">
        <v>2</v>
      </c>
      <c r="G39" s="22">
        <v>0</v>
      </c>
      <c r="H39" s="22">
        <v>0</v>
      </c>
      <c r="I39" s="56">
        <v>0</v>
      </c>
      <c r="J39">
        <f t="shared" si="0"/>
        <v>0</v>
      </c>
      <c r="K39">
        <f t="shared" si="1"/>
        <v>2</v>
      </c>
      <c r="L39">
        <f t="shared" si="2"/>
        <v>0</v>
      </c>
      <c r="M39">
        <f t="shared" si="3"/>
        <v>0</v>
      </c>
    </row>
    <row r="40" spans="1:13" ht="15" customHeight="1" x14ac:dyDescent="0.2">
      <c r="A40" t="s">
        <v>45</v>
      </c>
      <c r="B40" s="22">
        <v>1</v>
      </c>
      <c r="C40" s="56">
        <v>0</v>
      </c>
      <c r="D40" s="22">
        <v>0</v>
      </c>
      <c r="E40" s="22">
        <v>0</v>
      </c>
      <c r="F40" s="22">
        <v>0</v>
      </c>
      <c r="G40" s="22">
        <v>0</v>
      </c>
      <c r="H40" s="22">
        <v>1</v>
      </c>
      <c r="I40" s="56">
        <v>0</v>
      </c>
      <c r="J40">
        <f t="shared" si="0"/>
        <v>2</v>
      </c>
      <c r="K40">
        <f t="shared" si="1"/>
        <v>0</v>
      </c>
      <c r="L40">
        <f t="shared" si="2"/>
        <v>0</v>
      </c>
      <c r="M40">
        <f t="shared" si="3"/>
        <v>0</v>
      </c>
    </row>
    <row r="41" spans="1:13" ht="15" customHeight="1" x14ac:dyDescent="0.2">
      <c r="A41" t="s">
        <v>46</v>
      </c>
      <c r="B41" s="22">
        <v>0</v>
      </c>
      <c r="C41" s="56">
        <v>0</v>
      </c>
      <c r="D41" s="22">
        <v>0</v>
      </c>
      <c r="E41" s="22">
        <v>0</v>
      </c>
      <c r="F41" s="22">
        <v>1</v>
      </c>
      <c r="G41" s="22">
        <v>0</v>
      </c>
      <c r="H41" s="22">
        <v>0</v>
      </c>
      <c r="I41" s="56">
        <v>0</v>
      </c>
      <c r="J41">
        <f t="shared" si="0"/>
        <v>0</v>
      </c>
      <c r="K41">
        <f t="shared" si="1"/>
        <v>1</v>
      </c>
      <c r="L41">
        <f t="shared" si="2"/>
        <v>0</v>
      </c>
      <c r="M41">
        <f t="shared" si="3"/>
        <v>0</v>
      </c>
    </row>
    <row r="42" spans="1:13" ht="15" customHeight="1" x14ac:dyDescent="0.2">
      <c r="A42" t="s">
        <v>47</v>
      </c>
      <c r="B42" s="22">
        <v>0</v>
      </c>
      <c r="C42" s="56">
        <v>0</v>
      </c>
      <c r="D42" s="22">
        <v>1</v>
      </c>
      <c r="E42" s="22">
        <v>0</v>
      </c>
      <c r="F42" s="22">
        <v>0</v>
      </c>
      <c r="G42" s="22">
        <v>0</v>
      </c>
      <c r="H42" s="22">
        <v>0</v>
      </c>
      <c r="I42" s="56">
        <v>0</v>
      </c>
      <c r="J42">
        <f t="shared" si="0"/>
        <v>0</v>
      </c>
      <c r="K42">
        <f t="shared" si="1"/>
        <v>1</v>
      </c>
      <c r="L42">
        <f t="shared" si="2"/>
        <v>0</v>
      </c>
      <c r="M42">
        <f t="shared" si="3"/>
        <v>0</v>
      </c>
    </row>
    <row r="43" spans="1:13" ht="15" customHeight="1" x14ac:dyDescent="0.2">
      <c r="A43" t="s">
        <v>48</v>
      </c>
      <c r="B43" s="22">
        <v>0</v>
      </c>
      <c r="C43" s="56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56">
        <v>0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1:13" ht="15" customHeight="1" x14ac:dyDescent="0.2">
      <c r="A44" t="s">
        <v>49</v>
      </c>
      <c r="B44" s="22">
        <v>0</v>
      </c>
      <c r="C44" s="56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56">
        <v>0</v>
      </c>
      <c r="J44">
        <f t="shared" si="0"/>
        <v>0</v>
      </c>
      <c r="K44">
        <f t="shared" si="1"/>
        <v>0</v>
      </c>
      <c r="L44">
        <f t="shared" si="2"/>
        <v>0</v>
      </c>
      <c r="M44">
        <f t="shared" si="3"/>
        <v>0</v>
      </c>
    </row>
    <row r="45" spans="1:13" ht="15" customHeight="1" x14ac:dyDescent="0.2">
      <c r="A45" t="s">
        <v>50</v>
      </c>
      <c r="B45" s="22">
        <v>2</v>
      </c>
      <c r="C45" s="56">
        <v>0</v>
      </c>
      <c r="D45" s="22">
        <v>0</v>
      </c>
      <c r="E45" s="22">
        <v>0</v>
      </c>
      <c r="F45" s="22">
        <v>1</v>
      </c>
      <c r="G45" s="22">
        <v>0</v>
      </c>
      <c r="H45" s="22">
        <v>0</v>
      </c>
      <c r="I45" s="56">
        <v>0</v>
      </c>
      <c r="J45">
        <f t="shared" si="0"/>
        <v>2</v>
      </c>
      <c r="K45">
        <f t="shared" si="1"/>
        <v>1</v>
      </c>
      <c r="L45">
        <f t="shared" si="2"/>
        <v>0</v>
      </c>
      <c r="M45">
        <f t="shared" si="3"/>
        <v>0</v>
      </c>
    </row>
    <row r="46" spans="1:13" ht="15" customHeight="1" x14ac:dyDescent="0.2">
      <c r="A46" t="s">
        <v>51</v>
      </c>
      <c r="B46" s="22">
        <v>2</v>
      </c>
      <c r="C46" s="56">
        <v>0</v>
      </c>
      <c r="D46" s="22">
        <v>1</v>
      </c>
      <c r="E46" s="22">
        <v>0</v>
      </c>
      <c r="F46" s="22">
        <v>0</v>
      </c>
      <c r="G46" s="22">
        <v>0</v>
      </c>
      <c r="H46" s="22">
        <v>1</v>
      </c>
      <c r="I46" s="56">
        <v>0</v>
      </c>
      <c r="J46">
        <f t="shared" si="0"/>
        <v>3</v>
      </c>
      <c r="K46">
        <f t="shared" si="1"/>
        <v>1</v>
      </c>
      <c r="L46">
        <f t="shared" si="2"/>
        <v>0</v>
      </c>
      <c r="M46">
        <f t="shared" si="3"/>
        <v>0</v>
      </c>
    </row>
    <row r="47" spans="1:13" ht="15" customHeight="1" x14ac:dyDescent="0.2">
      <c r="A47" t="s">
        <v>52</v>
      </c>
      <c r="B47" s="22">
        <v>0</v>
      </c>
      <c r="C47" s="56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56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">
      <c r="A48" t="s">
        <v>53</v>
      </c>
      <c r="B48" s="22">
        <v>0</v>
      </c>
      <c r="C48" s="56">
        <v>0</v>
      </c>
      <c r="D48" s="22">
        <v>0</v>
      </c>
      <c r="E48" s="22">
        <v>0</v>
      </c>
      <c r="F48" s="22">
        <v>0</v>
      </c>
      <c r="G48" s="22">
        <v>0</v>
      </c>
      <c r="H48" s="22">
        <v>1</v>
      </c>
      <c r="I48" s="56">
        <v>0</v>
      </c>
      <c r="J48">
        <f t="shared" si="0"/>
        <v>1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ht="15" customHeight="1" x14ac:dyDescent="0.2">
      <c r="A49" t="s">
        <v>54</v>
      </c>
      <c r="B49" s="22">
        <v>0</v>
      </c>
      <c r="C49" s="56">
        <v>0</v>
      </c>
      <c r="D49" s="22">
        <v>0</v>
      </c>
      <c r="E49" s="22">
        <v>0</v>
      </c>
      <c r="F49" s="22">
        <v>0</v>
      </c>
      <c r="G49" s="22">
        <v>0</v>
      </c>
      <c r="H49" s="22">
        <v>2</v>
      </c>
      <c r="I49" s="56">
        <v>0</v>
      </c>
      <c r="J49">
        <f t="shared" si="0"/>
        <v>2</v>
      </c>
      <c r="K49">
        <f t="shared" si="1"/>
        <v>0</v>
      </c>
      <c r="L49">
        <f t="shared" si="2"/>
        <v>0</v>
      </c>
      <c r="M49">
        <f t="shared" si="3"/>
        <v>0</v>
      </c>
    </row>
    <row r="50" spans="1:13" ht="15" customHeight="1" x14ac:dyDescent="0.2">
      <c r="A50" t="s">
        <v>55</v>
      </c>
      <c r="B50" s="22">
        <v>0</v>
      </c>
      <c r="C50" s="56">
        <v>0</v>
      </c>
      <c r="D50" s="22">
        <v>1</v>
      </c>
      <c r="E50" s="22">
        <v>0</v>
      </c>
      <c r="F50" s="22">
        <v>0</v>
      </c>
      <c r="G50" s="22">
        <v>0</v>
      </c>
      <c r="H50" s="22">
        <v>1</v>
      </c>
      <c r="I50" s="56">
        <v>0</v>
      </c>
      <c r="J50">
        <f t="shared" si="0"/>
        <v>1</v>
      </c>
      <c r="K50">
        <f t="shared" si="1"/>
        <v>1</v>
      </c>
      <c r="L50">
        <f t="shared" si="2"/>
        <v>0</v>
      </c>
      <c r="M50">
        <f t="shared" si="3"/>
        <v>0</v>
      </c>
    </row>
    <row r="51" spans="1:13" ht="15" customHeight="1" x14ac:dyDescent="0.2">
      <c r="A51" t="s">
        <v>56</v>
      </c>
      <c r="B51" s="22">
        <v>0</v>
      </c>
      <c r="C51" s="56">
        <v>0</v>
      </c>
      <c r="D51" s="22">
        <v>0</v>
      </c>
      <c r="E51" s="22">
        <v>0</v>
      </c>
      <c r="F51" s="22">
        <v>0</v>
      </c>
      <c r="G51" s="22">
        <v>0</v>
      </c>
      <c r="H51" s="22">
        <v>1</v>
      </c>
      <c r="I51" s="56">
        <v>0</v>
      </c>
      <c r="J51">
        <f t="shared" si="0"/>
        <v>1</v>
      </c>
      <c r="K51">
        <f t="shared" si="1"/>
        <v>0</v>
      </c>
      <c r="L51">
        <f t="shared" si="2"/>
        <v>0</v>
      </c>
      <c r="M51">
        <f t="shared" si="3"/>
        <v>0</v>
      </c>
    </row>
    <row r="52" spans="1:13" ht="15" customHeight="1" x14ac:dyDescent="0.2">
      <c r="A52" t="s">
        <v>57</v>
      </c>
      <c r="B52" s="22">
        <v>0</v>
      </c>
      <c r="C52" s="56">
        <v>0</v>
      </c>
      <c r="D52" s="22">
        <v>0</v>
      </c>
      <c r="E52" s="22">
        <v>0</v>
      </c>
      <c r="F52" s="22">
        <v>0</v>
      </c>
      <c r="G52" s="22">
        <v>0</v>
      </c>
      <c r="H52" s="22">
        <v>1</v>
      </c>
      <c r="I52" s="56">
        <v>0</v>
      </c>
      <c r="J52">
        <f t="shared" si="0"/>
        <v>1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">
      <c r="A53" t="s">
        <v>58</v>
      </c>
      <c r="B53" s="22">
        <v>0</v>
      </c>
      <c r="C53" s="56">
        <v>0</v>
      </c>
      <c r="D53" s="22">
        <v>0</v>
      </c>
      <c r="E53" s="22">
        <v>0</v>
      </c>
      <c r="F53" s="22">
        <v>0</v>
      </c>
      <c r="G53" s="22">
        <v>0</v>
      </c>
      <c r="H53" s="22">
        <v>1</v>
      </c>
      <c r="I53" s="56">
        <v>0</v>
      </c>
      <c r="J53">
        <f t="shared" si="0"/>
        <v>1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 ht="15" customHeight="1" x14ac:dyDescent="0.2">
      <c r="A54" t="s">
        <v>59</v>
      </c>
      <c r="B54" s="22">
        <v>0</v>
      </c>
      <c r="C54" s="56">
        <v>0</v>
      </c>
      <c r="D54" s="22">
        <v>0</v>
      </c>
      <c r="E54" s="22">
        <v>0</v>
      </c>
      <c r="F54" s="22">
        <v>1</v>
      </c>
      <c r="G54" s="22">
        <v>0</v>
      </c>
      <c r="H54" s="22">
        <v>0</v>
      </c>
      <c r="I54" s="56">
        <v>0</v>
      </c>
      <c r="J54">
        <f t="shared" si="0"/>
        <v>0</v>
      </c>
      <c r="K54">
        <f t="shared" si="1"/>
        <v>1</v>
      </c>
      <c r="L54">
        <f t="shared" si="2"/>
        <v>0</v>
      </c>
      <c r="M54">
        <f t="shared" si="3"/>
        <v>0</v>
      </c>
    </row>
    <row r="55" spans="1:13" ht="15" customHeight="1" x14ac:dyDescent="0.2">
      <c r="A55" t="s">
        <v>60</v>
      </c>
      <c r="B55" s="22">
        <v>0</v>
      </c>
      <c r="C55" s="56">
        <v>0</v>
      </c>
      <c r="D55" s="22">
        <v>0</v>
      </c>
      <c r="E55" s="22">
        <v>0</v>
      </c>
      <c r="F55" s="22">
        <v>0</v>
      </c>
      <c r="G55" s="22">
        <v>0</v>
      </c>
      <c r="H55" s="22">
        <v>1</v>
      </c>
      <c r="I55" s="56">
        <v>0</v>
      </c>
      <c r="J55">
        <f t="shared" si="0"/>
        <v>1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ht="15" customHeight="1" x14ac:dyDescent="0.2">
      <c r="A56" t="s">
        <v>61</v>
      </c>
      <c r="B56" s="22">
        <v>0</v>
      </c>
      <c r="C56" s="56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56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">
      <c r="A57" t="s">
        <v>62</v>
      </c>
      <c r="B57" s="22">
        <v>0</v>
      </c>
      <c r="C57" s="56">
        <v>0</v>
      </c>
      <c r="D57" s="22">
        <v>1</v>
      </c>
      <c r="E57" s="22">
        <v>0</v>
      </c>
      <c r="F57" s="22">
        <v>1</v>
      </c>
      <c r="G57" s="22">
        <v>0</v>
      </c>
      <c r="H57" s="22">
        <v>2</v>
      </c>
      <c r="I57" s="56">
        <v>0</v>
      </c>
      <c r="J57">
        <f t="shared" si="0"/>
        <v>2</v>
      </c>
      <c r="K57">
        <f t="shared" si="1"/>
        <v>2</v>
      </c>
      <c r="L57">
        <f t="shared" si="2"/>
        <v>0</v>
      </c>
      <c r="M57">
        <f t="shared" si="3"/>
        <v>0</v>
      </c>
    </row>
    <row r="58" spans="1:13" ht="15" customHeight="1" x14ac:dyDescent="0.2">
      <c r="A58" t="s">
        <v>63</v>
      </c>
      <c r="B58" s="22">
        <v>2</v>
      </c>
      <c r="C58" s="56">
        <v>0</v>
      </c>
      <c r="D58" s="22">
        <v>0</v>
      </c>
      <c r="E58" s="22">
        <v>0</v>
      </c>
      <c r="F58" s="22">
        <v>1</v>
      </c>
      <c r="G58" s="22">
        <v>0</v>
      </c>
      <c r="H58" s="22">
        <v>0</v>
      </c>
      <c r="I58" s="56">
        <v>0</v>
      </c>
      <c r="J58">
        <f t="shared" si="0"/>
        <v>2</v>
      </c>
      <c r="K58">
        <f t="shared" si="1"/>
        <v>1</v>
      </c>
      <c r="L58">
        <f t="shared" si="2"/>
        <v>0</v>
      </c>
      <c r="M58">
        <f t="shared" si="3"/>
        <v>0</v>
      </c>
    </row>
    <row r="59" spans="1:13" ht="15" customHeight="1" x14ac:dyDescent="0.2">
      <c r="A59" t="s">
        <v>64</v>
      </c>
      <c r="B59" s="22">
        <v>1</v>
      </c>
      <c r="C59" s="56">
        <v>0</v>
      </c>
      <c r="D59" s="22">
        <v>1</v>
      </c>
      <c r="E59" s="22">
        <v>0</v>
      </c>
      <c r="F59" s="22">
        <v>0</v>
      </c>
      <c r="G59" s="22">
        <v>0</v>
      </c>
      <c r="H59" s="22">
        <v>0</v>
      </c>
      <c r="I59" s="56">
        <v>0</v>
      </c>
      <c r="J59">
        <f t="shared" si="0"/>
        <v>1</v>
      </c>
      <c r="K59">
        <f t="shared" si="1"/>
        <v>1</v>
      </c>
      <c r="L59">
        <f t="shared" si="2"/>
        <v>0</v>
      </c>
      <c r="M59">
        <f t="shared" si="3"/>
        <v>0</v>
      </c>
    </row>
    <row r="60" spans="1:13" ht="15" customHeight="1" x14ac:dyDescent="0.2">
      <c r="A60" t="s">
        <v>65</v>
      </c>
      <c r="B60" s="22">
        <v>0</v>
      </c>
      <c r="C60" s="56">
        <v>0</v>
      </c>
      <c r="D60" s="22">
        <v>0</v>
      </c>
      <c r="E60" s="22">
        <v>0</v>
      </c>
      <c r="F60" s="22">
        <v>2</v>
      </c>
      <c r="G60" s="22">
        <v>0</v>
      </c>
      <c r="H60" s="22">
        <v>0</v>
      </c>
      <c r="I60" s="56">
        <v>0</v>
      </c>
      <c r="J60">
        <f t="shared" si="0"/>
        <v>0</v>
      </c>
      <c r="K60">
        <f t="shared" si="1"/>
        <v>2</v>
      </c>
      <c r="L60">
        <f t="shared" si="2"/>
        <v>0</v>
      </c>
      <c r="M60">
        <f t="shared" si="3"/>
        <v>0</v>
      </c>
    </row>
    <row r="61" spans="1:13" ht="15" customHeight="1" x14ac:dyDescent="0.2">
      <c r="A61" t="s">
        <v>66</v>
      </c>
      <c r="B61" s="22">
        <v>1</v>
      </c>
      <c r="C61" s="56">
        <v>0</v>
      </c>
      <c r="D61" s="22">
        <v>1</v>
      </c>
      <c r="E61" s="22">
        <v>0</v>
      </c>
      <c r="F61" s="22">
        <v>0</v>
      </c>
      <c r="G61" s="22">
        <v>0</v>
      </c>
      <c r="H61" s="22">
        <v>1</v>
      </c>
      <c r="I61" s="56">
        <v>0</v>
      </c>
      <c r="J61">
        <f t="shared" si="0"/>
        <v>2</v>
      </c>
      <c r="K61">
        <f t="shared" si="1"/>
        <v>1</v>
      </c>
      <c r="L61">
        <f t="shared" si="2"/>
        <v>0</v>
      </c>
      <c r="M61">
        <f t="shared" si="3"/>
        <v>0</v>
      </c>
    </row>
    <row r="62" spans="1:13" ht="15" customHeight="1" x14ac:dyDescent="0.2">
      <c r="A62" t="s">
        <v>67</v>
      </c>
      <c r="B62" s="22">
        <v>0</v>
      </c>
      <c r="C62" s="56">
        <v>0</v>
      </c>
      <c r="D62" s="22">
        <v>0</v>
      </c>
      <c r="E62" s="22">
        <v>0</v>
      </c>
      <c r="F62" s="22">
        <v>1</v>
      </c>
      <c r="G62" s="22">
        <v>0</v>
      </c>
      <c r="H62" s="22">
        <v>0</v>
      </c>
      <c r="I62" s="56">
        <v>0</v>
      </c>
      <c r="J62">
        <f t="shared" si="0"/>
        <v>0</v>
      </c>
      <c r="K62">
        <f t="shared" si="1"/>
        <v>1</v>
      </c>
      <c r="L62">
        <f t="shared" si="2"/>
        <v>0</v>
      </c>
      <c r="M62">
        <f t="shared" si="3"/>
        <v>0</v>
      </c>
    </row>
    <row r="63" spans="1:13" ht="15" customHeight="1" x14ac:dyDescent="0.2">
      <c r="A63" t="s">
        <v>68</v>
      </c>
      <c r="B63" s="22">
        <v>0</v>
      </c>
      <c r="C63" s="56">
        <v>0</v>
      </c>
      <c r="D63" s="22">
        <v>1</v>
      </c>
      <c r="E63" s="22">
        <v>0</v>
      </c>
      <c r="F63" s="22">
        <v>2</v>
      </c>
      <c r="G63" s="22">
        <v>0</v>
      </c>
      <c r="H63" s="22">
        <v>0</v>
      </c>
      <c r="I63" s="56">
        <v>0</v>
      </c>
      <c r="J63">
        <f t="shared" si="0"/>
        <v>0</v>
      </c>
      <c r="K63">
        <f t="shared" si="1"/>
        <v>3</v>
      </c>
      <c r="L63">
        <f t="shared" si="2"/>
        <v>0</v>
      </c>
      <c r="M63">
        <f t="shared" si="3"/>
        <v>0</v>
      </c>
    </row>
    <row r="64" spans="1:13" ht="15" customHeight="1" x14ac:dyDescent="0.2">
      <c r="A64" t="s">
        <v>69</v>
      </c>
      <c r="B64" s="22">
        <v>2</v>
      </c>
      <c r="C64" s="56">
        <v>0</v>
      </c>
      <c r="D64" s="22">
        <v>0</v>
      </c>
      <c r="E64" s="22">
        <v>0</v>
      </c>
      <c r="F64" s="22">
        <v>0</v>
      </c>
      <c r="G64" s="22">
        <v>0</v>
      </c>
      <c r="H64" s="22">
        <v>1</v>
      </c>
      <c r="I64" s="56">
        <v>0</v>
      </c>
      <c r="J64">
        <f t="shared" si="0"/>
        <v>3</v>
      </c>
      <c r="K64">
        <f t="shared" si="1"/>
        <v>0</v>
      </c>
      <c r="L64">
        <f t="shared" si="2"/>
        <v>0</v>
      </c>
      <c r="M64">
        <f t="shared" si="3"/>
        <v>0</v>
      </c>
    </row>
    <row r="65" spans="1:13" ht="15" customHeight="1" x14ac:dyDescent="0.2">
      <c r="A65" t="s">
        <v>70</v>
      </c>
      <c r="B65" s="22">
        <v>0</v>
      </c>
      <c r="C65" s="56">
        <v>0</v>
      </c>
      <c r="D65" s="22">
        <v>1</v>
      </c>
      <c r="E65" s="22">
        <v>0</v>
      </c>
      <c r="F65" s="22">
        <v>0</v>
      </c>
      <c r="G65" s="22">
        <v>0</v>
      </c>
      <c r="H65" s="22">
        <v>0</v>
      </c>
      <c r="I65" s="56">
        <v>0</v>
      </c>
      <c r="J65">
        <f t="shared" si="0"/>
        <v>0</v>
      </c>
      <c r="K65">
        <f t="shared" si="1"/>
        <v>1</v>
      </c>
      <c r="L65">
        <f t="shared" si="2"/>
        <v>0</v>
      </c>
      <c r="M65">
        <f t="shared" si="3"/>
        <v>0</v>
      </c>
    </row>
    <row r="66" spans="1:13" ht="15" customHeight="1" x14ac:dyDescent="0.2">
      <c r="A66" t="s">
        <v>71</v>
      </c>
      <c r="B66" s="22">
        <v>0</v>
      </c>
      <c r="C66" s="56">
        <v>0</v>
      </c>
      <c r="D66" s="22">
        <v>0</v>
      </c>
      <c r="E66" s="22">
        <v>0</v>
      </c>
      <c r="F66" s="22">
        <v>0</v>
      </c>
      <c r="G66" s="22">
        <v>0</v>
      </c>
      <c r="H66" s="22">
        <v>1</v>
      </c>
      <c r="I66" s="56">
        <v>0</v>
      </c>
      <c r="J66">
        <f t="shared" si="0"/>
        <v>1</v>
      </c>
      <c r="K66">
        <f t="shared" si="1"/>
        <v>0</v>
      </c>
      <c r="L66">
        <f t="shared" si="2"/>
        <v>0</v>
      </c>
      <c r="M66">
        <f t="shared" si="3"/>
        <v>0</v>
      </c>
    </row>
    <row r="67" spans="1:13" ht="15" customHeight="1" x14ac:dyDescent="0.2">
      <c r="A67" t="s">
        <v>72</v>
      </c>
      <c r="B67" s="22">
        <v>0</v>
      </c>
      <c r="C67" s="56">
        <v>0</v>
      </c>
      <c r="D67" s="22">
        <v>1</v>
      </c>
      <c r="E67" s="22">
        <v>0</v>
      </c>
      <c r="F67" s="22">
        <v>0</v>
      </c>
      <c r="G67" s="22">
        <v>0</v>
      </c>
      <c r="H67" s="22">
        <v>0</v>
      </c>
      <c r="I67" s="56">
        <v>0</v>
      </c>
      <c r="J67">
        <f t="shared" si="0"/>
        <v>0</v>
      </c>
      <c r="K67">
        <f t="shared" si="1"/>
        <v>1</v>
      </c>
      <c r="L67">
        <f t="shared" si="2"/>
        <v>0</v>
      </c>
      <c r="M67">
        <f t="shared" si="3"/>
        <v>0</v>
      </c>
    </row>
    <row r="68" spans="1:13" ht="15" customHeight="1" x14ac:dyDescent="0.2">
      <c r="A68" t="s">
        <v>73</v>
      </c>
      <c r="B68" s="22">
        <v>1</v>
      </c>
      <c r="C68" s="56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56">
        <v>0</v>
      </c>
      <c r="J68">
        <f t="shared" si="0"/>
        <v>1</v>
      </c>
      <c r="K68">
        <f t="shared" si="1"/>
        <v>0</v>
      </c>
      <c r="L68">
        <f t="shared" si="2"/>
        <v>0</v>
      </c>
      <c r="M68">
        <f t="shared" si="3"/>
        <v>0</v>
      </c>
    </row>
    <row r="69" spans="1:13" ht="15" customHeight="1" x14ac:dyDescent="0.2">
      <c r="A69" t="s">
        <v>74</v>
      </c>
      <c r="B69" s="22">
        <v>1</v>
      </c>
      <c r="C69" s="56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56">
        <v>0</v>
      </c>
      <c r="J69">
        <f t="shared" si="0"/>
        <v>1</v>
      </c>
      <c r="K69">
        <f t="shared" si="1"/>
        <v>0</v>
      </c>
      <c r="L69">
        <f t="shared" si="2"/>
        <v>0</v>
      </c>
      <c r="M69">
        <f t="shared" si="3"/>
        <v>0</v>
      </c>
    </row>
    <row r="70" spans="1:13" ht="15" customHeight="1" x14ac:dyDescent="0.2">
      <c r="A70" t="s">
        <v>75</v>
      </c>
      <c r="B70" s="22">
        <v>0</v>
      </c>
      <c r="C70" s="56">
        <v>0</v>
      </c>
      <c r="D70" s="22">
        <v>0</v>
      </c>
      <c r="E70" s="22">
        <v>0</v>
      </c>
      <c r="F70" s="22">
        <v>1</v>
      </c>
      <c r="G70" s="22">
        <v>0</v>
      </c>
      <c r="H70" s="22">
        <v>0</v>
      </c>
      <c r="I70" s="56">
        <v>0</v>
      </c>
      <c r="J70">
        <f t="shared" si="0"/>
        <v>0</v>
      </c>
      <c r="K70">
        <f t="shared" si="1"/>
        <v>1</v>
      </c>
      <c r="L70">
        <f t="shared" si="2"/>
        <v>0</v>
      </c>
      <c r="M70">
        <f t="shared" si="3"/>
        <v>0</v>
      </c>
    </row>
    <row r="71" spans="1:13" ht="15" customHeight="1" x14ac:dyDescent="0.2">
      <c r="A71" t="s">
        <v>76</v>
      </c>
      <c r="B71" s="22">
        <v>0</v>
      </c>
      <c r="C71" s="56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56">
        <v>0</v>
      </c>
      <c r="J71">
        <f t="shared" si="0"/>
        <v>0</v>
      </c>
      <c r="K71">
        <f t="shared" si="1"/>
        <v>0</v>
      </c>
      <c r="L71">
        <f t="shared" si="2"/>
        <v>0</v>
      </c>
      <c r="M71">
        <f t="shared" si="3"/>
        <v>0</v>
      </c>
    </row>
    <row r="72" spans="1:13" ht="15" customHeight="1" x14ac:dyDescent="0.2">
      <c r="A72" t="s">
        <v>77</v>
      </c>
      <c r="B72" s="22">
        <v>0</v>
      </c>
      <c r="C72" s="56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56">
        <v>0</v>
      </c>
      <c r="J72">
        <f t="shared" si="0"/>
        <v>0</v>
      </c>
      <c r="K72">
        <f t="shared" si="1"/>
        <v>0</v>
      </c>
      <c r="L72">
        <f t="shared" si="2"/>
        <v>0</v>
      </c>
      <c r="M72">
        <f t="shared" si="3"/>
        <v>0</v>
      </c>
    </row>
    <row r="73" spans="1:13" ht="15" customHeight="1" x14ac:dyDescent="0.2">
      <c r="A73" t="s">
        <v>78</v>
      </c>
      <c r="B73" s="22">
        <v>1</v>
      </c>
      <c r="C73" s="56">
        <v>0</v>
      </c>
      <c r="D73" s="22">
        <v>1</v>
      </c>
      <c r="E73" s="22">
        <v>0</v>
      </c>
      <c r="F73" s="22">
        <v>0</v>
      </c>
      <c r="G73" s="22">
        <v>0</v>
      </c>
      <c r="H73" s="22">
        <v>0</v>
      </c>
      <c r="I73" s="56">
        <v>0</v>
      </c>
      <c r="J73">
        <f t="shared" si="0"/>
        <v>1</v>
      </c>
      <c r="K73">
        <f t="shared" si="1"/>
        <v>1</v>
      </c>
      <c r="L73">
        <f t="shared" si="2"/>
        <v>0</v>
      </c>
      <c r="M73">
        <f t="shared" si="3"/>
        <v>0</v>
      </c>
    </row>
    <row r="74" spans="1:13" ht="15" customHeight="1" x14ac:dyDescent="0.2">
      <c r="A74" t="s">
        <v>79</v>
      </c>
      <c r="B74" s="22">
        <v>0</v>
      </c>
      <c r="C74" s="56">
        <v>0</v>
      </c>
      <c r="D74" s="22">
        <v>0</v>
      </c>
      <c r="E74" s="22">
        <v>0</v>
      </c>
      <c r="F74" s="22">
        <v>0</v>
      </c>
      <c r="G74" s="22">
        <v>0</v>
      </c>
      <c r="H74" s="22">
        <v>3</v>
      </c>
      <c r="I74" s="56">
        <v>0</v>
      </c>
      <c r="J74">
        <f t="shared" si="0"/>
        <v>3</v>
      </c>
      <c r="K74">
        <f t="shared" si="1"/>
        <v>0</v>
      </c>
      <c r="L74">
        <f t="shared" si="2"/>
        <v>0</v>
      </c>
      <c r="M74">
        <f t="shared" si="3"/>
        <v>0</v>
      </c>
    </row>
    <row r="75" spans="1:13" ht="15" customHeight="1" x14ac:dyDescent="0.2">
      <c r="A75" t="s">
        <v>80</v>
      </c>
      <c r="B75" s="22">
        <v>1</v>
      </c>
      <c r="C75" s="56">
        <v>0</v>
      </c>
      <c r="D75" s="22">
        <v>0</v>
      </c>
      <c r="E75" s="22">
        <v>0</v>
      </c>
      <c r="F75" s="22">
        <v>0</v>
      </c>
      <c r="G75" s="22">
        <v>0</v>
      </c>
      <c r="H75" s="22">
        <v>1</v>
      </c>
      <c r="I75" s="56">
        <v>0</v>
      </c>
      <c r="J75">
        <f t="shared" ref="J75:J138" si="4">(B75+H75)</f>
        <v>2</v>
      </c>
      <c r="K75">
        <f t="shared" ref="K75:K138" si="5">(D75+F75)</f>
        <v>0</v>
      </c>
      <c r="L75">
        <f t="shared" ref="L75:L138" si="6">(C75+I75)</f>
        <v>0</v>
      </c>
      <c r="M75">
        <f t="shared" ref="M75:M138" si="7">(E75+G75)</f>
        <v>0</v>
      </c>
    </row>
    <row r="76" spans="1:13" ht="15" customHeight="1" x14ac:dyDescent="0.2">
      <c r="A76" t="s">
        <v>81</v>
      </c>
      <c r="B76" s="22">
        <v>0</v>
      </c>
      <c r="C76" s="56">
        <v>0</v>
      </c>
      <c r="D76" s="22">
        <v>0</v>
      </c>
      <c r="E76" s="22">
        <v>0</v>
      </c>
      <c r="F76" s="22">
        <v>1</v>
      </c>
      <c r="G76" s="22">
        <v>0</v>
      </c>
      <c r="H76" s="22">
        <v>1</v>
      </c>
      <c r="I76" s="56">
        <v>0</v>
      </c>
      <c r="J76">
        <f t="shared" si="4"/>
        <v>1</v>
      </c>
      <c r="K76">
        <f t="shared" si="5"/>
        <v>1</v>
      </c>
      <c r="L76">
        <f t="shared" si="6"/>
        <v>0</v>
      </c>
      <c r="M76">
        <f t="shared" si="7"/>
        <v>0</v>
      </c>
    </row>
    <row r="77" spans="1:13" ht="15" customHeight="1" x14ac:dyDescent="0.2">
      <c r="A77" t="s">
        <v>82</v>
      </c>
      <c r="B77" s="22">
        <v>2</v>
      </c>
      <c r="C77" s="56">
        <v>0</v>
      </c>
      <c r="D77" s="22">
        <v>0</v>
      </c>
      <c r="E77" s="22">
        <v>0</v>
      </c>
      <c r="F77" s="22">
        <v>0</v>
      </c>
      <c r="G77" s="22">
        <v>0</v>
      </c>
      <c r="H77" s="22">
        <v>3</v>
      </c>
      <c r="I77" s="56">
        <v>0</v>
      </c>
      <c r="J77">
        <f t="shared" si="4"/>
        <v>5</v>
      </c>
      <c r="K77">
        <f t="shared" si="5"/>
        <v>0</v>
      </c>
      <c r="L77">
        <f t="shared" si="6"/>
        <v>0</v>
      </c>
      <c r="M77">
        <f t="shared" si="7"/>
        <v>0</v>
      </c>
    </row>
    <row r="78" spans="1:13" ht="15" customHeight="1" x14ac:dyDescent="0.2">
      <c r="A78" t="s">
        <v>83</v>
      </c>
      <c r="B78" s="22">
        <v>0</v>
      </c>
      <c r="C78" s="56">
        <v>0</v>
      </c>
      <c r="D78" s="22">
        <v>1</v>
      </c>
      <c r="E78" s="22">
        <v>0</v>
      </c>
      <c r="F78" s="22">
        <v>1</v>
      </c>
      <c r="G78" s="22">
        <v>0</v>
      </c>
      <c r="H78" s="22">
        <v>1</v>
      </c>
      <c r="I78" s="56">
        <v>0</v>
      </c>
      <c r="J78">
        <f t="shared" si="4"/>
        <v>1</v>
      </c>
      <c r="K78">
        <f t="shared" si="5"/>
        <v>2</v>
      </c>
      <c r="L78">
        <f t="shared" si="6"/>
        <v>0</v>
      </c>
      <c r="M78">
        <f t="shared" si="7"/>
        <v>0</v>
      </c>
    </row>
    <row r="79" spans="1:13" ht="15" customHeight="1" x14ac:dyDescent="0.2">
      <c r="A79" t="s">
        <v>84</v>
      </c>
      <c r="B79" s="22">
        <v>0</v>
      </c>
      <c r="C79" s="56">
        <v>0</v>
      </c>
      <c r="D79" s="22">
        <v>1</v>
      </c>
      <c r="E79" s="22">
        <v>0</v>
      </c>
      <c r="F79" s="22">
        <v>2</v>
      </c>
      <c r="G79" s="22">
        <v>0</v>
      </c>
      <c r="H79" s="22">
        <v>0</v>
      </c>
      <c r="I79" s="56">
        <v>0</v>
      </c>
      <c r="J79">
        <f t="shared" si="4"/>
        <v>0</v>
      </c>
      <c r="K79">
        <f t="shared" si="5"/>
        <v>3</v>
      </c>
      <c r="L79">
        <f t="shared" si="6"/>
        <v>0</v>
      </c>
      <c r="M79">
        <f t="shared" si="7"/>
        <v>0</v>
      </c>
    </row>
    <row r="80" spans="1:13" ht="15" customHeight="1" x14ac:dyDescent="0.2">
      <c r="A80" t="s">
        <v>85</v>
      </c>
      <c r="B80" s="22">
        <v>0</v>
      </c>
      <c r="C80" s="56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56">
        <v>0</v>
      </c>
      <c r="J80">
        <f t="shared" si="4"/>
        <v>0</v>
      </c>
      <c r="K80">
        <f t="shared" si="5"/>
        <v>0</v>
      </c>
      <c r="L80">
        <f t="shared" si="6"/>
        <v>0</v>
      </c>
      <c r="M80">
        <f t="shared" si="7"/>
        <v>0</v>
      </c>
    </row>
    <row r="81" spans="1:13" ht="15" customHeight="1" x14ac:dyDescent="0.2">
      <c r="A81" t="s">
        <v>86</v>
      </c>
      <c r="B81" s="22">
        <v>0</v>
      </c>
      <c r="C81" s="56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56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0</v>
      </c>
    </row>
    <row r="82" spans="1:13" ht="15" customHeight="1" x14ac:dyDescent="0.2">
      <c r="A82" t="s">
        <v>87</v>
      </c>
      <c r="B82" s="22">
        <v>0</v>
      </c>
      <c r="C82" s="56">
        <v>0</v>
      </c>
      <c r="D82" s="22">
        <v>1</v>
      </c>
      <c r="E82" s="22">
        <v>0</v>
      </c>
      <c r="F82" s="22">
        <v>1</v>
      </c>
      <c r="G82" s="22">
        <v>0</v>
      </c>
      <c r="H82" s="22">
        <v>0</v>
      </c>
      <c r="I82" s="56">
        <v>0</v>
      </c>
      <c r="J82">
        <f t="shared" si="4"/>
        <v>0</v>
      </c>
      <c r="K82">
        <f t="shared" si="5"/>
        <v>2</v>
      </c>
      <c r="L82">
        <f t="shared" si="6"/>
        <v>0</v>
      </c>
      <c r="M82">
        <f t="shared" si="7"/>
        <v>0</v>
      </c>
    </row>
    <row r="83" spans="1:13" ht="15" customHeight="1" x14ac:dyDescent="0.2">
      <c r="A83" t="s">
        <v>88</v>
      </c>
      <c r="B83" s="22">
        <v>0</v>
      </c>
      <c r="C83" s="56">
        <v>0</v>
      </c>
      <c r="D83" s="22">
        <v>0</v>
      </c>
      <c r="E83" s="22">
        <v>0</v>
      </c>
      <c r="F83" s="22">
        <v>1</v>
      </c>
      <c r="G83" s="22">
        <v>0</v>
      </c>
      <c r="H83" s="22">
        <v>1</v>
      </c>
      <c r="I83" s="56">
        <v>0</v>
      </c>
      <c r="J83">
        <f t="shared" si="4"/>
        <v>1</v>
      </c>
      <c r="K83">
        <f t="shared" si="5"/>
        <v>1</v>
      </c>
      <c r="L83">
        <f t="shared" si="6"/>
        <v>0</v>
      </c>
      <c r="M83">
        <f t="shared" si="7"/>
        <v>0</v>
      </c>
    </row>
    <row r="84" spans="1:13" ht="15" customHeight="1" x14ac:dyDescent="0.2">
      <c r="A84" t="s">
        <v>89</v>
      </c>
      <c r="B84" s="22">
        <v>1</v>
      </c>
      <c r="C84" s="56">
        <v>0</v>
      </c>
      <c r="D84" s="22">
        <v>0</v>
      </c>
      <c r="E84" s="22">
        <v>1</v>
      </c>
      <c r="F84" s="22">
        <v>0</v>
      </c>
      <c r="G84" s="22">
        <v>0</v>
      </c>
      <c r="H84" s="22">
        <v>1</v>
      </c>
      <c r="I84" s="56">
        <v>0</v>
      </c>
      <c r="J84">
        <f t="shared" si="4"/>
        <v>2</v>
      </c>
      <c r="K84">
        <f t="shared" si="5"/>
        <v>0</v>
      </c>
      <c r="L84">
        <f t="shared" si="6"/>
        <v>0</v>
      </c>
      <c r="M84">
        <f t="shared" si="7"/>
        <v>1</v>
      </c>
    </row>
    <row r="85" spans="1:13" ht="15" customHeight="1" x14ac:dyDescent="0.2">
      <c r="A85" t="s">
        <v>90</v>
      </c>
      <c r="B85" s="22">
        <v>0</v>
      </c>
      <c r="C85" s="56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56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">
      <c r="A86" t="s">
        <v>91</v>
      </c>
      <c r="B86" s="22">
        <v>0</v>
      </c>
      <c r="C86" s="56">
        <v>0</v>
      </c>
      <c r="D86" s="22">
        <v>1</v>
      </c>
      <c r="E86" s="22">
        <v>0</v>
      </c>
      <c r="F86" s="22">
        <v>0</v>
      </c>
      <c r="G86" s="22">
        <v>0</v>
      </c>
      <c r="H86" s="22">
        <v>0</v>
      </c>
      <c r="I86" s="56">
        <v>0</v>
      </c>
      <c r="J86">
        <f t="shared" si="4"/>
        <v>0</v>
      </c>
      <c r="K86">
        <f t="shared" si="5"/>
        <v>1</v>
      </c>
      <c r="L86">
        <f t="shared" si="6"/>
        <v>0</v>
      </c>
      <c r="M86">
        <f t="shared" si="7"/>
        <v>0</v>
      </c>
    </row>
    <row r="87" spans="1:13" ht="15" customHeight="1" x14ac:dyDescent="0.2">
      <c r="A87" t="s">
        <v>92</v>
      </c>
      <c r="B87" s="22">
        <v>0</v>
      </c>
      <c r="C87" s="56">
        <v>0</v>
      </c>
      <c r="D87" s="22">
        <v>0</v>
      </c>
      <c r="E87" s="22">
        <v>0</v>
      </c>
      <c r="F87" s="22">
        <v>1</v>
      </c>
      <c r="G87" s="22">
        <v>0</v>
      </c>
      <c r="H87" s="22">
        <v>0</v>
      </c>
      <c r="I87" s="56">
        <v>0</v>
      </c>
      <c r="J87">
        <f t="shared" si="4"/>
        <v>0</v>
      </c>
      <c r="K87">
        <f t="shared" si="5"/>
        <v>1</v>
      </c>
      <c r="L87">
        <f t="shared" si="6"/>
        <v>0</v>
      </c>
      <c r="M87">
        <f t="shared" si="7"/>
        <v>0</v>
      </c>
    </row>
    <row r="88" spans="1:13" ht="15" customHeight="1" x14ac:dyDescent="0.2">
      <c r="A88" t="s">
        <v>93</v>
      </c>
      <c r="B88" s="22">
        <v>0</v>
      </c>
      <c r="C88" s="56">
        <v>0</v>
      </c>
      <c r="D88" s="22">
        <v>1</v>
      </c>
      <c r="E88" s="22">
        <v>0</v>
      </c>
      <c r="F88" s="22">
        <v>3</v>
      </c>
      <c r="G88" s="22">
        <v>0</v>
      </c>
      <c r="H88" s="22">
        <v>0</v>
      </c>
      <c r="I88" s="56">
        <v>0</v>
      </c>
      <c r="J88">
        <f t="shared" si="4"/>
        <v>0</v>
      </c>
      <c r="K88">
        <f t="shared" si="5"/>
        <v>4</v>
      </c>
      <c r="L88">
        <f t="shared" si="6"/>
        <v>0</v>
      </c>
      <c r="M88">
        <f t="shared" si="7"/>
        <v>0</v>
      </c>
    </row>
    <row r="89" spans="1:13" ht="15" customHeight="1" x14ac:dyDescent="0.2">
      <c r="A89" t="s">
        <v>94</v>
      </c>
      <c r="B89" s="22">
        <v>0</v>
      </c>
      <c r="C89" s="56">
        <v>0</v>
      </c>
      <c r="D89" s="22">
        <v>0</v>
      </c>
      <c r="E89" s="22">
        <v>0</v>
      </c>
      <c r="F89" s="22">
        <v>1</v>
      </c>
      <c r="G89" s="22">
        <v>0</v>
      </c>
      <c r="H89" s="22">
        <v>2</v>
      </c>
      <c r="I89" s="56">
        <v>0</v>
      </c>
      <c r="J89">
        <f t="shared" si="4"/>
        <v>2</v>
      </c>
      <c r="K89">
        <f t="shared" si="5"/>
        <v>1</v>
      </c>
      <c r="L89">
        <f t="shared" si="6"/>
        <v>0</v>
      </c>
      <c r="M89">
        <f t="shared" si="7"/>
        <v>0</v>
      </c>
    </row>
    <row r="90" spans="1:13" ht="15" customHeight="1" x14ac:dyDescent="0.2">
      <c r="A90" t="s">
        <v>95</v>
      </c>
      <c r="B90" s="22">
        <v>0</v>
      </c>
      <c r="C90" s="56">
        <v>0</v>
      </c>
      <c r="D90" s="22">
        <v>0</v>
      </c>
      <c r="E90" s="22">
        <v>0</v>
      </c>
      <c r="F90" s="22">
        <v>1</v>
      </c>
      <c r="G90" s="22">
        <v>0</v>
      </c>
      <c r="H90" s="22">
        <v>0</v>
      </c>
      <c r="I90" s="56">
        <v>0</v>
      </c>
      <c r="J90">
        <f t="shared" si="4"/>
        <v>0</v>
      </c>
      <c r="K90">
        <f t="shared" si="5"/>
        <v>1</v>
      </c>
      <c r="L90">
        <f t="shared" si="6"/>
        <v>0</v>
      </c>
      <c r="M90">
        <f t="shared" si="7"/>
        <v>0</v>
      </c>
    </row>
    <row r="91" spans="1:13" ht="15" customHeight="1" x14ac:dyDescent="0.2">
      <c r="A91" t="s">
        <v>96</v>
      </c>
      <c r="B91" s="22">
        <v>0</v>
      </c>
      <c r="C91" s="56">
        <v>0</v>
      </c>
      <c r="D91" s="22">
        <v>0</v>
      </c>
      <c r="E91" s="22">
        <v>0</v>
      </c>
      <c r="F91" s="22">
        <v>1</v>
      </c>
      <c r="G91" s="22">
        <v>0</v>
      </c>
      <c r="H91" s="22">
        <v>0</v>
      </c>
      <c r="I91" s="56">
        <v>0</v>
      </c>
      <c r="J91">
        <f t="shared" si="4"/>
        <v>0</v>
      </c>
      <c r="K91">
        <f t="shared" si="5"/>
        <v>1</v>
      </c>
      <c r="L91">
        <f t="shared" si="6"/>
        <v>0</v>
      </c>
      <c r="M91">
        <f t="shared" si="7"/>
        <v>0</v>
      </c>
    </row>
    <row r="92" spans="1:13" ht="15" customHeight="1" x14ac:dyDescent="0.2">
      <c r="A92" t="s">
        <v>97</v>
      </c>
      <c r="B92" s="22">
        <v>0</v>
      </c>
      <c r="C92" s="56">
        <v>0</v>
      </c>
      <c r="D92" s="22">
        <v>0</v>
      </c>
      <c r="E92" s="22">
        <v>0</v>
      </c>
      <c r="F92" s="22">
        <v>1</v>
      </c>
      <c r="G92" s="22">
        <v>0</v>
      </c>
      <c r="H92" s="22">
        <v>0</v>
      </c>
      <c r="I92" s="56">
        <v>0</v>
      </c>
      <c r="J92">
        <f t="shared" si="4"/>
        <v>0</v>
      </c>
      <c r="K92">
        <f t="shared" si="5"/>
        <v>1</v>
      </c>
      <c r="L92">
        <f t="shared" si="6"/>
        <v>0</v>
      </c>
      <c r="M92">
        <f t="shared" si="7"/>
        <v>0</v>
      </c>
    </row>
    <row r="93" spans="1:13" ht="15" customHeight="1" x14ac:dyDescent="0.2">
      <c r="A93" t="s">
        <v>98</v>
      </c>
      <c r="B93" s="22">
        <v>0</v>
      </c>
      <c r="C93" s="56">
        <v>0</v>
      </c>
      <c r="D93" s="22">
        <v>0</v>
      </c>
      <c r="E93" s="22">
        <v>0</v>
      </c>
      <c r="F93" s="22">
        <v>0</v>
      </c>
      <c r="G93" s="22">
        <v>0</v>
      </c>
      <c r="H93" s="22">
        <v>1</v>
      </c>
      <c r="I93" s="56">
        <v>0</v>
      </c>
      <c r="J93">
        <f t="shared" si="4"/>
        <v>1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">
      <c r="A94" t="s">
        <v>99</v>
      </c>
      <c r="B94" s="22">
        <v>0</v>
      </c>
      <c r="C94" s="56">
        <v>0</v>
      </c>
      <c r="D94" s="22">
        <v>0</v>
      </c>
      <c r="E94" s="22">
        <v>0</v>
      </c>
      <c r="F94" s="22">
        <v>0</v>
      </c>
      <c r="G94" s="22">
        <v>0</v>
      </c>
      <c r="H94" s="22">
        <v>1</v>
      </c>
      <c r="I94" s="56">
        <v>0</v>
      </c>
      <c r="J94">
        <f t="shared" si="4"/>
        <v>1</v>
      </c>
      <c r="K94">
        <f t="shared" si="5"/>
        <v>0</v>
      </c>
      <c r="L94">
        <f t="shared" si="6"/>
        <v>0</v>
      </c>
      <c r="M94">
        <f t="shared" si="7"/>
        <v>0</v>
      </c>
    </row>
    <row r="95" spans="1:13" s="33" customFormat="1" ht="15" customHeight="1" x14ac:dyDescent="0.2">
      <c r="A95" s="33" t="s">
        <v>100</v>
      </c>
      <c r="B95" s="34">
        <v>1</v>
      </c>
      <c r="C95" s="34">
        <v>1</v>
      </c>
      <c r="D95" s="34">
        <v>0</v>
      </c>
      <c r="E95" s="34">
        <v>0</v>
      </c>
      <c r="F95" s="34">
        <v>0</v>
      </c>
      <c r="G95" s="34">
        <v>0</v>
      </c>
      <c r="H95" s="34">
        <v>0</v>
      </c>
      <c r="I95" s="34">
        <v>0</v>
      </c>
      <c r="J95" s="33">
        <f t="shared" si="4"/>
        <v>1</v>
      </c>
      <c r="K95" s="33">
        <f t="shared" si="5"/>
        <v>0</v>
      </c>
      <c r="L95" s="33">
        <f t="shared" si="6"/>
        <v>1</v>
      </c>
      <c r="M95" s="33">
        <f t="shared" si="7"/>
        <v>0</v>
      </c>
    </row>
    <row r="96" spans="1:13" ht="15" customHeight="1" x14ac:dyDescent="0.2">
      <c r="A96" t="s">
        <v>101</v>
      </c>
      <c r="B96" s="22">
        <v>0</v>
      </c>
      <c r="C96" s="56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56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">
      <c r="A97" t="s">
        <v>102</v>
      </c>
      <c r="B97" s="22">
        <v>0</v>
      </c>
      <c r="C97" s="56">
        <v>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56">
        <v>0</v>
      </c>
      <c r="J97">
        <f t="shared" si="4"/>
        <v>0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ht="15" customHeight="1" x14ac:dyDescent="0.2">
      <c r="A98" t="s">
        <v>103</v>
      </c>
      <c r="B98" s="22">
        <v>1</v>
      </c>
      <c r="C98" s="56">
        <v>0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56">
        <v>0</v>
      </c>
      <c r="J98">
        <f t="shared" si="4"/>
        <v>1</v>
      </c>
      <c r="K98">
        <f t="shared" si="5"/>
        <v>0</v>
      </c>
      <c r="L98">
        <f t="shared" si="6"/>
        <v>0</v>
      </c>
      <c r="M98">
        <f t="shared" si="7"/>
        <v>0</v>
      </c>
    </row>
    <row r="99" spans="1:13" ht="15" customHeight="1" x14ac:dyDescent="0.2">
      <c r="A99" t="s">
        <v>104</v>
      </c>
      <c r="B99" s="22">
        <v>0</v>
      </c>
      <c r="C99" s="56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56">
        <v>0</v>
      </c>
      <c r="J99">
        <f t="shared" si="4"/>
        <v>0</v>
      </c>
      <c r="K99">
        <f t="shared" si="5"/>
        <v>0</v>
      </c>
      <c r="L99">
        <f t="shared" si="6"/>
        <v>0</v>
      </c>
      <c r="M99">
        <f t="shared" si="7"/>
        <v>0</v>
      </c>
    </row>
    <row r="100" spans="1:13" ht="15" customHeight="1" x14ac:dyDescent="0.2">
      <c r="A100" t="s">
        <v>105</v>
      </c>
      <c r="B100" s="22">
        <v>0</v>
      </c>
      <c r="C100" s="56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56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">
      <c r="A101" t="s">
        <v>106</v>
      </c>
      <c r="B101" s="22">
        <v>0</v>
      </c>
      <c r="C101" s="56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56">
        <v>0</v>
      </c>
      <c r="J101">
        <f t="shared" si="4"/>
        <v>0</v>
      </c>
      <c r="K101">
        <f t="shared" si="5"/>
        <v>0</v>
      </c>
      <c r="L101">
        <f t="shared" si="6"/>
        <v>0</v>
      </c>
      <c r="M101">
        <f t="shared" si="7"/>
        <v>0</v>
      </c>
    </row>
    <row r="102" spans="1:13" ht="15" customHeight="1" x14ac:dyDescent="0.2">
      <c r="A102" t="s">
        <v>107</v>
      </c>
      <c r="B102" s="22">
        <v>0</v>
      </c>
      <c r="C102" s="56">
        <v>0</v>
      </c>
      <c r="D102" s="22">
        <v>0</v>
      </c>
      <c r="E102" s="22">
        <v>0</v>
      </c>
      <c r="F102" s="22">
        <v>2</v>
      </c>
      <c r="G102" s="22">
        <v>0</v>
      </c>
      <c r="H102" s="22">
        <v>0</v>
      </c>
      <c r="I102" s="56">
        <v>0</v>
      </c>
      <c r="J102">
        <f t="shared" si="4"/>
        <v>0</v>
      </c>
      <c r="K102">
        <f t="shared" si="5"/>
        <v>2</v>
      </c>
      <c r="L102">
        <f t="shared" si="6"/>
        <v>0</v>
      </c>
      <c r="M102">
        <f t="shared" si="7"/>
        <v>0</v>
      </c>
    </row>
    <row r="103" spans="1:13" ht="15" customHeight="1" x14ac:dyDescent="0.2">
      <c r="A103" t="s">
        <v>108</v>
      </c>
      <c r="B103" s="22">
        <v>0</v>
      </c>
      <c r="C103" s="56">
        <v>0</v>
      </c>
      <c r="D103" s="22">
        <v>0</v>
      </c>
      <c r="E103" s="22">
        <v>0</v>
      </c>
      <c r="F103" s="22">
        <v>1</v>
      </c>
      <c r="G103" s="22">
        <v>0</v>
      </c>
      <c r="H103" s="22">
        <v>1</v>
      </c>
      <c r="I103" s="56">
        <v>0</v>
      </c>
      <c r="J103">
        <f t="shared" si="4"/>
        <v>1</v>
      </c>
      <c r="K103">
        <f t="shared" si="5"/>
        <v>1</v>
      </c>
      <c r="L103">
        <f t="shared" si="6"/>
        <v>0</v>
      </c>
      <c r="M103">
        <f t="shared" si="7"/>
        <v>0</v>
      </c>
    </row>
    <row r="104" spans="1:13" ht="15" customHeight="1" x14ac:dyDescent="0.2">
      <c r="A104" t="s">
        <v>109</v>
      </c>
      <c r="B104" s="22">
        <v>1</v>
      </c>
      <c r="C104" s="56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56">
        <v>0</v>
      </c>
      <c r="J104">
        <f t="shared" si="4"/>
        <v>1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">
      <c r="A105" t="s">
        <v>110</v>
      </c>
      <c r="B105" s="22">
        <v>0</v>
      </c>
      <c r="C105" s="56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56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">
      <c r="A106" t="s">
        <v>5</v>
      </c>
      <c r="B106" s="22">
        <v>0</v>
      </c>
      <c r="C106" s="56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1</v>
      </c>
      <c r="I106" s="56">
        <v>0</v>
      </c>
      <c r="J106">
        <f t="shared" si="4"/>
        <v>1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">
      <c r="A107" t="s">
        <v>16</v>
      </c>
      <c r="B107" s="22">
        <v>0</v>
      </c>
      <c r="C107" s="56"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56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1:13" ht="15" customHeight="1" x14ac:dyDescent="0.2">
      <c r="A108" t="s">
        <v>17</v>
      </c>
      <c r="B108" s="22">
        <v>0</v>
      </c>
      <c r="C108" s="56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56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">
      <c r="A109" t="s">
        <v>18</v>
      </c>
      <c r="B109" s="22">
        <v>0</v>
      </c>
      <c r="C109" s="56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56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">
      <c r="A110" t="s">
        <v>19</v>
      </c>
      <c r="B110" s="22">
        <v>0</v>
      </c>
      <c r="C110" s="56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56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">
      <c r="A111" t="s">
        <v>20</v>
      </c>
      <c r="B111" s="22">
        <v>0</v>
      </c>
      <c r="C111" s="56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56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">
      <c r="A112" t="s">
        <v>21</v>
      </c>
      <c r="B112" s="22">
        <v>0</v>
      </c>
      <c r="C112" s="56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56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">
      <c r="A113" t="s">
        <v>22</v>
      </c>
      <c r="B113" s="22">
        <v>0</v>
      </c>
      <c r="C113" s="56">
        <v>0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56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">
      <c r="A114" t="s">
        <v>23</v>
      </c>
      <c r="B114" s="22">
        <v>0</v>
      </c>
      <c r="C114" s="56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56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">
      <c r="A115" t="s">
        <v>24</v>
      </c>
      <c r="B115" s="22">
        <v>0</v>
      </c>
      <c r="C115" s="56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56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">
      <c r="A116" t="s">
        <v>25</v>
      </c>
      <c r="B116" s="22">
        <v>0</v>
      </c>
      <c r="C116" s="56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56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">
      <c r="A117" t="s">
        <v>26</v>
      </c>
      <c r="B117" s="22">
        <v>0</v>
      </c>
      <c r="C117" s="56">
        <v>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56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">
      <c r="A118" t="s">
        <v>27</v>
      </c>
      <c r="B118" s="22">
        <v>0</v>
      </c>
      <c r="C118" s="56">
        <v>0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56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">
      <c r="A119" t="s">
        <v>28</v>
      </c>
      <c r="B119" s="22">
        <v>1</v>
      </c>
      <c r="C119" s="56">
        <v>0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56">
        <v>0</v>
      </c>
      <c r="J119">
        <f t="shared" si="4"/>
        <v>1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">
      <c r="A120" t="s">
        <v>29</v>
      </c>
      <c r="B120" s="22">
        <v>0</v>
      </c>
      <c r="C120" s="56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56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">
      <c r="A121" t="s">
        <v>30</v>
      </c>
      <c r="B121" s="22">
        <v>0</v>
      </c>
      <c r="C121" s="56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56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">
      <c r="A122" t="s">
        <v>31</v>
      </c>
      <c r="B122" s="22">
        <v>0</v>
      </c>
      <c r="C122" s="56">
        <v>0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56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">
      <c r="A123" t="s">
        <v>32</v>
      </c>
      <c r="B123" s="22">
        <v>0</v>
      </c>
      <c r="C123" s="56">
        <v>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56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">
      <c r="A124" t="s">
        <v>33</v>
      </c>
      <c r="B124" s="22">
        <v>0</v>
      </c>
      <c r="C124" s="56">
        <v>0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56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</row>
    <row r="125" spans="1:13" ht="15" customHeight="1" x14ac:dyDescent="0.2">
      <c r="A125" t="s">
        <v>34</v>
      </c>
      <c r="B125" s="22">
        <v>0</v>
      </c>
      <c r="C125" s="56">
        <v>0</v>
      </c>
      <c r="D125" s="22">
        <v>0</v>
      </c>
      <c r="E125" s="22">
        <v>0</v>
      </c>
      <c r="F125" s="22">
        <v>1</v>
      </c>
      <c r="G125" s="22">
        <v>0</v>
      </c>
      <c r="H125" s="22">
        <v>0</v>
      </c>
      <c r="I125" s="56">
        <v>0</v>
      </c>
      <c r="J125">
        <f t="shared" si="4"/>
        <v>0</v>
      </c>
      <c r="K125">
        <f t="shared" si="5"/>
        <v>1</v>
      </c>
      <c r="L125">
        <f t="shared" si="6"/>
        <v>0</v>
      </c>
      <c r="M125">
        <f t="shared" si="7"/>
        <v>0</v>
      </c>
    </row>
    <row r="126" spans="1:13" ht="15" customHeight="1" x14ac:dyDescent="0.2">
      <c r="A126" t="s">
        <v>35</v>
      </c>
      <c r="B126" s="22">
        <v>0</v>
      </c>
      <c r="C126" s="56">
        <v>0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56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">
      <c r="A127" t="s">
        <v>36</v>
      </c>
      <c r="B127" s="22">
        <v>0</v>
      </c>
      <c r="C127" s="56">
        <v>0</v>
      </c>
      <c r="D127" s="22">
        <v>0</v>
      </c>
      <c r="E127" s="22">
        <v>0</v>
      </c>
      <c r="F127" s="22">
        <v>0</v>
      </c>
      <c r="G127" s="22">
        <v>0</v>
      </c>
      <c r="H127" s="22">
        <v>2</v>
      </c>
      <c r="I127" s="56">
        <v>0</v>
      </c>
      <c r="J127">
        <f t="shared" si="4"/>
        <v>2</v>
      </c>
      <c r="K127">
        <f t="shared" si="5"/>
        <v>0</v>
      </c>
      <c r="L127">
        <f t="shared" si="6"/>
        <v>0</v>
      </c>
      <c r="M127">
        <f t="shared" si="7"/>
        <v>0</v>
      </c>
    </row>
    <row r="128" spans="1:13" ht="15" customHeight="1" x14ac:dyDescent="0.2">
      <c r="A128" t="s">
        <v>37</v>
      </c>
      <c r="B128" s="22">
        <v>0</v>
      </c>
      <c r="C128" s="56">
        <v>0</v>
      </c>
      <c r="D128" s="22">
        <v>0</v>
      </c>
      <c r="E128" s="22">
        <v>0</v>
      </c>
      <c r="F128" s="22">
        <v>0</v>
      </c>
      <c r="G128" s="22">
        <v>0</v>
      </c>
      <c r="H128" s="22">
        <v>3</v>
      </c>
      <c r="I128" s="56">
        <v>0</v>
      </c>
      <c r="J128">
        <f t="shared" si="4"/>
        <v>3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1:13" s="33" customFormat="1" ht="15" customHeight="1" x14ac:dyDescent="0.2">
      <c r="A129" s="33" t="s">
        <v>38</v>
      </c>
      <c r="B129" s="34">
        <v>0</v>
      </c>
      <c r="C129" s="34">
        <v>1</v>
      </c>
      <c r="D129" s="34">
        <v>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3">
        <f t="shared" si="4"/>
        <v>0</v>
      </c>
      <c r="K129" s="33">
        <f t="shared" si="5"/>
        <v>0</v>
      </c>
      <c r="L129" s="33">
        <f t="shared" si="6"/>
        <v>1</v>
      </c>
      <c r="M129" s="33">
        <f t="shared" si="7"/>
        <v>0</v>
      </c>
    </row>
    <row r="130" spans="1:13" ht="15" customHeight="1" x14ac:dyDescent="0.2">
      <c r="A130" t="s">
        <v>39</v>
      </c>
      <c r="B130" s="22">
        <v>0</v>
      </c>
      <c r="C130" s="56">
        <v>0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56">
        <v>0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">
      <c r="A131" t="s">
        <v>40</v>
      </c>
      <c r="B131" s="22">
        <v>0</v>
      </c>
      <c r="C131" s="56">
        <v>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56">
        <v>0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">
      <c r="A132" t="s">
        <v>41</v>
      </c>
      <c r="B132" s="22">
        <v>0</v>
      </c>
      <c r="C132" s="56">
        <v>0</v>
      </c>
      <c r="D132" s="22">
        <v>0</v>
      </c>
      <c r="E132" s="22">
        <v>0</v>
      </c>
      <c r="F132" s="22">
        <v>3</v>
      </c>
      <c r="G132" s="22">
        <v>0</v>
      </c>
      <c r="H132" s="22">
        <v>0</v>
      </c>
      <c r="I132" s="56">
        <v>0</v>
      </c>
      <c r="J132">
        <f t="shared" si="4"/>
        <v>0</v>
      </c>
      <c r="K132">
        <f t="shared" si="5"/>
        <v>3</v>
      </c>
      <c r="L132">
        <f t="shared" si="6"/>
        <v>0</v>
      </c>
      <c r="M132">
        <f t="shared" si="7"/>
        <v>0</v>
      </c>
    </row>
    <row r="133" spans="1:13" ht="15" customHeight="1" x14ac:dyDescent="0.2">
      <c r="A133" t="s">
        <v>42</v>
      </c>
      <c r="B133" s="22">
        <v>0</v>
      </c>
      <c r="C133" s="56">
        <v>0</v>
      </c>
      <c r="D133" s="22">
        <v>0</v>
      </c>
      <c r="E133" s="22">
        <v>0</v>
      </c>
      <c r="F133" s="22">
        <v>0</v>
      </c>
      <c r="G133" s="22">
        <v>0</v>
      </c>
      <c r="H133" s="22">
        <v>1</v>
      </c>
      <c r="I133" s="56">
        <v>0</v>
      </c>
      <c r="J133">
        <f t="shared" si="4"/>
        <v>1</v>
      </c>
      <c r="K133">
        <f t="shared" si="5"/>
        <v>0</v>
      </c>
      <c r="L133">
        <f t="shared" si="6"/>
        <v>0</v>
      </c>
      <c r="M133">
        <f t="shared" si="7"/>
        <v>0</v>
      </c>
    </row>
    <row r="134" spans="1:13" s="33" customFormat="1" ht="15" customHeight="1" x14ac:dyDescent="0.2">
      <c r="A134" s="33" t="s">
        <v>43</v>
      </c>
      <c r="B134" s="34">
        <v>1</v>
      </c>
      <c r="C134" s="34">
        <v>1</v>
      </c>
      <c r="D134" s="34">
        <v>0</v>
      </c>
      <c r="E134" s="34">
        <v>0</v>
      </c>
      <c r="F134" s="34">
        <v>0</v>
      </c>
      <c r="G134" s="34">
        <v>0</v>
      </c>
      <c r="H134" s="34">
        <v>1</v>
      </c>
      <c r="I134" s="34">
        <v>0</v>
      </c>
      <c r="J134" s="33">
        <f t="shared" si="4"/>
        <v>2</v>
      </c>
      <c r="K134" s="33">
        <f t="shared" si="5"/>
        <v>0</v>
      </c>
      <c r="L134" s="33">
        <f t="shared" si="6"/>
        <v>1</v>
      </c>
      <c r="M134" s="33">
        <f t="shared" si="7"/>
        <v>0</v>
      </c>
    </row>
    <row r="135" spans="1:13" ht="15" customHeight="1" x14ac:dyDescent="0.2">
      <c r="A135" t="s">
        <v>44</v>
      </c>
      <c r="B135" s="22">
        <v>0</v>
      </c>
      <c r="C135" s="56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56">
        <v>0</v>
      </c>
      <c r="J135">
        <f t="shared" si="4"/>
        <v>0</v>
      </c>
      <c r="K135">
        <f t="shared" si="5"/>
        <v>0</v>
      </c>
      <c r="L135">
        <f t="shared" si="6"/>
        <v>0</v>
      </c>
      <c r="M135">
        <f t="shared" si="7"/>
        <v>0</v>
      </c>
    </row>
    <row r="136" spans="1:13" s="33" customFormat="1" ht="15" customHeight="1" x14ac:dyDescent="0.2">
      <c r="A136" s="33" t="s">
        <v>45</v>
      </c>
      <c r="B136" s="34">
        <v>1</v>
      </c>
      <c r="C136" s="34">
        <v>1</v>
      </c>
      <c r="D136" s="34">
        <v>0</v>
      </c>
      <c r="E136" s="34">
        <v>0</v>
      </c>
      <c r="F136" s="34">
        <v>0</v>
      </c>
      <c r="G136" s="34">
        <v>0</v>
      </c>
      <c r="H136" s="34">
        <v>1</v>
      </c>
      <c r="I136" s="34">
        <v>0</v>
      </c>
      <c r="J136" s="33">
        <f t="shared" si="4"/>
        <v>2</v>
      </c>
      <c r="K136" s="33">
        <f t="shared" si="5"/>
        <v>0</v>
      </c>
      <c r="L136" s="33">
        <f t="shared" si="6"/>
        <v>1</v>
      </c>
      <c r="M136" s="33">
        <f t="shared" si="7"/>
        <v>0</v>
      </c>
    </row>
    <row r="137" spans="1:13" ht="15" customHeight="1" x14ac:dyDescent="0.2">
      <c r="A137" t="s">
        <v>46</v>
      </c>
      <c r="B137" s="22">
        <v>0</v>
      </c>
      <c r="C137" s="56">
        <v>0</v>
      </c>
      <c r="D137" s="22">
        <v>0</v>
      </c>
      <c r="E137" s="22">
        <v>0</v>
      </c>
      <c r="F137" s="22">
        <v>0</v>
      </c>
      <c r="G137" s="22">
        <v>0</v>
      </c>
      <c r="H137" s="22">
        <v>1</v>
      </c>
      <c r="I137" s="56">
        <v>0</v>
      </c>
      <c r="J137">
        <f t="shared" si="4"/>
        <v>1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">
      <c r="A138" t="s">
        <v>47</v>
      </c>
      <c r="B138" s="22">
        <v>0</v>
      </c>
      <c r="C138" s="56">
        <v>0</v>
      </c>
      <c r="D138" s="22">
        <v>0</v>
      </c>
      <c r="E138" s="22">
        <v>0</v>
      </c>
      <c r="F138" s="22">
        <v>1</v>
      </c>
      <c r="G138" s="22">
        <v>0</v>
      </c>
      <c r="H138" s="22">
        <v>0</v>
      </c>
      <c r="I138" s="56">
        <v>0</v>
      </c>
      <c r="J138">
        <f t="shared" si="4"/>
        <v>0</v>
      </c>
      <c r="K138">
        <f t="shared" si="5"/>
        <v>1</v>
      </c>
      <c r="L138">
        <f t="shared" si="6"/>
        <v>0</v>
      </c>
      <c r="M138">
        <f t="shared" si="7"/>
        <v>0</v>
      </c>
    </row>
    <row r="139" spans="1:13" ht="15" customHeight="1" x14ac:dyDescent="0.2">
      <c r="A139" t="s">
        <v>48</v>
      </c>
      <c r="B139" s="22">
        <v>1</v>
      </c>
      <c r="C139" s="56">
        <v>0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56">
        <v>0</v>
      </c>
      <c r="J139">
        <f t="shared" ref="J139:J201" si="8">(B139+H139)</f>
        <v>1</v>
      </c>
      <c r="K139">
        <f t="shared" ref="K139:K201" si="9">(D139+F139)</f>
        <v>0</v>
      </c>
      <c r="L139">
        <f t="shared" ref="L139:L201" si="10">(C139+I139)</f>
        <v>0</v>
      </c>
      <c r="M139">
        <f t="shared" ref="M139:M201" si="11">(E139+G139)</f>
        <v>0</v>
      </c>
    </row>
    <row r="140" spans="1:13" ht="15" customHeight="1" x14ac:dyDescent="0.2">
      <c r="A140" t="s">
        <v>49</v>
      </c>
      <c r="B140" s="22">
        <v>0</v>
      </c>
      <c r="C140" s="56">
        <v>0</v>
      </c>
      <c r="D140" s="22">
        <v>0</v>
      </c>
      <c r="E140" s="22">
        <v>0</v>
      </c>
      <c r="F140" s="22">
        <v>1</v>
      </c>
      <c r="G140" s="22">
        <v>0</v>
      </c>
      <c r="H140" s="22">
        <v>0</v>
      </c>
      <c r="I140" s="56">
        <v>0</v>
      </c>
      <c r="J140">
        <f t="shared" si="8"/>
        <v>0</v>
      </c>
      <c r="K140">
        <f t="shared" si="9"/>
        <v>1</v>
      </c>
      <c r="L140">
        <f t="shared" si="10"/>
        <v>0</v>
      </c>
      <c r="M140">
        <f t="shared" si="11"/>
        <v>0</v>
      </c>
    </row>
    <row r="141" spans="1:13" ht="15" customHeight="1" x14ac:dyDescent="0.2">
      <c r="A141" t="s">
        <v>50</v>
      </c>
      <c r="B141" s="22">
        <v>0</v>
      </c>
      <c r="C141" s="56">
        <v>0</v>
      </c>
      <c r="D141" s="22">
        <v>0</v>
      </c>
      <c r="E141" s="22">
        <v>0</v>
      </c>
      <c r="F141" s="22">
        <v>1</v>
      </c>
      <c r="G141" s="22">
        <v>0</v>
      </c>
      <c r="H141" s="22">
        <v>1</v>
      </c>
      <c r="I141" s="56">
        <v>0</v>
      </c>
      <c r="J141">
        <f t="shared" si="8"/>
        <v>1</v>
      </c>
      <c r="K141">
        <f t="shared" si="9"/>
        <v>1</v>
      </c>
      <c r="L141">
        <f t="shared" si="10"/>
        <v>0</v>
      </c>
      <c r="M141">
        <f t="shared" si="11"/>
        <v>0</v>
      </c>
    </row>
    <row r="142" spans="1:13" ht="15" customHeight="1" x14ac:dyDescent="0.2">
      <c r="A142" t="s">
        <v>51</v>
      </c>
      <c r="B142" s="22">
        <v>0</v>
      </c>
      <c r="C142" s="56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56">
        <v>0</v>
      </c>
      <c r="J142">
        <f t="shared" si="8"/>
        <v>0</v>
      </c>
      <c r="K142">
        <f t="shared" si="9"/>
        <v>0</v>
      </c>
      <c r="L142">
        <f t="shared" si="10"/>
        <v>0</v>
      </c>
      <c r="M142">
        <f t="shared" si="11"/>
        <v>0</v>
      </c>
    </row>
    <row r="143" spans="1:13" ht="15" customHeight="1" x14ac:dyDescent="0.2">
      <c r="A143" t="s">
        <v>52</v>
      </c>
      <c r="B143" s="22">
        <v>0</v>
      </c>
      <c r="C143" s="56">
        <v>0</v>
      </c>
      <c r="D143" s="22">
        <v>1</v>
      </c>
      <c r="E143" s="22">
        <v>0</v>
      </c>
      <c r="F143" s="22">
        <v>2</v>
      </c>
      <c r="G143" s="22">
        <v>0</v>
      </c>
      <c r="H143" s="22">
        <v>0</v>
      </c>
      <c r="I143" s="56">
        <v>0</v>
      </c>
      <c r="J143">
        <f t="shared" si="8"/>
        <v>0</v>
      </c>
      <c r="K143">
        <f t="shared" si="9"/>
        <v>3</v>
      </c>
      <c r="L143">
        <f t="shared" si="10"/>
        <v>0</v>
      </c>
      <c r="M143">
        <f t="shared" si="11"/>
        <v>0</v>
      </c>
    </row>
    <row r="144" spans="1:13" ht="15" customHeight="1" x14ac:dyDescent="0.2">
      <c r="A144" t="s">
        <v>53</v>
      </c>
      <c r="B144" s="22">
        <v>0</v>
      </c>
      <c r="C144" s="56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56">
        <v>0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">
      <c r="A145" t="s">
        <v>54</v>
      </c>
      <c r="B145" s="22">
        <v>0</v>
      </c>
      <c r="C145" s="56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2</v>
      </c>
      <c r="I145" s="56">
        <v>0</v>
      </c>
      <c r="J145">
        <f t="shared" si="8"/>
        <v>2</v>
      </c>
      <c r="K145">
        <f t="shared" si="9"/>
        <v>0</v>
      </c>
      <c r="L145">
        <f t="shared" si="10"/>
        <v>0</v>
      </c>
      <c r="M145">
        <f t="shared" si="11"/>
        <v>0</v>
      </c>
    </row>
    <row r="146" spans="1:13" ht="15" customHeight="1" x14ac:dyDescent="0.2">
      <c r="A146" t="s">
        <v>55</v>
      </c>
      <c r="B146" s="22">
        <v>0</v>
      </c>
      <c r="C146" s="56">
        <v>0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56">
        <v>0</v>
      </c>
      <c r="J146">
        <f t="shared" si="8"/>
        <v>0</v>
      </c>
      <c r="K146">
        <f t="shared" si="9"/>
        <v>0</v>
      </c>
      <c r="L146">
        <f t="shared" si="10"/>
        <v>0</v>
      </c>
      <c r="M146">
        <f t="shared" si="11"/>
        <v>0</v>
      </c>
    </row>
    <row r="147" spans="1:13" ht="15" customHeight="1" x14ac:dyDescent="0.2">
      <c r="A147" t="s">
        <v>56</v>
      </c>
      <c r="B147" s="22">
        <v>0</v>
      </c>
      <c r="C147" s="56">
        <v>0</v>
      </c>
      <c r="D147" s="22">
        <v>0</v>
      </c>
      <c r="E147" s="22">
        <v>0</v>
      </c>
      <c r="F147" s="22">
        <v>1</v>
      </c>
      <c r="G147" s="22">
        <v>0</v>
      </c>
      <c r="H147" s="22">
        <v>0</v>
      </c>
      <c r="I147" s="56">
        <v>0</v>
      </c>
      <c r="J147">
        <f t="shared" si="8"/>
        <v>0</v>
      </c>
      <c r="K147">
        <f t="shared" si="9"/>
        <v>1</v>
      </c>
      <c r="L147">
        <f t="shared" si="10"/>
        <v>0</v>
      </c>
      <c r="M147">
        <f t="shared" si="11"/>
        <v>0</v>
      </c>
    </row>
    <row r="148" spans="1:13" ht="15" customHeight="1" x14ac:dyDescent="0.2">
      <c r="A148" t="s">
        <v>57</v>
      </c>
      <c r="B148" s="22">
        <v>0</v>
      </c>
      <c r="C148" s="56">
        <v>0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56">
        <v>0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</row>
    <row r="149" spans="1:13" ht="15" customHeight="1" x14ac:dyDescent="0.2">
      <c r="A149" t="s">
        <v>58</v>
      </c>
      <c r="B149" s="22">
        <v>0</v>
      </c>
      <c r="C149" s="56">
        <v>0</v>
      </c>
      <c r="D149" s="22">
        <v>0</v>
      </c>
      <c r="E149" s="22">
        <v>0</v>
      </c>
      <c r="F149" s="22">
        <v>1</v>
      </c>
      <c r="G149" s="22">
        <v>0</v>
      </c>
      <c r="H149" s="22">
        <v>2</v>
      </c>
      <c r="I149" s="56">
        <v>0</v>
      </c>
      <c r="J149">
        <f t="shared" si="8"/>
        <v>2</v>
      </c>
      <c r="K149">
        <f t="shared" si="9"/>
        <v>1</v>
      </c>
      <c r="L149">
        <f t="shared" si="10"/>
        <v>0</v>
      </c>
      <c r="M149">
        <f t="shared" si="11"/>
        <v>0</v>
      </c>
    </row>
    <row r="150" spans="1:13" ht="15" customHeight="1" x14ac:dyDescent="0.2">
      <c r="A150" t="s">
        <v>59</v>
      </c>
      <c r="B150" s="22">
        <v>0</v>
      </c>
      <c r="C150" s="56">
        <v>0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56">
        <v>0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</row>
    <row r="151" spans="1:13" ht="15" customHeight="1" x14ac:dyDescent="0.2">
      <c r="A151" t="s">
        <v>60</v>
      </c>
      <c r="B151" s="22">
        <v>0</v>
      </c>
      <c r="C151" s="56">
        <v>0</v>
      </c>
      <c r="D151" s="22">
        <v>1</v>
      </c>
      <c r="E151" s="22">
        <v>0</v>
      </c>
      <c r="F151" s="22">
        <v>0</v>
      </c>
      <c r="G151" s="22">
        <v>0</v>
      </c>
      <c r="H151" s="22">
        <v>1</v>
      </c>
      <c r="I151" s="56">
        <v>0</v>
      </c>
      <c r="J151">
        <f t="shared" si="8"/>
        <v>1</v>
      </c>
      <c r="K151">
        <f t="shared" si="9"/>
        <v>1</v>
      </c>
      <c r="L151">
        <f t="shared" si="10"/>
        <v>0</v>
      </c>
      <c r="M151">
        <f t="shared" si="11"/>
        <v>0</v>
      </c>
    </row>
    <row r="152" spans="1:13" ht="15" customHeight="1" x14ac:dyDescent="0.2">
      <c r="A152" t="s">
        <v>61</v>
      </c>
      <c r="B152" s="22">
        <v>0</v>
      </c>
      <c r="C152" s="56">
        <v>0</v>
      </c>
      <c r="D152" s="22">
        <v>1</v>
      </c>
      <c r="E152" s="22">
        <v>0</v>
      </c>
      <c r="F152" s="22">
        <v>0</v>
      </c>
      <c r="G152" s="22">
        <v>0</v>
      </c>
      <c r="H152" s="22">
        <v>0</v>
      </c>
      <c r="I152" s="56">
        <v>0</v>
      </c>
      <c r="J152">
        <f t="shared" si="8"/>
        <v>0</v>
      </c>
      <c r="K152">
        <f t="shared" si="9"/>
        <v>1</v>
      </c>
      <c r="L152">
        <f t="shared" si="10"/>
        <v>0</v>
      </c>
      <c r="M152">
        <f t="shared" si="11"/>
        <v>0</v>
      </c>
    </row>
    <row r="153" spans="1:13" ht="15" customHeight="1" x14ac:dyDescent="0.2">
      <c r="A153" t="s">
        <v>62</v>
      </c>
      <c r="B153" s="22">
        <v>0</v>
      </c>
      <c r="C153" s="56">
        <v>0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56">
        <v>0</v>
      </c>
      <c r="J153">
        <f t="shared" si="8"/>
        <v>0</v>
      </c>
      <c r="K153">
        <f t="shared" si="9"/>
        <v>0</v>
      </c>
      <c r="L153">
        <f t="shared" si="10"/>
        <v>0</v>
      </c>
      <c r="M153">
        <f t="shared" si="11"/>
        <v>0</v>
      </c>
    </row>
    <row r="154" spans="1:13" ht="15" customHeight="1" x14ac:dyDescent="0.2">
      <c r="A154" t="s">
        <v>63</v>
      </c>
      <c r="B154" s="22">
        <v>0</v>
      </c>
      <c r="C154" s="56">
        <v>0</v>
      </c>
      <c r="D154" s="22">
        <v>1</v>
      </c>
      <c r="E154" s="22">
        <v>0</v>
      </c>
      <c r="F154" s="22">
        <v>0</v>
      </c>
      <c r="G154" s="22">
        <v>0</v>
      </c>
      <c r="H154" s="22">
        <v>0</v>
      </c>
      <c r="I154" s="56">
        <v>0</v>
      </c>
      <c r="J154">
        <f t="shared" si="8"/>
        <v>0</v>
      </c>
      <c r="K154">
        <f t="shared" si="9"/>
        <v>1</v>
      </c>
      <c r="L154">
        <f t="shared" si="10"/>
        <v>0</v>
      </c>
      <c r="M154">
        <f t="shared" si="11"/>
        <v>0</v>
      </c>
    </row>
    <row r="155" spans="1:13" ht="15" customHeight="1" x14ac:dyDescent="0.2">
      <c r="A155" t="s">
        <v>64</v>
      </c>
      <c r="B155" s="22">
        <v>1</v>
      </c>
      <c r="C155" s="56">
        <v>0</v>
      </c>
      <c r="D155" s="22">
        <v>0</v>
      </c>
      <c r="E155" s="22">
        <v>0</v>
      </c>
      <c r="F155" s="22">
        <v>1</v>
      </c>
      <c r="G155" s="22">
        <v>0</v>
      </c>
      <c r="H155" s="22">
        <v>2</v>
      </c>
      <c r="I155" s="56">
        <v>0</v>
      </c>
      <c r="J155">
        <f t="shared" si="8"/>
        <v>3</v>
      </c>
      <c r="K155">
        <f t="shared" si="9"/>
        <v>1</v>
      </c>
      <c r="L155">
        <f t="shared" si="10"/>
        <v>0</v>
      </c>
      <c r="M155">
        <f t="shared" si="11"/>
        <v>0</v>
      </c>
    </row>
    <row r="156" spans="1:13" ht="15" customHeight="1" x14ac:dyDescent="0.2">
      <c r="A156" t="s">
        <v>65</v>
      </c>
      <c r="B156" s="22">
        <v>0</v>
      </c>
      <c r="C156" s="56">
        <v>0</v>
      </c>
      <c r="D156" s="22">
        <v>0</v>
      </c>
      <c r="E156" s="22">
        <v>0</v>
      </c>
      <c r="F156" s="22">
        <v>1</v>
      </c>
      <c r="G156" s="22">
        <v>0</v>
      </c>
      <c r="H156" s="22">
        <v>0</v>
      </c>
      <c r="I156" s="56">
        <v>0</v>
      </c>
      <c r="J156">
        <f t="shared" si="8"/>
        <v>0</v>
      </c>
      <c r="K156">
        <f t="shared" si="9"/>
        <v>1</v>
      </c>
      <c r="L156">
        <f t="shared" si="10"/>
        <v>0</v>
      </c>
      <c r="M156">
        <f t="shared" si="11"/>
        <v>0</v>
      </c>
    </row>
    <row r="157" spans="1:13" ht="15" customHeight="1" x14ac:dyDescent="0.2">
      <c r="A157" t="s">
        <v>66</v>
      </c>
      <c r="B157" s="22">
        <v>1</v>
      </c>
      <c r="C157" s="56">
        <v>0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56">
        <v>0</v>
      </c>
      <c r="J157">
        <f t="shared" si="8"/>
        <v>1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">
      <c r="A158" t="s">
        <v>67</v>
      </c>
      <c r="B158" s="22">
        <v>0</v>
      </c>
      <c r="C158" s="56">
        <v>0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56">
        <v>0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0</v>
      </c>
    </row>
    <row r="159" spans="1:13" ht="15" customHeight="1" x14ac:dyDescent="0.2">
      <c r="A159" t="s">
        <v>68</v>
      </c>
      <c r="B159" s="22">
        <v>0</v>
      </c>
      <c r="C159" s="56">
        <v>0</v>
      </c>
      <c r="D159" s="22">
        <v>0</v>
      </c>
      <c r="E159" s="22">
        <v>0</v>
      </c>
      <c r="F159" s="22">
        <v>0</v>
      </c>
      <c r="G159" s="22">
        <v>0</v>
      </c>
      <c r="H159" s="22">
        <v>1</v>
      </c>
      <c r="I159" s="56">
        <v>0</v>
      </c>
      <c r="J159">
        <f t="shared" si="8"/>
        <v>1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">
      <c r="A160" t="s">
        <v>69</v>
      </c>
      <c r="B160" s="22">
        <v>0</v>
      </c>
      <c r="C160" s="56">
        <v>0</v>
      </c>
      <c r="D160" s="22">
        <v>0</v>
      </c>
      <c r="E160" s="22">
        <v>0</v>
      </c>
      <c r="F160" s="22">
        <v>1</v>
      </c>
      <c r="G160" s="22">
        <v>0</v>
      </c>
      <c r="H160" s="22">
        <v>0</v>
      </c>
      <c r="I160" s="56">
        <v>0</v>
      </c>
      <c r="J160">
        <f t="shared" si="8"/>
        <v>0</v>
      </c>
      <c r="K160">
        <f t="shared" si="9"/>
        <v>1</v>
      </c>
      <c r="L160">
        <f t="shared" si="10"/>
        <v>0</v>
      </c>
      <c r="M160">
        <f t="shared" si="11"/>
        <v>0</v>
      </c>
    </row>
    <row r="161" spans="1:13" ht="15" customHeight="1" x14ac:dyDescent="0.2">
      <c r="A161" t="s">
        <v>70</v>
      </c>
      <c r="B161" s="22">
        <v>0</v>
      </c>
      <c r="C161" s="56">
        <v>0</v>
      </c>
      <c r="D161" s="22">
        <v>0</v>
      </c>
      <c r="E161" s="22">
        <v>0</v>
      </c>
      <c r="F161" s="22">
        <v>1</v>
      </c>
      <c r="G161" s="22">
        <v>0</v>
      </c>
      <c r="H161" s="22">
        <v>0</v>
      </c>
      <c r="I161" s="56">
        <v>0</v>
      </c>
      <c r="J161">
        <f t="shared" si="8"/>
        <v>0</v>
      </c>
      <c r="K161">
        <f t="shared" si="9"/>
        <v>1</v>
      </c>
      <c r="L161">
        <f t="shared" si="10"/>
        <v>0</v>
      </c>
      <c r="M161">
        <f t="shared" si="11"/>
        <v>0</v>
      </c>
    </row>
    <row r="162" spans="1:13" ht="15" customHeight="1" x14ac:dyDescent="0.2">
      <c r="A162" t="s">
        <v>71</v>
      </c>
      <c r="B162" s="22">
        <v>0</v>
      </c>
      <c r="C162" s="56">
        <v>0</v>
      </c>
      <c r="D162" s="22">
        <v>0</v>
      </c>
      <c r="E162" s="22">
        <v>0</v>
      </c>
      <c r="F162" s="22">
        <v>0</v>
      </c>
      <c r="G162" s="22">
        <v>0</v>
      </c>
      <c r="H162" s="22">
        <v>2</v>
      </c>
      <c r="I162" s="56">
        <v>0</v>
      </c>
      <c r="J162">
        <f t="shared" si="8"/>
        <v>2</v>
      </c>
      <c r="K162">
        <f t="shared" si="9"/>
        <v>0</v>
      </c>
      <c r="L162">
        <f t="shared" si="10"/>
        <v>0</v>
      </c>
      <c r="M162">
        <f t="shared" si="11"/>
        <v>0</v>
      </c>
    </row>
    <row r="163" spans="1:13" ht="15" customHeight="1" x14ac:dyDescent="0.2">
      <c r="A163" t="s">
        <v>72</v>
      </c>
      <c r="B163" s="22">
        <v>1</v>
      </c>
      <c r="C163" s="56">
        <v>0</v>
      </c>
      <c r="D163" s="22">
        <v>0</v>
      </c>
      <c r="E163" s="22">
        <v>0</v>
      </c>
      <c r="F163" s="22">
        <v>0</v>
      </c>
      <c r="G163" s="22">
        <v>0</v>
      </c>
      <c r="H163" s="22">
        <v>1</v>
      </c>
      <c r="I163" s="56">
        <v>0</v>
      </c>
      <c r="J163">
        <f t="shared" si="8"/>
        <v>2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1:13" ht="15" customHeight="1" x14ac:dyDescent="0.2">
      <c r="A164" t="s">
        <v>73</v>
      </c>
      <c r="B164" s="22">
        <v>0</v>
      </c>
      <c r="C164" s="56">
        <v>0</v>
      </c>
      <c r="D164" s="22">
        <v>0</v>
      </c>
      <c r="E164" s="22">
        <v>0</v>
      </c>
      <c r="F164" s="22">
        <v>1</v>
      </c>
      <c r="G164" s="22">
        <v>0</v>
      </c>
      <c r="H164" s="22">
        <v>0</v>
      </c>
      <c r="I164" s="56">
        <v>0</v>
      </c>
      <c r="J164">
        <f t="shared" si="8"/>
        <v>0</v>
      </c>
      <c r="K164">
        <f t="shared" si="9"/>
        <v>1</v>
      </c>
      <c r="L164">
        <f t="shared" si="10"/>
        <v>0</v>
      </c>
      <c r="M164">
        <f t="shared" si="11"/>
        <v>0</v>
      </c>
    </row>
    <row r="165" spans="1:13" ht="15" customHeight="1" x14ac:dyDescent="0.2">
      <c r="A165" t="s">
        <v>74</v>
      </c>
      <c r="B165" s="22">
        <v>0</v>
      </c>
      <c r="C165" s="56">
        <v>0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56">
        <v>0</v>
      </c>
      <c r="J165">
        <f t="shared" si="8"/>
        <v>0</v>
      </c>
      <c r="K165">
        <f t="shared" si="9"/>
        <v>0</v>
      </c>
      <c r="L165">
        <f t="shared" si="10"/>
        <v>0</v>
      </c>
      <c r="M165">
        <f t="shared" si="11"/>
        <v>0</v>
      </c>
    </row>
    <row r="166" spans="1:13" ht="15" customHeight="1" x14ac:dyDescent="0.2">
      <c r="A166" t="s">
        <v>75</v>
      </c>
      <c r="B166" s="22">
        <v>0</v>
      </c>
      <c r="C166" s="56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56">
        <v>0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</row>
    <row r="167" spans="1:13" ht="15" customHeight="1" x14ac:dyDescent="0.2">
      <c r="A167" t="s">
        <v>76</v>
      </c>
      <c r="B167" s="22">
        <v>0</v>
      </c>
      <c r="C167" s="56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2</v>
      </c>
      <c r="I167" s="56">
        <v>0</v>
      </c>
      <c r="J167">
        <f t="shared" si="8"/>
        <v>2</v>
      </c>
      <c r="K167">
        <f t="shared" si="9"/>
        <v>0</v>
      </c>
      <c r="L167">
        <f t="shared" si="10"/>
        <v>0</v>
      </c>
      <c r="M167">
        <f t="shared" si="11"/>
        <v>0</v>
      </c>
    </row>
    <row r="168" spans="1:13" ht="15" customHeight="1" x14ac:dyDescent="0.2">
      <c r="A168" t="s">
        <v>77</v>
      </c>
      <c r="B168" s="22">
        <v>0</v>
      </c>
      <c r="C168" s="56">
        <v>0</v>
      </c>
      <c r="D168" s="22">
        <v>0</v>
      </c>
      <c r="E168" s="22">
        <v>0</v>
      </c>
      <c r="F168" s="22">
        <v>1</v>
      </c>
      <c r="G168" s="22">
        <v>0</v>
      </c>
      <c r="H168" s="22">
        <v>2</v>
      </c>
      <c r="I168" s="56">
        <v>0</v>
      </c>
      <c r="J168">
        <f t="shared" si="8"/>
        <v>2</v>
      </c>
      <c r="K168">
        <f t="shared" si="9"/>
        <v>1</v>
      </c>
      <c r="L168">
        <f t="shared" si="10"/>
        <v>0</v>
      </c>
      <c r="M168">
        <f t="shared" si="11"/>
        <v>0</v>
      </c>
    </row>
    <row r="169" spans="1:13" ht="15" customHeight="1" x14ac:dyDescent="0.2">
      <c r="A169" t="s">
        <v>78</v>
      </c>
      <c r="B169" s="22">
        <v>1</v>
      </c>
      <c r="C169" s="56">
        <v>0</v>
      </c>
      <c r="D169" s="22">
        <v>1</v>
      </c>
      <c r="E169" s="22">
        <v>0</v>
      </c>
      <c r="F169" s="22">
        <v>1</v>
      </c>
      <c r="G169" s="22">
        <v>0</v>
      </c>
      <c r="H169" s="22">
        <v>0</v>
      </c>
      <c r="I169" s="56">
        <v>0</v>
      </c>
      <c r="J169">
        <f t="shared" si="8"/>
        <v>1</v>
      </c>
      <c r="K169">
        <f t="shared" si="9"/>
        <v>2</v>
      </c>
      <c r="L169">
        <f t="shared" si="10"/>
        <v>0</v>
      </c>
      <c r="M169">
        <f t="shared" si="11"/>
        <v>0</v>
      </c>
    </row>
    <row r="170" spans="1:13" ht="15" customHeight="1" x14ac:dyDescent="0.2">
      <c r="A170" t="s">
        <v>79</v>
      </c>
      <c r="B170" s="22">
        <v>0</v>
      </c>
      <c r="C170" s="56">
        <v>0</v>
      </c>
      <c r="D170" s="22">
        <v>1</v>
      </c>
      <c r="E170" s="22">
        <v>0</v>
      </c>
      <c r="F170" s="22">
        <v>0</v>
      </c>
      <c r="G170" s="22">
        <v>0</v>
      </c>
      <c r="H170" s="22">
        <v>2</v>
      </c>
      <c r="I170" s="56">
        <v>0</v>
      </c>
      <c r="J170">
        <f t="shared" si="8"/>
        <v>2</v>
      </c>
      <c r="K170">
        <f t="shared" si="9"/>
        <v>1</v>
      </c>
      <c r="L170">
        <f t="shared" si="10"/>
        <v>0</v>
      </c>
      <c r="M170">
        <f t="shared" si="11"/>
        <v>0</v>
      </c>
    </row>
    <row r="171" spans="1:13" ht="15" customHeight="1" x14ac:dyDescent="0.2">
      <c r="A171" t="s">
        <v>80</v>
      </c>
      <c r="B171" s="22">
        <v>2</v>
      </c>
      <c r="C171" s="56">
        <v>0</v>
      </c>
      <c r="D171" s="22">
        <v>0</v>
      </c>
      <c r="E171" s="22">
        <v>0</v>
      </c>
      <c r="F171" s="22">
        <v>1</v>
      </c>
      <c r="G171" s="22">
        <v>0</v>
      </c>
      <c r="H171" s="22">
        <v>2</v>
      </c>
      <c r="I171" s="56">
        <v>0</v>
      </c>
      <c r="J171">
        <f t="shared" si="8"/>
        <v>4</v>
      </c>
      <c r="K171">
        <f t="shared" si="9"/>
        <v>1</v>
      </c>
      <c r="L171">
        <f t="shared" si="10"/>
        <v>0</v>
      </c>
      <c r="M171">
        <f t="shared" si="11"/>
        <v>0</v>
      </c>
    </row>
    <row r="172" spans="1:13" ht="15" customHeight="1" x14ac:dyDescent="0.2">
      <c r="A172" t="s">
        <v>81</v>
      </c>
      <c r="B172" s="22">
        <v>0</v>
      </c>
      <c r="C172" s="56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1</v>
      </c>
      <c r="I172" s="56">
        <v>0</v>
      </c>
      <c r="J172">
        <f t="shared" si="8"/>
        <v>1</v>
      </c>
      <c r="K172">
        <f t="shared" si="9"/>
        <v>0</v>
      </c>
      <c r="L172">
        <f t="shared" si="10"/>
        <v>0</v>
      </c>
      <c r="M172">
        <f t="shared" si="11"/>
        <v>0</v>
      </c>
    </row>
    <row r="173" spans="1:13" ht="15" customHeight="1" x14ac:dyDescent="0.2">
      <c r="A173" t="s">
        <v>82</v>
      </c>
      <c r="B173" s="22">
        <v>0</v>
      </c>
      <c r="C173" s="56">
        <v>0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56">
        <v>0</v>
      </c>
      <c r="J173">
        <f t="shared" si="8"/>
        <v>0</v>
      </c>
      <c r="K173">
        <f t="shared" si="9"/>
        <v>0</v>
      </c>
      <c r="L173">
        <f t="shared" si="10"/>
        <v>0</v>
      </c>
      <c r="M173">
        <f t="shared" si="11"/>
        <v>0</v>
      </c>
    </row>
    <row r="174" spans="1:13" ht="15" customHeight="1" x14ac:dyDescent="0.2">
      <c r="A174" t="s">
        <v>83</v>
      </c>
      <c r="B174" s="22">
        <v>0</v>
      </c>
      <c r="C174" s="56">
        <v>0</v>
      </c>
      <c r="D174" s="22">
        <v>1</v>
      </c>
      <c r="E174" s="22">
        <v>0</v>
      </c>
      <c r="F174" s="22">
        <v>1</v>
      </c>
      <c r="G174" s="22">
        <v>0</v>
      </c>
      <c r="H174" s="22">
        <v>0</v>
      </c>
      <c r="I174" s="56">
        <v>0</v>
      </c>
      <c r="J174">
        <f t="shared" si="8"/>
        <v>0</v>
      </c>
      <c r="K174">
        <f t="shared" si="9"/>
        <v>2</v>
      </c>
      <c r="L174">
        <f t="shared" si="10"/>
        <v>0</v>
      </c>
      <c r="M174">
        <f t="shared" si="11"/>
        <v>0</v>
      </c>
    </row>
    <row r="175" spans="1:13" ht="15" customHeight="1" x14ac:dyDescent="0.2">
      <c r="A175" t="s">
        <v>84</v>
      </c>
      <c r="B175" s="22">
        <v>0</v>
      </c>
      <c r="C175" s="56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56">
        <v>0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ht="15" customHeight="1" x14ac:dyDescent="0.2">
      <c r="A176" t="s">
        <v>85</v>
      </c>
      <c r="B176" s="22">
        <v>0</v>
      </c>
      <c r="C176" s="56">
        <v>0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56">
        <v>0</v>
      </c>
      <c r="J176">
        <f t="shared" si="8"/>
        <v>0</v>
      </c>
      <c r="K176">
        <f t="shared" si="9"/>
        <v>0</v>
      </c>
      <c r="L176">
        <f t="shared" si="10"/>
        <v>0</v>
      </c>
      <c r="M176">
        <f t="shared" si="11"/>
        <v>0</v>
      </c>
    </row>
    <row r="177" spans="1:13" ht="15" customHeight="1" x14ac:dyDescent="0.2">
      <c r="A177" t="s">
        <v>86</v>
      </c>
      <c r="B177" s="22">
        <v>0</v>
      </c>
      <c r="C177" s="56">
        <v>0</v>
      </c>
      <c r="D177" s="22">
        <v>0</v>
      </c>
      <c r="E177" s="22">
        <v>0</v>
      </c>
      <c r="F177" s="22">
        <v>0</v>
      </c>
      <c r="G177" s="22">
        <v>0</v>
      </c>
      <c r="H177" s="22">
        <v>1</v>
      </c>
      <c r="I177" s="56">
        <v>0</v>
      </c>
      <c r="J177">
        <f t="shared" si="8"/>
        <v>1</v>
      </c>
      <c r="K177">
        <f t="shared" si="9"/>
        <v>0</v>
      </c>
      <c r="L177">
        <f t="shared" si="10"/>
        <v>0</v>
      </c>
      <c r="M177">
        <f t="shared" si="11"/>
        <v>0</v>
      </c>
    </row>
    <row r="178" spans="1:13" ht="15" customHeight="1" x14ac:dyDescent="0.2">
      <c r="A178" t="s">
        <v>87</v>
      </c>
      <c r="B178" s="22">
        <v>0</v>
      </c>
      <c r="C178" s="56">
        <v>0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56">
        <v>0</v>
      </c>
      <c r="J178">
        <f t="shared" si="8"/>
        <v>0</v>
      </c>
      <c r="K178">
        <f t="shared" si="9"/>
        <v>0</v>
      </c>
      <c r="L178">
        <f t="shared" si="10"/>
        <v>0</v>
      </c>
      <c r="M178">
        <f t="shared" si="11"/>
        <v>0</v>
      </c>
    </row>
    <row r="179" spans="1:13" ht="15" customHeight="1" x14ac:dyDescent="0.2">
      <c r="A179" t="s">
        <v>88</v>
      </c>
      <c r="B179" s="22">
        <v>0</v>
      </c>
      <c r="C179" s="56">
        <v>0</v>
      </c>
      <c r="D179" s="22">
        <v>1</v>
      </c>
      <c r="E179" s="22">
        <v>0</v>
      </c>
      <c r="F179" s="22">
        <v>0</v>
      </c>
      <c r="G179" s="22">
        <v>0</v>
      </c>
      <c r="H179" s="22">
        <v>0</v>
      </c>
      <c r="I179" s="56">
        <v>0</v>
      </c>
      <c r="J179">
        <f t="shared" si="8"/>
        <v>0</v>
      </c>
      <c r="K179">
        <f t="shared" si="9"/>
        <v>1</v>
      </c>
      <c r="L179">
        <f t="shared" si="10"/>
        <v>0</v>
      </c>
      <c r="M179">
        <f t="shared" si="11"/>
        <v>0</v>
      </c>
    </row>
    <row r="180" spans="1:13" ht="15" customHeight="1" x14ac:dyDescent="0.2">
      <c r="A180" t="s">
        <v>89</v>
      </c>
      <c r="B180" s="22">
        <v>0</v>
      </c>
      <c r="C180" s="56">
        <v>0</v>
      </c>
      <c r="D180" s="22">
        <v>0</v>
      </c>
      <c r="E180" s="22">
        <v>0</v>
      </c>
      <c r="F180" s="22">
        <v>0</v>
      </c>
      <c r="G180" s="22">
        <v>0</v>
      </c>
      <c r="H180" s="22">
        <v>1</v>
      </c>
      <c r="I180" s="56">
        <v>0</v>
      </c>
      <c r="J180">
        <f t="shared" si="8"/>
        <v>1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1:13" ht="15" customHeight="1" x14ac:dyDescent="0.2">
      <c r="A181" t="s">
        <v>90</v>
      </c>
      <c r="B181" s="22">
        <v>0</v>
      </c>
      <c r="C181" s="56">
        <v>0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56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">
      <c r="A182" t="s">
        <v>91</v>
      </c>
      <c r="B182" s="22">
        <v>0</v>
      </c>
      <c r="C182" s="56">
        <v>0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56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</row>
    <row r="183" spans="1:13" ht="15" customHeight="1" x14ac:dyDescent="0.2">
      <c r="A183" t="s">
        <v>92</v>
      </c>
      <c r="B183" s="22">
        <v>0</v>
      </c>
      <c r="C183" s="56">
        <v>0</v>
      </c>
      <c r="D183" s="22">
        <v>0</v>
      </c>
      <c r="E183" s="22">
        <v>0</v>
      </c>
      <c r="F183" s="22">
        <v>0</v>
      </c>
      <c r="G183" s="22">
        <v>0</v>
      </c>
      <c r="H183" s="22">
        <v>1</v>
      </c>
      <c r="I183" s="56">
        <v>0</v>
      </c>
      <c r="J183">
        <f t="shared" si="8"/>
        <v>1</v>
      </c>
      <c r="K183">
        <f t="shared" si="9"/>
        <v>0</v>
      </c>
      <c r="L183">
        <f t="shared" si="10"/>
        <v>0</v>
      </c>
      <c r="M183">
        <f t="shared" si="11"/>
        <v>0</v>
      </c>
    </row>
    <row r="184" spans="1:13" ht="15" customHeight="1" x14ac:dyDescent="0.2">
      <c r="A184" t="s">
        <v>93</v>
      </c>
      <c r="B184" s="22">
        <v>0</v>
      </c>
      <c r="C184" s="56">
        <v>0</v>
      </c>
      <c r="D184" s="22">
        <v>1</v>
      </c>
      <c r="E184" s="22">
        <v>0</v>
      </c>
      <c r="F184" s="22">
        <v>0</v>
      </c>
      <c r="G184" s="22">
        <v>0</v>
      </c>
      <c r="H184" s="22">
        <v>1</v>
      </c>
      <c r="I184" s="56">
        <v>0</v>
      </c>
      <c r="J184">
        <f t="shared" si="8"/>
        <v>1</v>
      </c>
      <c r="K184">
        <f t="shared" si="9"/>
        <v>1</v>
      </c>
      <c r="L184">
        <f t="shared" si="10"/>
        <v>0</v>
      </c>
      <c r="M184">
        <f t="shared" si="11"/>
        <v>0</v>
      </c>
    </row>
    <row r="185" spans="1:13" ht="15" customHeight="1" x14ac:dyDescent="0.2">
      <c r="A185" t="s">
        <v>94</v>
      </c>
      <c r="B185" s="22">
        <v>0</v>
      </c>
      <c r="C185" s="56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1</v>
      </c>
      <c r="I185" s="56">
        <v>0</v>
      </c>
      <c r="J185">
        <f t="shared" si="8"/>
        <v>1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">
      <c r="A186" t="s">
        <v>95</v>
      </c>
      <c r="B186" s="22">
        <v>0</v>
      </c>
      <c r="C186" s="56">
        <v>0</v>
      </c>
      <c r="D186" s="22">
        <v>0</v>
      </c>
      <c r="E186" s="22">
        <v>0</v>
      </c>
      <c r="F186" s="22">
        <v>4</v>
      </c>
      <c r="G186" s="22">
        <v>0</v>
      </c>
      <c r="H186" s="22">
        <v>0</v>
      </c>
      <c r="I186" s="56">
        <v>0</v>
      </c>
      <c r="J186">
        <f t="shared" si="8"/>
        <v>0</v>
      </c>
      <c r="K186">
        <f t="shared" si="9"/>
        <v>4</v>
      </c>
      <c r="L186">
        <f t="shared" si="10"/>
        <v>0</v>
      </c>
      <c r="M186">
        <f t="shared" si="11"/>
        <v>0</v>
      </c>
    </row>
    <row r="187" spans="1:13" ht="15" customHeight="1" x14ac:dyDescent="0.2">
      <c r="A187" t="s">
        <v>96</v>
      </c>
      <c r="B187" s="22">
        <v>0</v>
      </c>
      <c r="C187" s="56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56">
        <v>0</v>
      </c>
      <c r="J187">
        <f t="shared" si="8"/>
        <v>0</v>
      </c>
      <c r="K187">
        <f t="shared" si="9"/>
        <v>0</v>
      </c>
      <c r="L187">
        <f t="shared" si="10"/>
        <v>0</v>
      </c>
      <c r="M187">
        <f t="shared" si="11"/>
        <v>0</v>
      </c>
    </row>
    <row r="188" spans="1:13" ht="15" customHeight="1" x14ac:dyDescent="0.2">
      <c r="A188" t="s">
        <v>97</v>
      </c>
      <c r="B188" s="22">
        <v>1</v>
      </c>
      <c r="C188" s="56">
        <v>0</v>
      </c>
      <c r="D188" s="22">
        <v>0</v>
      </c>
      <c r="E188" s="22">
        <v>0</v>
      </c>
      <c r="F188" s="22">
        <v>1</v>
      </c>
      <c r="G188" s="22">
        <v>0</v>
      </c>
      <c r="H188" s="22">
        <v>0</v>
      </c>
      <c r="I188" s="56">
        <v>0</v>
      </c>
      <c r="J188">
        <f t="shared" si="8"/>
        <v>1</v>
      </c>
      <c r="K188">
        <f t="shared" si="9"/>
        <v>1</v>
      </c>
      <c r="L188">
        <f t="shared" si="10"/>
        <v>0</v>
      </c>
      <c r="M188">
        <f t="shared" si="11"/>
        <v>0</v>
      </c>
    </row>
    <row r="189" spans="1:13" ht="15" customHeight="1" x14ac:dyDescent="0.2">
      <c r="A189" t="s">
        <v>98</v>
      </c>
      <c r="B189" s="22">
        <v>0</v>
      </c>
      <c r="C189" s="56">
        <v>0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56">
        <v>0</v>
      </c>
      <c r="J189">
        <f t="shared" si="8"/>
        <v>0</v>
      </c>
      <c r="K189">
        <f t="shared" si="9"/>
        <v>0</v>
      </c>
      <c r="L189">
        <f t="shared" si="10"/>
        <v>0</v>
      </c>
      <c r="M189">
        <f t="shared" si="11"/>
        <v>0</v>
      </c>
    </row>
    <row r="190" spans="1:13" ht="15" customHeight="1" x14ac:dyDescent="0.2">
      <c r="A190" t="s">
        <v>99</v>
      </c>
      <c r="B190" s="22">
        <v>0</v>
      </c>
      <c r="C190" s="56">
        <v>0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56">
        <v>0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0</v>
      </c>
    </row>
    <row r="191" spans="1:13" ht="15" customHeight="1" x14ac:dyDescent="0.2">
      <c r="A191" t="s">
        <v>100</v>
      </c>
      <c r="B191" s="22">
        <v>0</v>
      </c>
      <c r="C191" s="56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56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">
      <c r="A192" t="s">
        <v>101</v>
      </c>
      <c r="B192" s="22">
        <v>1</v>
      </c>
      <c r="C192" s="56">
        <v>0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56">
        <v>0</v>
      </c>
      <c r="J192">
        <f t="shared" si="8"/>
        <v>1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1:13" ht="15" customHeight="1" x14ac:dyDescent="0.2">
      <c r="A193" t="s">
        <v>102</v>
      </c>
      <c r="B193" s="22">
        <v>0</v>
      </c>
      <c r="C193" s="56">
        <v>0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56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">
      <c r="A194" t="s">
        <v>103</v>
      </c>
      <c r="B194" s="22">
        <v>0</v>
      </c>
      <c r="C194" s="56">
        <v>0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56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">
      <c r="A195" t="s">
        <v>104</v>
      </c>
      <c r="B195" s="22">
        <v>0</v>
      </c>
      <c r="C195" s="56">
        <v>0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56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</row>
    <row r="196" spans="1:13" ht="15" customHeight="1" x14ac:dyDescent="0.2">
      <c r="A196" t="s">
        <v>105</v>
      </c>
      <c r="B196" s="22">
        <v>0</v>
      </c>
      <c r="C196" s="56">
        <v>0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56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t="15" customHeight="1" x14ac:dyDescent="0.2">
      <c r="A197" t="s">
        <v>106</v>
      </c>
      <c r="B197" s="22">
        <v>0</v>
      </c>
      <c r="C197" s="56">
        <v>0</v>
      </c>
      <c r="D197" s="22">
        <v>0</v>
      </c>
      <c r="E197" s="22">
        <v>0</v>
      </c>
      <c r="F197" s="22">
        <v>1</v>
      </c>
      <c r="G197" s="22">
        <v>0</v>
      </c>
      <c r="H197" s="22">
        <v>0</v>
      </c>
      <c r="I197" s="56">
        <v>0</v>
      </c>
      <c r="J197">
        <f t="shared" si="8"/>
        <v>0</v>
      </c>
      <c r="K197">
        <f t="shared" si="9"/>
        <v>1</v>
      </c>
      <c r="L197">
        <f t="shared" si="10"/>
        <v>0</v>
      </c>
      <c r="M197">
        <f t="shared" si="11"/>
        <v>0</v>
      </c>
    </row>
    <row r="198" spans="1:13" ht="15" customHeight="1" x14ac:dyDescent="0.2">
      <c r="A198" t="s">
        <v>107</v>
      </c>
      <c r="B198" s="22">
        <v>0</v>
      </c>
      <c r="C198" s="56">
        <v>0</v>
      </c>
      <c r="D198" s="22">
        <v>0</v>
      </c>
      <c r="E198" s="22">
        <v>0</v>
      </c>
      <c r="F198" s="22">
        <v>1</v>
      </c>
      <c r="G198" s="22">
        <v>0</v>
      </c>
      <c r="H198" s="22">
        <v>0</v>
      </c>
      <c r="I198" s="56">
        <v>0</v>
      </c>
      <c r="J198">
        <f t="shared" si="8"/>
        <v>0</v>
      </c>
      <c r="K198">
        <f t="shared" si="9"/>
        <v>1</v>
      </c>
      <c r="L198">
        <f t="shared" si="10"/>
        <v>0</v>
      </c>
      <c r="M198">
        <f t="shared" si="11"/>
        <v>0</v>
      </c>
    </row>
    <row r="199" spans="1:13" ht="15" customHeight="1" x14ac:dyDescent="0.2">
      <c r="A199" t="s">
        <v>108</v>
      </c>
      <c r="B199" s="22">
        <v>0</v>
      </c>
      <c r="C199" s="56">
        <v>0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56">
        <v>0</v>
      </c>
      <c r="J199">
        <f t="shared" si="8"/>
        <v>0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">
      <c r="A200" t="s">
        <v>109</v>
      </c>
      <c r="B200" s="22">
        <v>2</v>
      </c>
      <c r="C200" s="56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56">
        <v>0</v>
      </c>
      <c r="J200">
        <f t="shared" si="8"/>
        <v>2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">
      <c r="A201" t="s">
        <v>110</v>
      </c>
      <c r="B201" s="22">
        <v>0</v>
      </c>
      <c r="C201" s="56">
        <v>0</v>
      </c>
      <c r="D201" s="22">
        <v>0</v>
      </c>
      <c r="E201" s="22">
        <v>0</v>
      </c>
      <c r="F201" s="22">
        <v>1</v>
      </c>
      <c r="G201" s="22">
        <v>0</v>
      </c>
      <c r="H201" s="22">
        <v>0</v>
      </c>
      <c r="I201" s="56">
        <v>0</v>
      </c>
      <c r="J201">
        <f t="shared" si="8"/>
        <v>0</v>
      </c>
      <c r="K201">
        <f t="shared" si="9"/>
        <v>1</v>
      </c>
      <c r="L201">
        <f t="shared" si="10"/>
        <v>0</v>
      </c>
      <c r="M201">
        <f t="shared" si="11"/>
        <v>0</v>
      </c>
    </row>
    <row r="202" spans="1:13" ht="15" customHeight="1" x14ac:dyDescent="0.2">
      <c r="B202">
        <f t="shared" ref="B202:M202" si="12">SUM(B10:B201)</f>
        <v>41</v>
      </c>
      <c r="C202" s="45">
        <f t="shared" si="12"/>
        <v>5</v>
      </c>
      <c r="D202">
        <f t="shared" si="12"/>
        <v>27</v>
      </c>
      <c r="E202">
        <f t="shared" si="12"/>
        <v>1</v>
      </c>
      <c r="F202">
        <f t="shared" si="12"/>
        <v>63</v>
      </c>
      <c r="G202">
        <f t="shared" si="12"/>
        <v>0</v>
      </c>
      <c r="H202">
        <f t="shared" si="12"/>
        <v>72</v>
      </c>
      <c r="I202" s="45">
        <f t="shared" si="12"/>
        <v>0</v>
      </c>
      <c r="J202">
        <f t="shared" si="12"/>
        <v>113</v>
      </c>
      <c r="K202">
        <f t="shared" si="12"/>
        <v>90</v>
      </c>
      <c r="L202">
        <f t="shared" si="12"/>
        <v>5</v>
      </c>
      <c r="M202">
        <f t="shared" si="12"/>
        <v>1</v>
      </c>
    </row>
    <row r="204" spans="1:13" ht="15" customHeight="1" x14ac:dyDescent="0.2">
      <c r="K204" s="88" t="s">
        <v>212</v>
      </c>
      <c r="L204" s="6">
        <f>SUM(L36:L91,L132:L187)</f>
        <v>2</v>
      </c>
    </row>
    <row r="205" spans="1:13" ht="15" customHeight="1" x14ac:dyDescent="0.2">
      <c r="K205" s="88" t="s">
        <v>213</v>
      </c>
      <c r="L205" s="6">
        <f>L202-L204</f>
        <v>3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L1" sqref="L1:L1048576"/>
    </sheetView>
  </sheetViews>
  <sheetFormatPr defaultColWidth="12.140625" defaultRowHeight="15" customHeight="1" x14ac:dyDescent="0.2"/>
  <cols>
    <col min="1" max="1" width="12.140625" bestFit="1" customWidth="1"/>
    <col min="2" max="4" width="10.42578125" customWidth="1"/>
    <col min="5" max="7" width="9.85546875" customWidth="1"/>
    <col min="8" max="8" width="11.85546875" customWidth="1"/>
  </cols>
  <sheetData>
    <row r="1" spans="1:12" ht="15" customHeight="1" x14ac:dyDescent="0.3">
      <c r="A1" s="111" t="s">
        <v>0</v>
      </c>
      <c r="B1" s="111"/>
      <c r="C1" s="112" t="s">
        <v>169</v>
      </c>
      <c r="D1" s="112"/>
      <c r="E1" s="112"/>
      <c r="F1" s="112"/>
      <c r="G1" s="112"/>
    </row>
    <row r="2" spans="1:12" ht="15" customHeight="1" x14ac:dyDescent="0.3">
      <c r="A2" s="111" t="s">
        <v>2</v>
      </c>
      <c r="B2" s="111"/>
      <c r="C2" s="112" t="s">
        <v>170</v>
      </c>
      <c r="D2" s="112"/>
      <c r="E2" s="112"/>
      <c r="F2" s="112"/>
      <c r="G2" s="112"/>
    </row>
    <row r="3" spans="1:12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</row>
    <row r="4" spans="1:12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</row>
    <row r="7" spans="1:12" s="1" customFormat="1" ht="28.5" customHeight="1" x14ac:dyDescent="0.3">
      <c r="A7" s="2" t="s">
        <v>8</v>
      </c>
      <c r="B7" s="3" t="s">
        <v>161</v>
      </c>
      <c r="C7" s="3" t="s">
        <v>162</v>
      </c>
      <c r="D7" s="3" t="s">
        <v>171</v>
      </c>
      <c r="E7" s="3" t="s">
        <v>161</v>
      </c>
      <c r="F7" s="3" t="s">
        <v>162</v>
      </c>
      <c r="G7" s="3" t="s">
        <v>171</v>
      </c>
    </row>
    <row r="8" spans="1:12" s="1" customFormat="1" ht="28.5" customHeight="1" x14ac:dyDescent="0.3">
      <c r="A8" s="2" t="s">
        <v>13</v>
      </c>
      <c r="B8" s="3" t="s">
        <v>128</v>
      </c>
      <c r="C8" s="3" t="s">
        <v>128</v>
      </c>
      <c r="D8" s="3" t="s">
        <v>128</v>
      </c>
      <c r="E8" s="3" t="s">
        <v>129</v>
      </c>
      <c r="F8" s="3" t="s">
        <v>129</v>
      </c>
      <c r="G8" s="3" t="s">
        <v>129</v>
      </c>
    </row>
    <row r="9" spans="1:12" s="1" customFormat="1" ht="28.5" customHeight="1" x14ac:dyDescent="0.2">
      <c r="B9" s="16" t="s">
        <v>121</v>
      </c>
      <c r="C9" s="17" t="s">
        <v>113</v>
      </c>
      <c r="D9" s="16" t="s">
        <v>120</v>
      </c>
      <c r="E9" s="16" t="s">
        <v>120</v>
      </c>
      <c r="F9" s="17" t="s">
        <v>111</v>
      </c>
      <c r="G9" s="16" t="s">
        <v>121</v>
      </c>
      <c r="H9" s="17" t="s">
        <v>113</v>
      </c>
      <c r="I9" s="17" t="s">
        <v>111</v>
      </c>
      <c r="J9" s="92" t="s">
        <v>121</v>
      </c>
      <c r="K9" s="16" t="s">
        <v>120</v>
      </c>
    </row>
    <row r="10" spans="1:12" ht="15" customHeight="1" x14ac:dyDescent="0.2">
      <c r="A10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>
        <f>C10</f>
        <v>0</v>
      </c>
      <c r="I10">
        <f>F10</f>
        <v>0</v>
      </c>
      <c r="J10">
        <f>(B10+G10)</f>
        <v>0</v>
      </c>
      <c r="K10">
        <f>(D10+E10)</f>
        <v>0</v>
      </c>
      <c r="L10">
        <v>15</v>
      </c>
    </row>
    <row r="11" spans="1:12" ht="15" customHeight="1" x14ac:dyDescent="0.2">
      <c r="A11" t="s">
        <v>16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>
        <f t="shared" ref="H11:H74" si="0">C11</f>
        <v>0</v>
      </c>
      <c r="I11">
        <f t="shared" ref="I11:I74" si="1">F11</f>
        <v>0</v>
      </c>
      <c r="J11">
        <f t="shared" ref="J11:J74" si="2">(B11+G11)</f>
        <v>0</v>
      </c>
      <c r="K11">
        <f t="shared" ref="K11:K74" si="3">(D11+E11)</f>
        <v>0</v>
      </c>
      <c r="L11">
        <v>15</v>
      </c>
    </row>
    <row r="12" spans="1:12" ht="15" customHeight="1" x14ac:dyDescent="0.2">
      <c r="A12" t="s">
        <v>17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>
        <f t="shared" si="0"/>
        <v>0</v>
      </c>
      <c r="I12">
        <f t="shared" si="1"/>
        <v>0</v>
      </c>
      <c r="J12">
        <f t="shared" si="2"/>
        <v>0</v>
      </c>
      <c r="K12">
        <f t="shared" si="3"/>
        <v>0</v>
      </c>
      <c r="L12">
        <v>15</v>
      </c>
    </row>
    <row r="13" spans="1:12" ht="15" customHeight="1" x14ac:dyDescent="0.2">
      <c r="A13" t="s">
        <v>18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>
        <f t="shared" si="0"/>
        <v>0</v>
      </c>
      <c r="I13">
        <f t="shared" si="1"/>
        <v>0</v>
      </c>
      <c r="J13">
        <f t="shared" si="2"/>
        <v>0</v>
      </c>
      <c r="K13">
        <f t="shared" si="3"/>
        <v>0</v>
      </c>
      <c r="L13">
        <v>15</v>
      </c>
    </row>
    <row r="14" spans="1:12" ht="15" customHeight="1" x14ac:dyDescent="0.2">
      <c r="A14" t="s">
        <v>19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v>15</v>
      </c>
    </row>
    <row r="15" spans="1:12" ht="15" customHeight="1" x14ac:dyDescent="0.2">
      <c r="A15" t="s">
        <v>20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v>15</v>
      </c>
    </row>
    <row r="16" spans="1:12" ht="15" customHeight="1" x14ac:dyDescent="0.2">
      <c r="A16" t="s">
        <v>21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v>15</v>
      </c>
    </row>
    <row r="17" spans="1:12" ht="15" customHeight="1" x14ac:dyDescent="0.2">
      <c r="A17" t="s">
        <v>22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v>15</v>
      </c>
    </row>
    <row r="18" spans="1:12" ht="15" customHeight="1" x14ac:dyDescent="0.2">
      <c r="A18" t="s">
        <v>23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v>15</v>
      </c>
    </row>
    <row r="19" spans="1:12" ht="15" customHeight="1" x14ac:dyDescent="0.2">
      <c r="A19" t="s">
        <v>24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v>15</v>
      </c>
    </row>
    <row r="20" spans="1:12" ht="15" customHeight="1" x14ac:dyDescent="0.2">
      <c r="A20" t="s">
        <v>25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v>15</v>
      </c>
    </row>
    <row r="21" spans="1:12" ht="15" customHeight="1" x14ac:dyDescent="0.2">
      <c r="A21" t="s">
        <v>26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v>15</v>
      </c>
    </row>
    <row r="22" spans="1:12" ht="15" customHeight="1" x14ac:dyDescent="0.2">
      <c r="A22" t="s">
        <v>27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v>15</v>
      </c>
    </row>
    <row r="23" spans="1:12" ht="15" customHeight="1" x14ac:dyDescent="0.2">
      <c r="A23" t="s">
        <v>28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v>15</v>
      </c>
    </row>
    <row r="24" spans="1:12" ht="15" customHeight="1" x14ac:dyDescent="0.2">
      <c r="A24" t="s">
        <v>29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v>15</v>
      </c>
    </row>
    <row r="25" spans="1:12" ht="15" customHeight="1" x14ac:dyDescent="0.2">
      <c r="A25" t="s">
        <v>30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v>15</v>
      </c>
    </row>
    <row r="26" spans="1:12" ht="15" customHeight="1" x14ac:dyDescent="0.2">
      <c r="A26" t="s">
        <v>31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v>15</v>
      </c>
    </row>
    <row r="27" spans="1:12" ht="15" customHeight="1" x14ac:dyDescent="0.2">
      <c r="A27" t="s">
        <v>32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v>15</v>
      </c>
    </row>
    <row r="28" spans="1:12" ht="15" customHeight="1" x14ac:dyDescent="0.2">
      <c r="A28" t="s">
        <v>33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v>15</v>
      </c>
    </row>
    <row r="29" spans="1:12" ht="15" customHeight="1" x14ac:dyDescent="0.2">
      <c r="A29" t="s">
        <v>34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>
        <f t="shared" si="0"/>
        <v>0</v>
      </c>
      <c r="I29">
        <f t="shared" si="1"/>
        <v>0</v>
      </c>
      <c r="J29">
        <f t="shared" si="2"/>
        <v>0</v>
      </c>
      <c r="K29">
        <f t="shared" si="3"/>
        <v>0</v>
      </c>
      <c r="L29">
        <v>15</v>
      </c>
    </row>
    <row r="30" spans="1:12" ht="15" customHeight="1" x14ac:dyDescent="0.2">
      <c r="A30" t="s">
        <v>35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>
        <f t="shared" si="0"/>
        <v>0</v>
      </c>
      <c r="I30">
        <f t="shared" si="1"/>
        <v>0</v>
      </c>
      <c r="J30">
        <f t="shared" si="2"/>
        <v>0</v>
      </c>
      <c r="K30">
        <f t="shared" si="3"/>
        <v>0</v>
      </c>
      <c r="L30">
        <v>15</v>
      </c>
    </row>
    <row r="31" spans="1:12" ht="15" customHeight="1" x14ac:dyDescent="0.2">
      <c r="A31" t="s">
        <v>36</v>
      </c>
      <c r="B31" s="22">
        <v>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>
        <f t="shared" si="0"/>
        <v>0</v>
      </c>
      <c r="I31">
        <f t="shared" si="1"/>
        <v>0</v>
      </c>
      <c r="J31">
        <f t="shared" si="2"/>
        <v>0</v>
      </c>
      <c r="K31">
        <f t="shared" si="3"/>
        <v>0</v>
      </c>
      <c r="L31">
        <v>15</v>
      </c>
    </row>
    <row r="32" spans="1:12" ht="15" customHeight="1" x14ac:dyDescent="0.2">
      <c r="A32" t="s">
        <v>37</v>
      </c>
      <c r="B32" s="22">
        <v>1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>
        <f t="shared" si="0"/>
        <v>0</v>
      </c>
      <c r="I32">
        <f t="shared" si="1"/>
        <v>0</v>
      </c>
      <c r="J32">
        <f t="shared" si="2"/>
        <v>1</v>
      </c>
      <c r="K32">
        <f t="shared" si="3"/>
        <v>0</v>
      </c>
      <c r="L32">
        <v>15</v>
      </c>
    </row>
    <row r="33" spans="1:12" ht="15" customHeight="1" x14ac:dyDescent="0.2">
      <c r="A33" t="s">
        <v>38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>
        <f t="shared" si="0"/>
        <v>0</v>
      </c>
      <c r="I33">
        <f t="shared" si="1"/>
        <v>0</v>
      </c>
      <c r="J33">
        <f t="shared" si="2"/>
        <v>0</v>
      </c>
      <c r="K33">
        <f t="shared" si="3"/>
        <v>0</v>
      </c>
      <c r="L33">
        <v>15</v>
      </c>
    </row>
    <row r="34" spans="1:12" ht="15" customHeight="1" x14ac:dyDescent="0.2">
      <c r="A34" t="s">
        <v>39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>
        <f t="shared" si="0"/>
        <v>0</v>
      </c>
      <c r="I34">
        <f t="shared" si="1"/>
        <v>0</v>
      </c>
      <c r="J34">
        <f t="shared" si="2"/>
        <v>0</v>
      </c>
      <c r="K34">
        <f t="shared" si="3"/>
        <v>0</v>
      </c>
      <c r="L34">
        <v>15</v>
      </c>
    </row>
    <row r="35" spans="1:12" ht="15" customHeight="1" x14ac:dyDescent="0.2">
      <c r="A35" t="s">
        <v>40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>
        <f t="shared" si="0"/>
        <v>0</v>
      </c>
      <c r="I35">
        <f t="shared" si="1"/>
        <v>0</v>
      </c>
      <c r="J35">
        <f t="shared" si="2"/>
        <v>0</v>
      </c>
      <c r="K35">
        <f t="shared" si="3"/>
        <v>0</v>
      </c>
      <c r="L35">
        <v>15</v>
      </c>
    </row>
    <row r="36" spans="1:12" ht="15" customHeight="1" x14ac:dyDescent="0.2">
      <c r="A36" t="s">
        <v>41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>
        <f t="shared" si="0"/>
        <v>0</v>
      </c>
      <c r="I36">
        <f t="shared" si="1"/>
        <v>0</v>
      </c>
      <c r="J36">
        <f t="shared" si="2"/>
        <v>0</v>
      </c>
      <c r="K36">
        <f t="shared" si="3"/>
        <v>0</v>
      </c>
      <c r="L36">
        <v>15</v>
      </c>
    </row>
    <row r="37" spans="1:12" ht="15" customHeight="1" x14ac:dyDescent="0.2">
      <c r="A37" t="s">
        <v>42</v>
      </c>
      <c r="B37" s="22">
        <v>0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  <c r="L37">
        <v>15</v>
      </c>
    </row>
    <row r="38" spans="1:12" ht="15" customHeight="1" x14ac:dyDescent="0.2">
      <c r="A38" t="s">
        <v>43</v>
      </c>
      <c r="B38" s="22">
        <v>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0</v>
      </c>
      <c r="L38">
        <v>15</v>
      </c>
    </row>
    <row r="39" spans="1:12" ht="15" customHeight="1" x14ac:dyDescent="0.2">
      <c r="A39" t="s">
        <v>44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>
        <f t="shared" si="0"/>
        <v>0</v>
      </c>
      <c r="I39">
        <f t="shared" si="1"/>
        <v>0</v>
      </c>
      <c r="J39">
        <f t="shared" si="2"/>
        <v>0</v>
      </c>
      <c r="K39">
        <f t="shared" si="3"/>
        <v>0</v>
      </c>
      <c r="L39">
        <v>15</v>
      </c>
    </row>
    <row r="40" spans="1:12" ht="15" customHeight="1" x14ac:dyDescent="0.2">
      <c r="A40" t="s">
        <v>45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>
        <f t="shared" si="0"/>
        <v>0</v>
      </c>
      <c r="I40">
        <f t="shared" si="1"/>
        <v>0</v>
      </c>
      <c r="J40">
        <f t="shared" si="2"/>
        <v>0</v>
      </c>
      <c r="K40">
        <f t="shared" si="3"/>
        <v>0</v>
      </c>
      <c r="L40">
        <v>15</v>
      </c>
    </row>
    <row r="41" spans="1:12" ht="15" customHeight="1" x14ac:dyDescent="0.2">
      <c r="A41" t="s">
        <v>46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>
        <f t="shared" si="0"/>
        <v>0</v>
      </c>
      <c r="I41">
        <f t="shared" si="1"/>
        <v>0</v>
      </c>
      <c r="J41">
        <f t="shared" si="2"/>
        <v>0</v>
      </c>
      <c r="K41">
        <f t="shared" si="3"/>
        <v>0</v>
      </c>
      <c r="L41">
        <v>15</v>
      </c>
    </row>
    <row r="42" spans="1:12" ht="15" customHeight="1" x14ac:dyDescent="0.2">
      <c r="A42" t="s">
        <v>47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0</v>
      </c>
      <c r="L42">
        <v>15</v>
      </c>
    </row>
    <row r="43" spans="1:12" ht="15" customHeight="1" x14ac:dyDescent="0.2">
      <c r="A43" t="s">
        <v>48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1</v>
      </c>
      <c r="H43">
        <f t="shared" si="0"/>
        <v>0</v>
      </c>
      <c r="I43">
        <f t="shared" si="1"/>
        <v>0</v>
      </c>
      <c r="J43">
        <f t="shared" si="2"/>
        <v>1</v>
      </c>
      <c r="K43">
        <f t="shared" si="3"/>
        <v>0</v>
      </c>
      <c r="L43">
        <v>15</v>
      </c>
    </row>
    <row r="44" spans="1:12" ht="15" customHeight="1" x14ac:dyDescent="0.2">
      <c r="A44" t="s">
        <v>49</v>
      </c>
      <c r="B44" s="22">
        <v>0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>
        <f t="shared" si="0"/>
        <v>0</v>
      </c>
      <c r="I44">
        <f t="shared" si="1"/>
        <v>0</v>
      </c>
      <c r="J44">
        <f t="shared" si="2"/>
        <v>0</v>
      </c>
      <c r="K44">
        <f t="shared" si="3"/>
        <v>0</v>
      </c>
      <c r="L44">
        <v>15</v>
      </c>
    </row>
    <row r="45" spans="1:12" ht="15" customHeight="1" x14ac:dyDescent="0.2">
      <c r="A45" t="s">
        <v>50</v>
      </c>
      <c r="B45" s="22">
        <v>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>
        <f t="shared" si="0"/>
        <v>0</v>
      </c>
      <c r="I45">
        <f t="shared" si="1"/>
        <v>0</v>
      </c>
      <c r="J45">
        <f t="shared" si="2"/>
        <v>0</v>
      </c>
      <c r="K45">
        <f t="shared" si="3"/>
        <v>0</v>
      </c>
      <c r="L45">
        <v>15</v>
      </c>
    </row>
    <row r="46" spans="1:12" ht="15" customHeight="1" x14ac:dyDescent="0.2">
      <c r="A46" t="s">
        <v>51</v>
      </c>
      <c r="B46" s="22">
        <v>0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>
        <f t="shared" si="0"/>
        <v>0</v>
      </c>
      <c r="I46">
        <f t="shared" si="1"/>
        <v>0</v>
      </c>
      <c r="J46">
        <f t="shared" si="2"/>
        <v>0</v>
      </c>
      <c r="K46">
        <f t="shared" si="3"/>
        <v>0</v>
      </c>
      <c r="L46">
        <v>15</v>
      </c>
    </row>
    <row r="47" spans="1:12" ht="15" customHeight="1" x14ac:dyDescent="0.2">
      <c r="A47" t="s">
        <v>52</v>
      </c>
      <c r="B47" s="22">
        <v>1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>
        <f t="shared" si="0"/>
        <v>0</v>
      </c>
      <c r="I47">
        <f t="shared" si="1"/>
        <v>0</v>
      </c>
      <c r="J47">
        <f t="shared" si="2"/>
        <v>1</v>
      </c>
      <c r="K47">
        <f t="shared" si="3"/>
        <v>0</v>
      </c>
      <c r="L47">
        <v>15</v>
      </c>
    </row>
    <row r="48" spans="1:12" ht="15" customHeight="1" x14ac:dyDescent="0.2">
      <c r="A48" t="s">
        <v>53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>
        <f t="shared" si="0"/>
        <v>0</v>
      </c>
      <c r="I48">
        <f t="shared" si="1"/>
        <v>0</v>
      </c>
      <c r="J48">
        <f t="shared" si="2"/>
        <v>0</v>
      </c>
      <c r="K48">
        <f t="shared" si="3"/>
        <v>0</v>
      </c>
      <c r="L48">
        <v>15</v>
      </c>
    </row>
    <row r="49" spans="1:12" ht="15" customHeight="1" x14ac:dyDescent="0.2">
      <c r="A49" t="s">
        <v>54</v>
      </c>
      <c r="B49" s="22">
        <v>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>
        <f t="shared" si="0"/>
        <v>0</v>
      </c>
      <c r="I49">
        <f t="shared" si="1"/>
        <v>0</v>
      </c>
      <c r="J49">
        <f t="shared" si="2"/>
        <v>0</v>
      </c>
      <c r="K49">
        <f t="shared" si="3"/>
        <v>0</v>
      </c>
      <c r="L49">
        <v>15</v>
      </c>
    </row>
    <row r="50" spans="1:12" ht="15" customHeight="1" x14ac:dyDescent="0.2">
      <c r="A50" t="s">
        <v>55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>
        <f t="shared" si="0"/>
        <v>0</v>
      </c>
      <c r="I50">
        <f t="shared" si="1"/>
        <v>0</v>
      </c>
      <c r="J50">
        <f t="shared" si="2"/>
        <v>0</v>
      </c>
      <c r="K50">
        <f t="shared" si="3"/>
        <v>0</v>
      </c>
      <c r="L50">
        <v>15</v>
      </c>
    </row>
    <row r="51" spans="1:12" ht="15" customHeight="1" x14ac:dyDescent="0.2">
      <c r="A51" t="s">
        <v>56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>
        <f t="shared" si="0"/>
        <v>0</v>
      </c>
      <c r="I51">
        <f t="shared" si="1"/>
        <v>0</v>
      </c>
      <c r="J51">
        <f t="shared" si="2"/>
        <v>0</v>
      </c>
      <c r="K51">
        <f t="shared" si="3"/>
        <v>0</v>
      </c>
      <c r="L51">
        <v>15</v>
      </c>
    </row>
    <row r="52" spans="1:12" ht="15" customHeight="1" x14ac:dyDescent="0.2">
      <c r="A52" t="s">
        <v>57</v>
      </c>
      <c r="B52" s="22">
        <v>1</v>
      </c>
      <c r="C52" s="22">
        <v>1</v>
      </c>
      <c r="D52" s="22">
        <v>0</v>
      </c>
      <c r="E52" s="22">
        <v>0</v>
      </c>
      <c r="F52" s="22">
        <v>0</v>
      </c>
      <c r="G52" s="22">
        <v>0</v>
      </c>
      <c r="H52">
        <f t="shared" si="0"/>
        <v>1</v>
      </c>
      <c r="I52">
        <f t="shared" si="1"/>
        <v>0</v>
      </c>
      <c r="J52">
        <f t="shared" si="2"/>
        <v>1</v>
      </c>
      <c r="K52">
        <f t="shared" si="3"/>
        <v>0</v>
      </c>
      <c r="L52">
        <v>15</v>
      </c>
    </row>
    <row r="53" spans="1:12" ht="15" customHeight="1" x14ac:dyDescent="0.2">
      <c r="A53" t="s">
        <v>58</v>
      </c>
      <c r="B53" s="22">
        <v>0</v>
      </c>
      <c r="C53" s="22">
        <v>0</v>
      </c>
      <c r="D53" s="22">
        <v>0</v>
      </c>
      <c r="E53" s="22">
        <v>0</v>
      </c>
      <c r="F53" s="22">
        <v>1</v>
      </c>
      <c r="G53" s="22">
        <v>0</v>
      </c>
      <c r="H53">
        <f t="shared" si="0"/>
        <v>0</v>
      </c>
      <c r="I53">
        <f t="shared" si="1"/>
        <v>1</v>
      </c>
      <c r="J53">
        <f t="shared" si="2"/>
        <v>0</v>
      </c>
      <c r="K53">
        <f t="shared" si="3"/>
        <v>0</v>
      </c>
      <c r="L53">
        <v>15</v>
      </c>
    </row>
    <row r="54" spans="1:12" ht="15" customHeight="1" x14ac:dyDescent="0.2">
      <c r="A54" t="s">
        <v>59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>
        <f t="shared" si="0"/>
        <v>0</v>
      </c>
      <c r="I54">
        <f t="shared" si="1"/>
        <v>0</v>
      </c>
      <c r="J54">
        <f t="shared" si="2"/>
        <v>0</v>
      </c>
      <c r="K54">
        <f t="shared" si="3"/>
        <v>0</v>
      </c>
      <c r="L54">
        <v>15</v>
      </c>
    </row>
    <row r="55" spans="1:12" ht="15" customHeight="1" x14ac:dyDescent="0.2">
      <c r="A55" t="s">
        <v>60</v>
      </c>
      <c r="B55" s="22">
        <v>0</v>
      </c>
      <c r="C55" s="22">
        <v>0</v>
      </c>
      <c r="D55" s="22">
        <v>0</v>
      </c>
      <c r="E55" s="22">
        <v>0</v>
      </c>
      <c r="F55" s="22">
        <v>4</v>
      </c>
      <c r="G55" s="22">
        <v>1</v>
      </c>
      <c r="H55">
        <f t="shared" si="0"/>
        <v>0</v>
      </c>
      <c r="I55">
        <f t="shared" si="1"/>
        <v>4</v>
      </c>
      <c r="J55">
        <f t="shared" si="2"/>
        <v>1</v>
      </c>
      <c r="K55">
        <f t="shared" si="3"/>
        <v>0</v>
      </c>
      <c r="L55">
        <v>15</v>
      </c>
    </row>
    <row r="56" spans="1:12" ht="15" customHeight="1" x14ac:dyDescent="0.2">
      <c r="A56" t="s">
        <v>61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>
        <f t="shared" si="0"/>
        <v>0</v>
      </c>
      <c r="I56">
        <f t="shared" si="1"/>
        <v>0</v>
      </c>
      <c r="J56">
        <f t="shared" si="2"/>
        <v>0</v>
      </c>
      <c r="K56">
        <f t="shared" si="3"/>
        <v>0</v>
      </c>
      <c r="L56">
        <v>15</v>
      </c>
    </row>
    <row r="57" spans="1:12" ht="15" customHeight="1" x14ac:dyDescent="0.2">
      <c r="A57" t="s">
        <v>62</v>
      </c>
      <c r="B57" s="22">
        <v>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>
        <f t="shared" si="0"/>
        <v>0</v>
      </c>
      <c r="I57">
        <f t="shared" si="1"/>
        <v>0</v>
      </c>
      <c r="J57">
        <f t="shared" si="2"/>
        <v>0</v>
      </c>
      <c r="K57">
        <f t="shared" si="3"/>
        <v>0</v>
      </c>
      <c r="L57">
        <v>15</v>
      </c>
    </row>
    <row r="58" spans="1:12" ht="15" customHeight="1" x14ac:dyDescent="0.2">
      <c r="A58" t="s">
        <v>63</v>
      </c>
      <c r="B58" s="22">
        <v>0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>
        <f t="shared" si="0"/>
        <v>0</v>
      </c>
      <c r="I58">
        <f t="shared" si="1"/>
        <v>0</v>
      </c>
      <c r="J58">
        <f t="shared" si="2"/>
        <v>0</v>
      </c>
      <c r="K58">
        <f t="shared" si="3"/>
        <v>0</v>
      </c>
      <c r="L58">
        <v>15</v>
      </c>
    </row>
    <row r="59" spans="1:12" ht="15" customHeight="1" x14ac:dyDescent="0.2">
      <c r="A59" t="s">
        <v>64</v>
      </c>
      <c r="B59" s="22">
        <v>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>
        <f t="shared" si="0"/>
        <v>0</v>
      </c>
      <c r="I59">
        <f t="shared" si="1"/>
        <v>0</v>
      </c>
      <c r="J59">
        <f t="shared" si="2"/>
        <v>0</v>
      </c>
      <c r="K59">
        <f t="shared" si="3"/>
        <v>0</v>
      </c>
      <c r="L59">
        <v>15</v>
      </c>
    </row>
    <row r="60" spans="1:12" ht="15" customHeight="1" x14ac:dyDescent="0.2">
      <c r="A60" t="s">
        <v>65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>
        <f t="shared" si="0"/>
        <v>0</v>
      </c>
      <c r="I60">
        <f t="shared" si="1"/>
        <v>0</v>
      </c>
      <c r="J60">
        <f t="shared" si="2"/>
        <v>0</v>
      </c>
      <c r="K60">
        <f t="shared" si="3"/>
        <v>0</v>
      </c>
      <c r="L60">
        <v>15</v>
      </c>
    </row>
    <row r="61" spans="1:12" ht="15" customHeight="1" x14ac:dyDescent="0.2">
      <c r="A61" t="s">
        <v>66</v>
      </c>
      <c r="B61" s="22">
        <v>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>
        <f t="shared" si="0"/>
        <v>0</v>
      </c>
      <c r="I61">
        <f t="shared" si="1"/>
        <v>0</v>
      </c>
      <c r="J61">
        <f t="shared" si="2"/>
        <v>0</v>
      </c>
      <c r="K61">
        <f t="shared" si="3"/>
        <v>0</v>
      </c>
      <c r="L61">
        <v>15</v>
      </c>
    </row>
    <row r="62" spans="1:12" ht="15" customHeight="1" x14ac:dyDescent="0.2">
      <c r="A62" t="s">
        <v>67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>
        <f t="shared" si="0"/>
        <v>0</v>
      </c>
      <c r="I62">
        <f t="shared" si="1"/>
        <v>0</v>
      </c>
      <c r="J62">
        <f t="shared" si="2"/>
        <v>0</v>
      </c>
      <c r="K62">
        <f t="shared" si="3"/>
        <v>0</v>
      </c>
      <c r="L62">
        <v>15</v>
      </c>
    </row>
    <row r="63" spans="1:12" ht="15" customHeight="1" x14ac:dyDescent="0.2">
      <c r="A63" t="s">
        <v>68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>
        <f t="shared" si="0"/>
        <v>0</v>
      </c>
      <c r="I63">
        <f t="shared" si="1"/>
        <v>0</v>
      </c>
      <c r="J63">
        <f t="shared" si="2"/>
        <v>0</v>
      </c>
      <c r="K63">
        <f t="shared" si="3"/>
        <v>0</v>
      </c>
      <c r="L63">
        <v>15</v>
      </c>
    </row>
    <row r="64" spans="1:12" ht="15" customHeight="1" x14ac:dyDescent="0.2">
      <c r="A64" t="s">
        <v>69</v>
      </c>
      <c r="B64" s="22">
        <v>0</v>
      </c>
      <c r="C64" s="22">
        <v>1</v>
      </c>
      <c r="D64" s="22">
        <v>0</v>
      </c>
      <c r="E64" s="22">
        <v>0</v>
      </c>
      <c r="F64" s="22">
        <v>0</v>
      </c>
      <c r="G64" s="22">
        <v>0</v>
      </c>
      <c r="H64">
        <f t="shared" si="0"/>
        <v>1</v>
      </c>
      <c r="I64">
        <f t="shared" si="1"/>
        <v>0</v>
      </c>
      <c r="J64">
        <f t="shared" si="2"/>
        <v>0</v>
      </c>
      <c r="K64">
        <f t="shared" si="3"/>
        <v>0</v>
      </c>
      <c r="L64">
        <v>15</v>
      </c>
    </row>
    <row r="65" spans="1:12" ht="15" customHeight="1" x14ac:dyDescent="0.2">
      <c r="A65" t="s">
        <v>70</v>
      </c>
      <c r="B65" s="22">
        <v>0</v>
      </c>
      <c r="C65" s="22">
        <v>0</v>
      </c>
      <c r="D65" s="22">
        <v>0</v>
      </c>
      <c r="E65" s="22">
        <v>0</v>
      </c>
      <c r="F65" s="22">
        <v>1</v>
      </c>
      <c r="G65" s="22">
        <v>0</v>
      </c>
      <c r="H65">
        <f t="shared" si="0"/>
        <v>0</v>
      </c>
      <c r="I65">
        <f t="shared" si="1"/>
        <v>1</v>
      </c>
      <c r="J65">
        <f t="shared" si="2"/>
        <v>0</v>
      </c>
      <c r="K65">
        <f t="shared" si="3"/>
        <v>0</v>
      </c>
      <c r="L65">
        <v>15</v>
      </c>
    </row>
    <row r="66" spans="1:12" ht="15" customHeight="1" x14ac:dyDescent="0.2">
      <c r="A66" t="s">
        <v>71</v>
      </c>
      <c r="B66" s="22">
        <v>0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>
        <f t="shared" si="0"/>
        <v>0</v>
      </c>
      <c r="I66">
        <f t="shared" si="1"/>
        <v>0</v>
      </c>
      <c r="J66">
        <f t="shared" si="2"/>
        <v>0</v>
      </c>
      <c r="K66">
        <f t="shared" si="3"/>
        <v>0</v>
      </c>
      <c r="L66">
        <v>15</v>
      </c>
    </row>
    <row r="67" spans="1:12" ht="15" customHeight="1" x14ac:dyDescent="0.2">
      <c r="A67" t="s">
        <v>72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>
        <f t="shared" si="0"/>
        <v>0</v>
      </c>
      <c r="I67">
        <f t="shared" si="1"/>
        <v>0</v>
      </c>
      <c r="J67">
        <f t="shared" si="2"/>
        <v>0</v>
      </c>
      <c r="K67">
        <f t="shared" si="3"/>
        <v>0</v>
      </c>
      <c r="L67">
        <v>15</v>
      </c>
    </row>
    <row r="68" spans="1:12" ht="15" customHeight="1" x14ac:dyDescent="0.2">
      <c r="A68" t="s">
        <v>73</v>
      </c>
      <c r="B68" s="22">
        <v>0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>
        <f t="shared" si="0"/>
        <v>0</v>
      </c>
      <c r="I68">
        <f t="shared" si="1"/>
        <v>0</v>
      </c>
      <c r="J68">
        <f t="shared" si="2"/>
        <v>0</v>
      </c>
      <c r="K68">
        <f t="shared" si="3"/>
        <v>0</v>
      </c>
      <c r="L68">
        <v>15</v>
      </c>
    </row>
    <row r="69" spans="1:12" ht="15" customHeight="1" x14ac:dyDescent="0.2">
      <c r="A69" t="s">
        <v>74</v>
      </c>
      <c r="B69" s="22">
        <v>0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>
        <f t="shared" si="0"/>
        <v>0</v>
      </c>
      <c r="I69">
        <f t="shared" si="1"/>
        <v>0</v>
      </c>
      <c r="J69">
        <f t="shared" si="2"/>
        <v>0</v>
      </c>
      <c r="K69">
        <f t="shared" si="3"/>
        <v>0</v>
      </c>
      <c r="L69">
        <v>15</v>
      </c>
    </row>
    <row r="70" spans="1:12" ht="15" customHeight="1" x14ac:dyDescent="0.2">
      <c r="A70" t="s">
        <v>75</v>
      </c>
      <c r="B70" s="22">
        <v>0</v>
      </c>
      <c r="C70" s="22">
        <v>1</v>
      </c>
      <c r="D70" s="22">
        <v>0</v>
      </c>
      <c r="E70" s="22">
        <v>0</v>
      </c>
      <c r="F70" s="22">
        <v>0</v>
      </c>
      <c r="G70" s="22">
        <v>0</v>
      </c>
      <c r="H70">
        <f t="shared" si="0"/>
        <v>1</v>
      </c>
      <c r="I70">
        <f t="shared" si="1"/>
        <v>0</v>
      </c>
      <c r="J70">
        <f t="shared" si="2"/>
        <v>0</v>
      </c>
      <c r="K70">
        <f t="shared" si="3"/>
        <v>0</v>
      </c>
      <c r="L70">
        <v>15</v>
      </c>
    </row>
    <row r="71" spans="1:12" ht="15" customHeight="1" x14ac:dyDescent="0.2">
      <c r="A71" t="s">
        <v>76</v>
      </c>
      <c r="B71" s="22">
        <v>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>
        <f t="shared" si="0"/>
        <v>0</v>
      </c>
      <c r="I71">
        <f t="shared" si="1"/>
        <v>0</v>
      </c>
      <c r="J71">
        <f t="shared" si="2"/>
        <v>0</v>
      </c>
      <c r="K71">
        <f t="shared" si="3"/>
        <v>0</v>
      </c>
      <c r="L71">
        <v>15</v>
      </c>
    </row>
    <row r="72" spans="1:12" ht="15" customHeight="1" x14ac:dyDescent="0.2">
      <c r="A72" t="s">
        <v>77</v>
      </c>
      <c r="B72" s="22">
        <v>0</v>
      </c>
      <c r="C72" s="22">
        <v>1</v>
      </c>
      <c r="D72" s="22">
        <v>0</v>
      </c>
      <c r="E72" s="22">
        <v>0</v>
      </c>
      <c r="F72" s="22">
        <v>0</v>
      </c>
      <c r="G72" s="22">
        <v>0</v>
      </c>
      <c r="H72">
        <f t="shared" si="0"/>
        <v>1</v>
      </c>
      <c r="I72">
        <f t="shared" si="1"/>
        <v>0</v>
      </c>
      <c r="J72">
        <f t="shared" si="2"/>
        <v>0</v>
      </c>
      <c r="K72">
        <f t="shared" si="3"/>
        <v>0</v>
      </c>
      <c r="L72">
        <v>15</v>
      </c>
    </row>
    <row r="73" spans="1:12" ht="15" customHeight="1" x14ac:dyDescent="0.2">
      <c r="A73" t="s">
        <v>78</v>
      </c>
      <c r="B73" s="22">
        <v>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>
        <f t="shared" si="0"/>
        <v>0</v>
      </c>
      <c r="I73">
        <f t="shared" si="1"/>
        <v>0</v>
      </c>
      <c r="J73">
        <f t="shared" si="2"/>
        <v>0</v>
      </c>
      <c r="K73">
        <f t="shared" si="3"/>
        <v>0</v>
      </c>
      <c r="L73">
        <v>15</v>
      </c>
    </row>
    <row r="74" spans="1:12" ht="15" customHeight="1" x14ac:dyDescent="0.2">
      <c r="A74" t="s">
        <v>79</v>
      </c>
      <c r="B74" s="22">
        <v>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>
        <f t="shared" si="0"/>
        <v>0</v>
      </c>
      <c r="I74">
        <f t="shared" si="1"/>
        <v>0</v>
      </c>
      <c r="J74">
        <f t="shared" si="2"/>
        <v>0</v>
      </c>
      <c r="K74">
        <f t="shared" si="3"/>
        <v>0</v>
      </c>
      <c r="L74">
        <v>15</v>
      </c>
    </row>
    <row r="75" spans="1:12" ht="15" customHeight="1" x14ac:dyDescent="0.2">
      <c r="A75" t="s">
        <v>80</v>
      </c>
      <c r="B75" s="22">
        <v>0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>
        <f t="shared" ref="H75:H138" si="4">C75</f>
        <v>0</v>
      </c>
      <c r="I75">
        <f t="shared" ref="I75:I138" si="5">F75</f>
        <v>0</v>
      </c>
      <c r="J75">
        <f t="shared" ref="J75:J138" si="6">(B75+G75)</f>
        <v>0</v>
      </c>
      <c r="K75">
        <f t="shared" ref="K75:K138" si="7">(D75+E75)</f>
        <v>0</v>
      </c>
      <c r="L75">
        <v>15</v>
      </c>
    </row>
    <row r="76" spans="1:12" ht="15" customHeight="1" x14ac:dyDescent="0.2">
      <c r="A76" t="s">
        <v>81</v>
      </c>
      <c r="B76" s="22">
        <v>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>
        <f t="shared" si="4"/>
        <v>0</v>
      </c>
      <c r="I76">
        <f t="shared" si="5"/>
        <v>0</v>
      </c>
      <c r="J76">
        <f t="shared" si="6"/>
        <v>0</v>
      </c>
      <c r="K76">
        <f t="shared" si="7"/>
        <v>0</v>
      </c>
      <c r="L76">
        <v>15</v>
      </c>
    </row>
    <row r="77" spans="1:12" ht="15" customHeight="1" x14ac:dyDescent="0.2">
      <c r="A77" t="s">
        <v>82</v>
      </c>
      <c r="B77" s="22">
        <v>1</v>
      </c>
      <c r="C77" s="22">
        <v>1</v>
      </c>
      <c r="D77" s="22">
        <v>0</v>
      </c>
      <c r="E77" s="22">
        <v>0</v>
      </c>
      <c r="F77" s="22">
        <v>0</v>
      </c>
      <c r="G77" s="22">
        <v>0</v>
      </c>
      <c r="H77">
        <f t="shared" si="4"/>
        <v>1</v>
      </c>
      <c r="I77">
        <f t="shared" si="5"/>
        <v>0</v>
      </c>
      <c r="J77">
        <f t="shared" si="6"/>
        <v>1</v>
      </c>
      <c r="K77">
        <f t="shared" si="7"/>
        <v>0</v>
      </c>
      <c r="L77">
        <v>15</v>
      </c>
    </row>
    <row r="78" spans="1:12" ht="15" customHeight="1" x14ac:dyDescent="0.2">
      <c r="A78" t="s">
        <v>83</v>
      </c>
      <c r="B78" s="22">
        <v>0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>
        <f t="shared" si="4"/>
        <v>0</v>
      </c>
      <c r="I78">
        <f t="shared" si="5"/>
        <v>0</v>
      </c>
      <c r="J78">
        <f t="shared" si="6"/>
        <v>0</v>
      </c>
      <c r="K78">
        <f t="shared" si="7"/>
        <v>0</v>
      </c>
      <c r="L78">
        <v>15</v>
      </c>
    </row>
    <row r="79" spans="1:12" ht="15" customHeight="1" x14ac:dyDescent="0.2">
      <c r="A79" t="s">
        <v>84</v>
      </c>
      <c r="B79" s="22">
        <v>1</v>
      </c>
      <c r="C79" s="22">
        <v>1</v>
      </c>
      <c r="D79" s="22">
        <v>0</v>
      </c>
      <c r="E79" s="22">
        <v>0</v>
      </c>
      <c r="F79" s="22">
        <v>0</v>
      </c>
      <c r="G79" s="22">
        <v>0</v>
      </c>
      <c r="H79">
        <f t="shared" si="4"/>
        <v>1</v>
      </c>
      <c r="I79">
        <f t="shared" si="5"/>
        <v>0</v>
      </c>
      <c r="J79">
        <f t="shared" si="6"/>
        <v>1</v>
      </c>
      <c r="K79">
        <f t="shared" si="7"/>
        <v>0</v>
      </c>
      <c r="L79">
        <v>15</v>
      </c>
    </row>
    <row r="80" spans="1:12" ht="15" customHeight="1" x14ac:dyDescent="0.2">
      <c r="A80" t="s">
        <v>85</v>
      </c>
      <c r="B80" s="22">
        <v>0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>
        <f t="shared" si="4"/>
        <v>0</v>
      </c>
      <c r="I80">
        <f t="shared" si="5"/>
        <v>0</v>
      </c>
      <c r="J80">
        <f t="shared" si="6"/>
        <v>0</v>
      </c>
      <c r="K80">
        <f t="shared" si="7"/>
        <v>0</v>
      </c>
      <c r="L80">
        <v>15</v>
      </c>
    </row>
    <row r="81" spans="1:12" ht="15" customHeight="1" x14ac:dyDescent="0.2">
      <c r="A81" t="s">
        <v>86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>
        <f t="shared" si="4"/>
        <v>0</v>
      </c>
      <c r="I81">
        <f t="shared" si="5"/>
        <v>0</v>
      </c>
      <c r="J81">
        <f t="shared" si="6"/>
        <v>0</v>
      </c>
      <c r="K81">
        <f t="shared" si="7"/>
        <v>0</v>
      </c>
      <c r="L81">
        <v>15</v>
      </c>
    </row>
    <row r="82" spans="1:12" ht="15" customHeight="1" x14ac:dyDescent="0.2">
      <c r="A82" t="s">
        <v>87</v>
      </c>
      <c r="B82" s="22">
        <v>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>
        <f t="shared" si="4"/>
        <v>0</v>
      </c>
      <c r="I82">
        <f t="shared" si="5"/>
        <v>0</v>
      </c>
      <c r="J82">
        <f t="shared" si="6"/>
        <v>0</v>
      </c>
      <c r="K82">
        <f t="shared" si="7"/>
        <v>0</v>
      </c>
      <c r="L82">
        <v>15</v>
      </c>
    </row>
    <row r="83" spans="1:12" ht="15" customHeight="1" x14ac:dyDescent="0.2">
      <c r="A83" t="s">
        <v>88</v>
      </c>
      <c r="B83" s="22">
        <v>1</v>
      </c>
      <c r="C83" s="22">
        <v>1</v>
      </c>
      <c r="D83" s="22">
        <v>0</v>
      </c>
      <c r="E83" s="22">
        <v>0</v>
      </c>
      <c r="F83" s="22">
        <v>0</v>
      </c>
      <c r="G83" s="22">
        <v>0</v>
      </c>
      <c r="H83">
        <f t="shared" si="4"/>
        <v>1</v>
      </c>
      <c r="I83">
        <f t="shared" si="5"/>
        <v>0</v>
      </c>
      <c r="J83">
        <f t="shared" si="6"/>
        <v>1</v>
      </c>
      <c r="K83">
        <f t="shared" si="7"/>
        <v>0</v>
      </c>
      <c r="L83">
        <v>15</v>
      </c>
    </row>
    <row r="84" spans="1:12" ht="15" customHeight="1" x14ac:dyDescent="0.2">
      <c r="A84" t="s">
        <v>89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1</v>
      </c>
      <c r="H84">
        <f t="shared" si="4"/>
        <v>0</v>
      </c>
      <c r="I84">
        <f t="shared" si="5"/>
        <v>0</v>
      </c>
      <c r="J84">
        <f t="shared" si="6"/>
        <v>1</v>
      </c>
      <c r="K84">
        <f t="shared" si="7"/>
        <v>0</v>
      </c>
      <c r="L84">
        <v>15</v>
      </c>
    </row>
    <row r="85" spans="1:12" ht="15" customHeight="1" x14ac:dyDescent="0.2">
      <c r="A85" t="s">
        <v>90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>
        <f t="shared" si="4"/>
        <v>0</v>
      </c>
      <c r="I85">
        <f t="shared" si="5"/>
        <v>0</v>
      </c>
      <c r="J85">
        <f t="shared" si="6"/>
        <v>0</v>
      </c>
      <c r="K85">
        <f t="shared" si="7"/>
        <v>0</v>
      </c>
      <c r="L85">
        <v>15</v>
      </c>
    </row>
    <row r="86" spans="1:12" ht="15" customHeight="1" x14ac:dyDescent="0.2">
      <c r="A86" t="s">
        <v>91</v>
      </c>
      <c r="B86" s="22">
        <v>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>
        <f t="shared" si="4"/>
        <v>0</v>
      </c>
      <c r="I86">
        <f t="shared" si="5"/>
        <v>0</v>
      </c>
      <c r="J86">
        <f t="shared" si="6"/>
        <v>0</v>
      </c>
      <c r="K86">
        <f t="shared" si="7"/>
        <v>0</v>
      </c>
      <c r="L86">
        <v>15</v>
      </c>
    </row>
    <row r="87" spans="1:12" ht="15" customHeight="1" x14ac:dyDescent="0.2">
      <c r="A87" t="s">
        <v>92</v>
      </c>
      <c r="B87" s="22">
        <v>0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>
        <f t="shared" si="4"/>
        <v>0</v>
      </c>
      <c r="I87">
        <f t="shared" si="5"/>
        <v>0</v>
      </c>
      <c r="J87">
        <f t="shared" si="6"/>
        <v>0</v>
      </c>
      <c r="K87">
        <f t="shared" si="7"/>
        <v>0</v>
      </c>
      <c r="L87">
        <v>15</v>
      </c>
    </row>
    <row r="88" spans="1:12" ht="15" customHeight="1" x14ac:dyDescent="0.2">
      <c r="A88" t="s">
        <v>93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>
        <f t="shared" si="4"/>
        <v>0</v>
      </c>
      <c r="I88">
        <f t="shared" si="5"/>
        <v>0</v>
      </c>
      <c r="J88">
        <f t="shared" si="6"/>
        <v>0</v>
      </c>
      <c r="K88">
        <f t="shared" si="7"/>
        <v>0</v>
      </c>
      <c r="L88">
        <v>15</v>
      </c>
    </row>
    <row r="89" spans="1:12" ht="15" customHeight="1" x14ac:dyDescent="0.2">
      <c r="A89" t="s">
        <v>94</v>
      </c>
      <c r="B89" s="22">
        <v>0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>
        <f t="shared" si="4"/>
        <v>0</v>
      </c>
      <c r="I89">
        <f t="shared" si="5"/>
        <v>0</v>
      </c>
      <c r="J89">
        <f t="shared" si="6"/>
        <v>0</v>
      </c>
      <c r="K89">
        <f t="shared" si="7"/>
        <v>0</v>
      </c>
      <c r="L89">
        <v>15</v>
      </c>
    </row>
    <row r="90" spans="1:12" ht="15" customHeight="1" x14ac:dyDescent="0.2">
      <c r="A90" t="s">
        <v>95</v>
      </c>
      <c r="B90" s="22">
        <v>2</v>
      </c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>
        <f t="shared" si="4"/>
        <v>0</v>
      </c>
      <c r="I90">
        <f t="shared" si="5"/>
        <v>0</v>
      </c>
      <c r="J90">
        <f t="shared" si="6"/>
        <v>2</v>
      </c>
      <c r="K90">
        <f t="shared" si="7"/>
        <v>0</v>
      </c>
      <c r="L90">
        <v>15</v>
      </c>
    </row>
    <row r="91" spans="1:12" ht="15" customHeight="1" x14ac:dyDescent="0.2">
      <c r="A91" t="s">
        <v>96</v>
      </c>
      <c r="B91" s="22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>
        <f t="shared" si="4"/>
        <v>0</v>
      </c>
      <c r="I91">
        <f t="shared" si="5"/>
        <v>0</v>
      </c>
      <c r="J91">
        <f t="shared" si="6"/>
        <v>0</v>
      </c>
      <c r="K91">
        <f t="shared" si="7"/>
        <v>0</v>
      </c>
      <c r="L91">
        <v>15</v>
      </c>
    </row>
    <row r="92" spans="1:12" ht="15" customHeight="1" x14ac:dyDescent="0.2">
      <c r="A92" t="s">
        <v>97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>
        <f t="shared" si="4"/>
        <v>0</v>
      </c>
      <c r="I92">
        <f t="shared" si="5"/>
        <v>0</v>
      </c>
      <c r="J92">
        <f t="shared" si="6"/>
        <v>0</v>
      </c>
      <c r="K92">
        <f t="shared" si="7"/>
        <v>0</v>
      </c>
      <c r="L92">
        <v>15</v>
      </c>
    </row>
    <row r="93" spans="1:12" ht="15" customHeight="1" x14ac:dyDescent="0.2">
      <c r="A93" t="s">
        <v>98</v>
      </c>
      <c r="B93" s="22">
        <v>0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>
        <f t="shared" si="4"/>
        <v>0</v>
      </c>
      <c r="I93">
        <f t="shared" si="5"/>
        <v>0</v>
      </c>
      <c r="J93">
        <f t="shared" si="6"/>
        <v>0</v>
      </c>
      <c r="K93">
        <f t="shared" si="7"/>
        <v>0</v>
      </c>
      <c r="L93">
        <v>15</v>
      </c>
    </row>
    <row r="94" spans="1:12" ht="15" customHeight="1" x14ac:dyDescent="0.2">
      <c r="A94" t="s">
        <v>99</v>
      </c>
      <c r="B94" s="22">
        <v>1</v>
      </c>
      <c r="C94" s="22">
        <v>0</v>
      </c>
      <c r="D94" s="22">
        <v>0</v>
      </c>
      <c r="E94" s="22">
        <v>0</v>
      </c>
      <c r="F94" s="22">
        <v>0</v>
      </c>
      <c r="G94" s="22">
        <v>0</v>
      </c>
      <c r="H94">
        <f t="shared" si="4"/>
        <v>0</v>
      </c>
      <c r="I94">
        <f t="shared" si="5"/>
        <v>0</v>
      </c>
      <c r="J94">
        <f t="shared" si="6"/>
        <v>1</v>
      </c>
      <c r="K94">
        <f t="shared" si="7"/>
        <v>0</v>
      </c>
      <c r="L94">
        <v>15</v>
      </c>
    </row>
    <row r="95" spans="1:12" ht="15" customHeight="1" x14ac:dyDescent="0.2">
      <c r="A95" t="s">
        <v>100</v>
      </c>
      <c r="B95" s="22">
        <v>0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>
        <f t="shared" si="4"/>
        <v>0</v>
      </c>
      <c r="I95">
        <f t="shared" si="5"/>
        <v>0</v>
      </c>
      <c r="J95">
        <f t="shared" si="6"/>
        <v>0</v>
      </c>
      <c r="K95">
        <f t="shared" si="7"/>
        <v>0</v>
      </c>
      <c r="L95">
        <v>15</v>
      </c>
    </row>
    <row r="96" spans="1:12" ht="15" customHeight="1" x14ac:dyDescent="0.2">
      <c r="A96" t="s">
        <v>101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>
        <f t="shared" si="4"/>
        <v>0</v>
      </c>
      <c r="I96">
        <f t="shared" si="5"/>
        <v>0</v>
      </c>
      <c r="J96">
        <f t="shared" si="6"/>
        <v>0</v>
      </c>
      <c r="K96">
        <f t="shared" si="7"/>
        <v>0</v>
      </c>
      <c r="L96">
        <v>15</v>
      </c>
    </row>
    <row r="97" spans="1:12" ht="15" customHeight="1" x14ac:dyDescent="0.2">
      <c r="A97" t="s">
        <v>102</v>
      </c>
      <c r="B97" s="22">
        <v>1</v>
      </c>
      <c r="C97" s="22">
        <v>0</v>
      </c>
      <c r="D97" s="22">
        <v>0</v>
      </c>
      <c r="E97" s="22">
        <v>0</v>
      </c>
      <c r="F97" s="22">
        <v>0</v>
      </c>
      <c r="G97" s="22">
        <v>0</v>
      </c>
      <c r="H97">
        <f t="shared" si="4"/>
        <v>0</v>
      </c>
      <c r="I97">
        <f t="shared" si="5"/>
        <v>0</v>
      </c>
      <c r="J97">
        <f t="shared" si="6"/>
        <v>1</v>
      </c>
      <c r="K97">
        <f t="shared" si="7"/>
        <v>0</v>
      </c>
      <c r="L97">
        <v>15</v>
      </c>
    </row>
    <row r="98" spans="1:12" ht="15" customHeight="1" x14ac:dyDescent="0.2">
      <c r="A98" t="s">
        <v>103</v>
      </c>
      <c r="B98" s="22">
        <v>0</v>
      </c>
      <c r="C98" s="22">
        <v>0</v>
      </c>
      <c r="D98" s="22">
        <v>0</v>
      </c>
      <c r="E98" s="22">
        <v>0</v>
      </c>
      <c r="F98" s="22">
        <v>0</v>
      </c>
      <c r="G98" s="22">
        <v>0</v>
      </c>
      <c r="H98">
        <f t="shared" si="4"/>
        <v>0</v>
      </c>
      <c r="I98">
        <f t="shared" si="5"/>
        <v>0</v>
      </c>
      <c r="J98">
        <f t="shared" si="6"/>
        <v>0</v>
      </c>
      <c r="K98">
        <f t="shared" si="7"/>
        <v>0</v>
      </c>
      <c r="L98">
        <v>15</v>
      </c>
    </row>
    <row r="99" spans="1:12" ht="15" customHeight="1" x14ac:dyDescent="0.2">
      <c r="A99" t="s">
        <v>104</v>
      </c>
      <c r="B99" s="22">
        <v>0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>
        <f t="shared" si="4"/>
        <v>0</v>
      </c>
      <c r="I99">
        <f t="shared" si="5"/>
        <v>0</v>
      </c>
      <c r="J99">
        <f t="shared" si="6"/>
        <v>0</v>
      </c>
      <c r="K99">
        <f t="shared" si="7"/>
        <v>0</v>
      </c>
      <c r="L99">
        <v>15</v>
      </c>
    </row>
    <row r="100" spans="1:12" ht="15" customHeight="1" x14ac:dyDescent="0.2">
      <c r="A100" t="s">
        <v>105</v>
      </c>
      <c r="B100" s="22">
        <v>0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>
        <f t="shared" si="4"/>
        <v>0</v>
      </c>
      <c r="I100">
        <f t="shared" si="5"/>
        <v>0</v>
      </c>
      <c r="J100">
        <f t="shared" si="6"/>
        <v>0</v>
      </c>
      <c r="K100">
        <f t="shared" si="7"/>
        <v>0</v>
      </c>
      <c r="L100">
        <v>15</v>
      </c>
    </row>
    <row r="101" spans="1:12" ht="15" customHeight="1" x14ac:dyDescent="0.2">
      <c r="A101" t="s">
        <v>106</v>
      </c>
      <c r="B101" s="22">
        <v>0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>
        <f t="shared" si="4"/>
        <v>0</v>
      </c>
      <c r="I101">
        <f t="shared" si="5"/>
        <v>0</v>
      </c>
      <c r="J101">
        <f t="shared" si="6"/>
        <v>0</v>
      </c>
      <c r="K101">
        <f t="shared" si="7"/>
        <v>0</v>
      </c>
      <c r="L101">
        <v>15</v>
      </c>
    </row>
    <row r="102" spans="1:12" ht="15" customHeight="1" x14ac:dyDescent="0.2">
      <c r="A102" t="s">
        <v>107</v>
      </c>
      <c r="B102" s="22">
        <v>0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>
        <f t="shared" si="4"/>
        <v>0</v>
      </c>
      <c r="I102">
        <f t="shared" si="5"/>
        <v>0</v>
      </c>
      <c r="J102">
        <f t="shared" si="6"/>
        <v>0</v>
      </c>
      <c r="K102">
        <f t="shared" si="7"/>
        <v>0</v>
      </c>
      <c r="L102">
        <v>15</v>
      </c>
    </row>
    <row r="103" spans="1:12" ht="15" customHeight="1" x14ac:dyDescent="0.2">
      <c r="A103" t="s">
        <v>108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1</v>
      </c>
      <c r="H103">
        <f t="shared" si="4"/>
        <v>0</v>
      </c>
      <c r="I103">
        <f t="shared" si="5"/>
        <v>0</v>
      </c>
      <c r="J103">
        <f t="shared" si="6"/>
        <v>1</v>
      </c>
      <c r="K103">
        <f t="shared" si="7"/>
        <v>0</v>
      </c>
      <c r="L103">
        <v>15</v>
      </c>
    </row>
    <row r="104" spans="1:12" ht="15" customHeight="1" x14ac:dyDescent="0.2">
      <c r="A104" t="s">
        <v>109</v>
      </c>
      <c r="B104" s="22">
        <v>0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>
        <f t="shared" si="4"/>
        <v>0</v>
      </c>
      <c r="I104">
        <f t="shared" si="5"/>
        <v>0</v>
      </c>
      <c r="J104">
        <f t="shared" si="6"/>
        <v>0</v>
      </c>
      <c r="K104">
        <f t="shared" si="7"/>
        <v>0</v>
      </c>
      <c r="L104">
        <v>15</v>
      </c>
    </row>
    <row r="105" spans="1:12" ht="15" customHeight="1" x14ac:dyDescent="0.2">
      <c r="A105" t="s">
        <v>110</v>
      </c>
      <c r="B105" s="22">
        <v>0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>
        <f t="shared" si="4"/>
        <v>0</v>
      </c>
      <c r="I105">
        <f t="shared" si="5"/>
        <v>0</v>
      </c>
      <c r="J105">
        <f t="shared" si="6"/>
        <v>0</v>
      </c>
      <c r="K105">
        <f t="shared" si="7"/>
        <v>0</v>
      </c>
      <c r="L105">
        <v>15</v>
      </c>
    </row>
    <row r="106" spans="1:12" ht="15" customHeight="1" x14ac:dyDescent="0.2">
      <c r="A106" t="s">
        <v>5</v>
      </c>
      <c r="B106" s="22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>
        <f t="shared" si="4"/>
        <v>0</v>
      </c>
      <c r="I106">
        <f t="shared" si="5"/>
        <v>0</v>
      </c>
      <c r="J106">
        <f t="shared" si="6"/>
        <v>0</v>
      </c>
      <c r="K106">
        <f t="shared" si="7"/>
        <v>0</v>
      </c>
      <c r="L106">
        <v>15</v>
      </c>
    </row>
    <row r="107" spans="1:12" ht="15" customHeight="1" x14ac:dyDescent="0.2">
      <c r="A107" t="s">
        <v>16</v>
      </c>
      <c r="B107" s="22">
        <v>0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>
        <f t="shared" si="4"/>
        <v>0</v>
      </c>
      <c r="I107">
        <f t="shared" si="5"/>
        <v>0</v>
      </c>
      <c r="J107">
        <f t="shared" si="6"/>
        <v>0</v>
      </c>
      <c r="K107">
        <f t="shared" si="7"/>
        <v>0</v>
      </c>
      <c r="L107">
        <v>15</v>
      </c>
    </row>
    <row r="108" spans="1:12" ht="15" customHeight="1" x14ac:dyDescent="0.2">
      <c r="A108" t="s">
        <v>17</v>
      </c>
      <c r="B108" s="22">
        <v>1</v>
      </c>
      <c r="C108" s="22">
        <v>1</v>
      </c>
      <c r="D108" s="22">
        <v>0</v>
      </c>
      <c r="E108" s="22">
        <v>0</v>
      </c>
      <c r="F108" s="22">
        <v>0</v>
      </c>
      <c r="G108" s="22">
        <v>0</v>
      </c>
      <c r="H108">
        <f t="shared" si="4"/>
        <v>1</v>
      </c>
      <c r="I108">
        <f t="shared" si="5"/>
        <v>0</v>
      </c>
      <c r="J108">
        <f t="shared" si="6"/>
        <v>1</v>
      </c>
      <c r="K108">
        <f t="shared" si="7"/>
        <v>0</v>
      </c>
      <c r="L108">
        <v>15</v>
      </c>
    </row>
    <row r="109" spans="1:12" ht="15" customHeight="1" x14ac:dyDescent="0.2">
      <c r="A109" t="s">
        <v>18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>
        <f t="shared" si="4"/>
        <v>0</v>
      </c>
      <c r="I109">
        <f t="shared" si="5"/>
        <v>0</v>
      </c>
      <c r="J109">
        <f t="shared" si="6"/>
        <v>0</v>
      </c>
      <c r="K109">
        <f t="shared" si="7"/>
        <v>0</v>
      </c>
      <c r="L109">
        <v>15</v>
      </c>
    </row>
    <row r="110" spans="1:12" ht="15" customHeight="1" x14ac:dyDescent="0.2">
      <c r="A110" t="s">
        <v>19</v>
      </c>
      <c r="B110" s="22">
        <v>0</v>
      </c>
      <c r="C110" s="22">
        <v>0</v>
      </c>
      <c r="D110" s="22">
        <v>0</v>
      </c>
      <c r="E110" s="22">
        <v>1</v>
      </c>
      <c r="F110" s="22">
        <v>0</v>
      </c>
      <c r="G110" s="22">
        <v>0</v>
      </c>
      <c r="H110">
        <f t="shared" si="4"/>
        <v>0</v>
      </c>
      <c r="I110">
        <f t="shared" si="5"/>
        <v>0</v>
      </c>
      <c r="J110">
        <f t="shared" si="6"/>
        <v>0</v>
      </c>
      <c r="K110">
        <f t="shared" si="7"/>
        <v>1</v>
      </c>
      <c r="L110">
        <v>15</v>
      </c>
    </row>
    <row r="111" spans="1:12" ht="15" customHeight="1" x14ac:dyDescent="0.2">
      <c r="A111" t="s">
        <v>20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>
        <f t="shared" si="4"/>
        <v>0</v>
      </c>
      <c r="I111">
        <f t="shared" si="5"/>
        <v>0</v>
      </c>
      <c r="J111">
        <f t="shared" si="6"/>
        <v>0</v>
      </c>
      <c r="K111">
        <f t="shared" si="7"/>
        <v>0</v>
      </c>
      <c r="L111">
        <v>15</v>
      </c>
    </row>
    <row r="112" spans="1:12" ht="15" customHeight="1" x14ac:dyDescent="0.2">
      <c r="A112" t="s">
        <v>21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>
        <f t="shared" si="4"/>
        <v>0</v>
      </c>
      <c r="I112">
        <f t="shared" si="5"/>
        <v>0</v>
      </c>
      <c r="J112">
        <f t="shared" si="6"/>
        <v>0</v>
      </c>
      <c r="K112">
        <f t="shared" si="7"/>
        <v>0</v>
      </c>
      <c r="L112">
        <v>15</v>
      </c>
    </row>
    <row r="113" spans="1:12" ht="15" customHeight="1" x14ac:dyDescent="0.2">
      <c r="A113" t="s">
        <v>22</v>
      </c>
      <c r="B113" s="22">
        <v>0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>
        <f t="shared" si="4"/>
        <v>0</v>
      </c>
      <c r="I113">
        <f t="shared" si="5"/>
        <v>0</v>
      </c>
      <c r="J113">
        <f t="shared" si="6"/>
        <v>0</v>
      </c>
      <c r="K113">
        <f t="shared" si="7"/>
        <v>0</v>
      </c>
      <c r="L113">
        <v>15</v>
      </c>
    </row>
    <row r="114" spans="1:12" ht="15" customHeight="1" x14ac:dyDescent="0.2">
      <c r="A114" t="s">
        <v>23</v>
      </c>
      <c r="B114" s="22">
        <v>0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>
        <f t="shared" si="4"/>
        <v>0</v>
      </c>
      <c r="I114">
        <f t="shared" si="5"/>
        <v>0</v>
      </c>
      <c r="J114">
        <f t="shared" si="6"/>
        <v>0</v>
      </c>
      <c r="K114">
        <f t="shared" si="7"/>
        <v>0</v>
      </c>
      <c r="L114">
        <v>15</v>
      </c>
    </row>
    <row r="115" spans="1:12" ht="15" customHeight="1" x14ac:dyDescent="0.2">
      <c r="A115" t="s">
        <v>24</v>
      </c>
      <c r="B115" s="22">
        <v>0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>
        <f t="shared" si="4"/>
        <v>0</v>
      </c>
      <c r="I115">
        <f t="shared" si="5"/>
        <v>0</v>
      </c>
      <c r="J115">
        <f t="shared" si="6"/>
        <v>0</v>
      </c>
      <c r="K115">
        <f t="shared" si="7"/>
        <v>0</v>
      </c>
      <c r="L115">
        <v>15</v>
      </c>
    </row>
    <row r="116" spans="1:12" ht="15" customHeight="1" x14ac:dyDescent="0.2">
      <c r="A116" t="s">
        <v>25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>
        <f t="shared" si="4"/>
        <v>0</v>
      </c>
      <c r="I116">
        <f t="shared" si="5"/>
        <v>0</v>
      </c>
      <c r="J116">
        <f t="shared" si="6"/>
        <v>0</v>
      </c>
      <c r="K116">
        <f t="shared" si="7"/>
        <v>0</v>
      </c>
      <c r="L116">
        <v>15</v>
      </c>
    </row>
    <row r="117" spans="1:12" ht="15" customHeight="1" x14ac:dyDescent="0.2">
      <c r="A117" t="s">
        <v>26</v>
      </c>
      <c r="B117" s="22">
        <v>0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>
        <f t="shared" si="4"/>
        <v>0</v>
      </c>
      <c r="I117">
        <f t="shared" si="5"/>
        <v>0</v>
      </c>
      <c r="J117">
        <f t="shared" si="6"/>
        <v>0</v>
      </c>
      <c r="K117">
        <f t="shared" si="7"/>
        <v>0</v>
      </c>
      <c r="L117">
        <v>15</v>
      </c>
    </row>
    <row r="118" spans="1:12" ht="15" customHeight="1" x14ac:dyDescent="0.2">
      <c r="A118" t="s">
        <v>27</v>
      </c>
      <c r="B118" s="22">
        <v>0</v>
      </c>
      <c r="C118" s="22">
        <v>0</v>
      </c>
      <c r="D118" s="22">
        <v>0</v>
      </c>
      <c r="E118" s="22">
        <v>0</v>
      </c>
      <c r="F118" s="22">
        <v>0</v>
      </c>
      <c r="G118" s="22">
        <v>0</v>
      </c>
      <c r="H118">
        <f t="shared" si="4"/>
        <v>0</v>
      </c>
      <c r="I118">
        <f t="shared" si="5"/>
        <v>0</v>
      </c>
      <c r="J118">
        <f t="shared" si="6"/>
        <v>0</v>
      </c>
      <c r="K118">
        <f t="shared" si="7"/>
        <v>0</v>
      </c>
      <c r="L118">
        <v>15</v>
      </c>
    </row>
    <row r="119" spans="1:12" ht="15" customHeight="1" x14ac:dyDescent="0.2">
      <c r="A119" t="s">
        <v>28</v>
      </c>
      <c r="B119" s="22">
        <v>0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>
        <f t="shared" si="4"/>
        <v>0</v>
      </c>
      <c r="I119">
        <f t="shared" si="5"/>
        <v>0</v>
      </c>
      <c r="J119">
        <f t="shared" si="6"/>
        <v>0</v>
      </c>
      <c r="K119">
        <f t="shared" si="7"/>
        <v>0</v>
      </c>
      <c r="L119">
        <v>15</v>
      </c>
    </row>
    <row r="120" spans="1:12" ht="15" customHeight="1" x14ac:dyDescent="0.2">
      <c r="A120" t="s">
        <v>29</v>
      </c>
      <c r="B120" s="22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>
        <f t="shared" si="4"/>
        <v>0</v>
      </c>
      <c r="I120">
        <f t="shared" si="5"/>
        <v>0</v>
      </c>
      <c r="J120">
        <f t="shared" si="6"/>
        <v>0</v>
      </c>
      <c r="K120">
        <f t="shared" si="7"/>
        <v>0</v>
      </c>
      <c r="L120">
        <v>15</v>
      </c>
    </row>
    <row r="121" spans="1:12" ht="15" customHeight="1" x14ac:dyDescent="0.2">
      <c r="A121" t="s">
        <v>30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>
        <f t="shared" si="4"/>
        <v>0</v>
      </c>
      <c r="I121">
        <f t="shared" si="5"/>
        <v>0</v>
      </c>
      <c r="J121">
        <f t="shared" si="6"/>
        <v>0</v>
      </c>
      <c r="K121">
        <f t="shared" si="7"/>
        <v>0</v>
      </c>
      <c r="L121">
        <v>15</v>
      </c>
    </row>
    <row r="122" spans="1:12" ht="15" customHeight="1" x14ac:dyDescent="0.2">
      <c r="A122" t="s">
        <v>31</v>
      </c>
      <c r="B122" s="22">
        <v>0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>
        <f t="shared" si="4"/>
        <v>0</v>
      </c>
      <c r="I122">
        <f t="shared" si="5"/>
        <v>0</v>
      </c>
      <c r="J122">
        <f t="shared" si="6"/>
        <v>0</v>
      </c>
      <c r="K122">
        <f t="shared" si="7"/>
        <v>0</v>
      </c>
      <c r="L122">
        <v>15</v>
      </c>
    </row>
    <row r="123" spans="1:12" ht="15" customHeight="1" x14ac:dyDescent="0.2">
      <c r="A123" t="s">
        <v>32</v>
      </c>
      <c r="B123" s="22">
        <v>0</v>
      </c>
      <c r="C123" s="22">
        <v>0</v>
      </c>
      <c r="D123" s="22">
        <v>0</v>
      </c>
      <c r="E123" s="22">
        <v>0</v>
      </c>
      <c r="F123" s="22">
        <v>0</v>
      </c>
      <c r="G123" s="22">
        <v>0</v>
      </c>
      <c r="H123">
        <f t="shared" si="4"/>
        <v>0</v>
      </c>
      <c r="I123">
        <f t="shared" si="5"/>
        <v>0</v>
      </c>
      <c r="J123">
        <f t="shared" si="6"/>
        <v>0</v>
      </c>
      <c r="K123">
        <f t="shared" si="7"/>
        <v>0</v>
      </c>
      <c r="L123">
        <v>15</v>
      </c>
    </row>
    <row r="124" spans="1:12" ht="15" customHeight="1" x14ac:dyDescent="0.2">
      <c r="A124" t="s">
        <v>33</v>
      </c>
      <c r="B124" s="22">
        <v>0</v>
      </c>
      <c r="C124" s="22">
        <v>0</v>
      </c>
      <c r="D124" s="22">
        <v>0</v>
      </c>
      <c r="E124" s="22">
        <v>0</v>
      </c>
      <c r="F124" s="22">
        <v>0</v>
      </c>
      <c r="G124" s="22">
        <v>0</v>
      </c>
      <c r="H124">
        <f t="shared" si="4"/>
        <v>0</v>
      </c>
      <c r="I124">
        <f t="shared" si="5"/>
        <v>0</v>
      </c>
      <c r="J124">
        <f t="shared" si="6"/>
        <v>0</v>
      </c>
      <c r="K124">
        <f t="shared" si="7"/>
        <v>0</v>
      </c>
      <c r="L124">
        <v>15</v>
      </c>
    </row>
    <row r="125" spans="1:12" ht="15" customHeight="1" x14ac:dyDescent="0.2">
      <c r="A125" t="s">
        <v>34</v>
      </c>
      <c r="B125" s="22">
        <v>0</v>
      </c>
      <c r="C125" s="22">
        <v>0</v>
      </c>
      <c r="D125" s="22">
        <v>0</v>
      </c>
      <c r="E125" s="22">
        <v>0</v>
      </c>
      <c r="F125" s="22">
        <v>0</v>
      </c>
      <c r="G125" s="22">
        <v>0</v>
      </c>
      <c r="H125">
        <f t="shared" si="4"/>
        <v>0</v>
      </c>
      <c r="I125">
        <f t="shared" si="5"/>
        <v>0</v>
      </c>
      <c r="J125">
        <f t="shared" si="6"/>
        <v>0</v>
      </c>
      <c r="K125">
        <f t="shared" si="7"/>
        <v>0</v>
      </c>
      <c r="L125">
        <v>15</v>
      </c>
    </row>
    <row r="126" spans="1:12" ht="15" customHeight="1" x14ac:dyDescent="0.2">
      <c r="A126" t="s">
        <v>35</v>
      </c>
      <c r="B126" s="22">
        <v>0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>
        <f t="shared" si="4"/>
        <v>0</v>
      </c>
      <c r="I126">
        <f t="shared" si="5"/>
        <v>0</v>
      </c>
      <c r="J126">
        <f t="shared" si="6"/>
        <v>0</v>
      </c>
      <c r="K126">
        <f t="shared" si="7"/>
        <v>0</v>
      </c>
      <c r="L126">
        <v>15</v>
      </c>
    </row>
    <row r="127" spans="1:12" ht="15" customHeight="1" x14ac:dyDescent="0.2">
      <c r="A127" t="s">
        <v>36</v>
      </c>
      <c r="B127" s="22">
        <v>0</v>
      </c>
      <c r="C127" s="22">
        <v>0</v>
      </c>
      <c r="D127" s="22">
        <v>0</v>
      </c>
      <c r="E127" s="22">
        <v>0</v>
      </c>
      <c r="F127" s="22">
        <v>0</v>
      </c>
      <c r="G127" s="22">
        <v>0</v>
      </c>
      <c r="H127">
        <f t="shared" si="4"/>
        <v>0</v>
      </c>
      <c r="I127">
        <f t="shared" si="5"/>
        <v>0</v>
      </c>
      <c r="J127">
        <f t="shared" si="6"/>
        <v>0</v>
      </c>
      <c r="K127">
        <f t="shared" si="7"/>
        <v>0</v>
      </c>
      <c r="L127">
        <v>15</v>
      </c>
    </row>
    <row r="128" spans="1:12" ht="15" customHeight="1" x14ac:dyDescent="0.2">
      <c r="A128" t="s">
        <v>37</v>
      </c>
      <c r="B128" s="22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>
        <f t="shared" si="4"/>
        <v>0</v>
      </c>
      <c r="I128">
        <f t="shared" si="5"/>
        <v>0</v>
      </c>
      <c r="J128">
        <f t="shared" si="6"/>
        <v>0</v>
      </c>
      <c r="K128">
        <f t="shared" si="7"/>
        <v>0</v>
      </c>
      <c r="L128">
        <v>15</v>
      </c>
    </row>
    <row r="129" spans="1:12" ht="15" customHeight="1" x14ac:dyDescent="0.2">
      <c r="A129" t="s">
        <v>38</v>
      </c>
      <c r="B129" s="22">
        <v>0</v>
      </c>
      <c r="C129" s="22">
        <v>0</v>
      </c>
      <c r="D129" s="22">
        <v>0</v>
      </c>
      <c r="E129" s="22">
        <v>0</v>
      </c>
      <c r="F129" s="22">
        <v>0</v>
      </c>
      <c r="G129" s="22">
        <v>0</v>
      </c>
      <c r="H129">
        <f t="shared" si="4"/>
        <v>0</v>
      </c>
      <c r="I129">
        <f t="shared" si="5"/>
        <v>0</v>
      </c>
      <c r="J129">
        <f t="shared" si="6"/>
        <v>0</v>
      </c>
      <c r="K129">
        <f t="shared" si="7"/>
        <v>0</v>
      </c>
      <c r="L129">
        <v>15</v>
      </c>
    </row>
    <row r="130" spans="1:12" ht="15" customHeight="1" x14ac:dyDescent="0.2">
      <c r="A130" t="s">
        <v>39</v>
      </c>
      <c r="B130" s="22">
        <v>0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>
        <f t="shared" si="4"/>
        <v>0</v>
      </c>
      <c r="I130">
        <f t="shared" si="5"/>
        <v>0</v>
      </c>
      <c r="J130">
        <f t="shared" si="6"/>
        <v>0</v>
      </c>
      <c r="K130">
        <f t="shared" si="7"/>
        <v>0</v>
      </c>
      <c r="L130">
        <v>15</v>
      </c>
    </row>
    <row r="131" spans="1:12" ht="15" customHeight="1" x14ac:dyDescent="0.2">
      <c r="A131" t="s">
        <v>40</v>
      </c>
      <c r="B131" s="22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>
        <f t="shared" si="4"/>
        <v>0</v>
      </c>
      <c r="I131">
        <f t="shared" si="5"/>
        <v>0</v>
      </c>
      <c r="J131">
        <f t="shared" si="6"/>
        <v>0</v>
      </c>
      <c r="K131">
        <f t="shared" si="7"/>
        <v>0</v>
      </c>
      <c r="L131">
        <v>15</v>
      </c>
    </row>
    <row r="132" spans="1:12" ht="15" customHeight="1" x14ac:dyDescent="0.2">
      <c r="A132" t="s">
        <v>41</v>
      </c>
      <c r="B132" s="22">
        <v>0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>
        <f t="shared" si="4"/>
        <v>0</v>
      </c>
      <c r="I132">
        <f t="shared" si="5"/>
        <v>0</v>
      </c>
      <c r="J132">
        <f t="shared" si="6"/>
        <v>0</v>
      </c>
      <c r="K132">
        <f t="shared" si="7"/>
        <v>0</v>
      </c>
      <c r="L132">
        <v>15</v>
      </c>
    </row>
    <row r="133" spans="1:12" ht="15" customHeight="1" x14ac:dyDescent="0.2">
      <c r="A133" t="s">
        <v>42</v>
      </c>
      <c r="B133" s="22">
        <v>0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>
        <f t="shared" si="4"/>
        <v>0</v>
      </c>
      <c r="I133">
        <f t="shared" si="5"/>
        <v>0</v>
      </c>
      <c r="J133">
        <f t="shared" si="6"/>
        <v>0</v>
      </c>
      <c r="K133">
        <f t="shared" si="7"/>
        <v>0</v>
      </c>
      <c r="L133">
        <v>15</v>
      </c>
    </row>
    <row r="134" spans="1:12" ht="15" customHeight="1" x14ac:dyDescent="0.2">
      <c r="A134" t="s">
        <v>43</v>
      </c>
      <c r="B134" s="22">
        <v>0</v>
      </c>
      <c r="C134" s="22">
        <v>0</v>
      </c>
      <c r="D134" s="22">
        <v>0</v>
      </c>
      <c r="E134" s="22">
        <v>0</v>
      </c>
      <c r="F134" s="22">
        <v>0</v>
      </c>
      <c r="G134" s="22">
        <v>0</v>
      </c>
      <c r="H134">
        <f t="shared" si="4"/>
        <v>0</v>
      </c>
      <c r="I134">
        <f t="shared" si="5"/>
        <v>0</v>
      </c>
      <c r="J134">
        <f t="shared" si="6"/>
        <v>0</v>
      </c>
      <c r="K134">
        <f t="shared" si="7"/>
        <v>0</v>
      </c>
      <c r="L134">
        <v>15</v>
      </c>
    </row>
    <row r="135" spans="1:12" ht="15" customHeight="1" x14ac:dyDescent="0.2">
      <c r="A135" t="s">
        <v>44</v>
      </c>
      <c r="B135" s="22">
        <v>0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>
        <f t="shared" si="4"/>
        <v>0</v>
      </c>
      <c r="I135">
        <f t="shared" si="5"/>
        <v>0</v>
      </c>
      <c r="J135">
        <f t="shared" si="6"/>
        <v>0</v>
      </c>
      <c r="K135">
        <f t="shared" si="7"/>
        <v>0</v>
      </c>
      <c r="L135">
        <v>15</v>
      </c>
    </row>
    <row r="136" spans="1:12" ht="15" customHeight="1" x14ac:dyDescent="0.2">
      <c r="A136" t="s">
        <v>45</v>
      </c>
      <c r="B136" s="22">
        <v>0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>
        <f t="shared" si="4"/>
        <v>0</v>
      </c>
      <c r="I136">
        <f t="shared" si="5"/>
        <v>0</v>
      </c>
      <c r="J136">
        <f t="shared" si="6"/>
        <v>0</v>
      </c>
      <c r="K136">
        <f t="shared" si="7"/>
        <v>0</v>
      </c>
      <c r="L136">
        <v>15</v>
      </c>
    </row>
    <row r="137" spans="1:12" ht="15" customHeight="1" x14ac:dyDescent="0.2">
      <c r="A137" t="s">
        <v>46</v>
      </c>
      <c r="B137" s="22">
        <v>0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>
        <f t="shared" si="4"/>
        <v>0</v>
      </c>
      <c r="I137">
        <f t="shared" si="5"/>
        <v>0</v>
      </c>
      <c r="J137">
        <f t="shared" si="6"/>
        <v>0</v>
      </c>
      <c r="K137">
        <f t="shared" si="7"/>
        <v>0</v>
      </c>
      <c r="L137">
        <v>15</v>
      </c>
    </row>
    <row r="138" spans="1:12" ht="15" customHeight="1" x14ac:dyDescent="0.2">
      <c r="A138" t="s">
        <v>47</v>
      </c>
      <c r="B138" s="22">
        <v>0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>
        <f t="shared" si="4"/>
        <v>0</v>
      </c>
      <c r="I138">
        <f t="shared" si="5"/>
        <v>0</v>
      </c>
      <c r="J138">
        <f t="shared" si="6"/>
        <v>0</v>
      </c>
      <c r="K138">
        <f t="shared" si="7"/>
        <v>0</v>
      </c>
      <c r="L138">
        <v>15</v>
      </c>
    </row>
    <row r="139" spans="1:12" ht="15" customHeight="1" x14ac:dyDescent="0.2">
      <c r="A139" t="s">
        <v>48</v>
      </c>
      <c r="B139" s="22">
        <v>0</v>
      </c>
      <c r="C139" s="22">
        <v>1</v>
      </c>
      <c r="D139" s="22">
        <v>0</v>
      </c>
      <c r="E139" s="22">
        <v>0</v>
      </c>
      <c r="F139" s="22">
        <v>0</v>
      </c>
      <c r="G139" s="22">
        <v>0</v>
      </c>
      <c r="H139">
        <f t="shared" ref="H139:H201" si="8">C139</f>
        <v>1</v>
      </c>
      <c r="I139">
        <f t="shared" ref="I139:I201" si="9">F139</f>
        <v>0</v>
      </c>
      <c r="J139">
        <f t="shared" ref="J139:J201" si="10">(B139+G139)</f>
        <v>0</v>
      </c>
      <c r="K139">
        <f t="shared" ref="K139:K201" si="11">(D139+E139)</f>
        <v>0</v>
      </c>
      <c r="L139">
        <v>15</v>
      </c>
    </row>
    <row r="140" spans="1:12" ht="15" customHeight="1" x14ac:dyDescent="0.2">
      <c r="A140" t="s">
        <v>49</v>
      </c>
      <c r="B140" s="22">
        <v>1</v>
      </c>
      <c r="C140" s="22">
        <v>0</v>
      </c>
      <c r="D140" s="22">
        <v>0</v>
      </c>
      <c r="E140" s="22">
        <v>0</v>
      </c>
      <c r="F140" s="22">
        <v>1</v>
      </c>
      <c r="G140" s="22">
        <v>0</v>
      </c>
      <c r="H140">
        <f t="shared" si="8"/>
        <v>0</v>
      </c>
      <c r="I140">
        <f t="shared" si="9"/>
        <v>1</v>
      </c>
      <c r="J140">
        <f t="shared" si="10"/>
        <v>1</v>
      </c>
      <c r="K140">
        <f t="shared" si="11"/>
        <v>0</v>
      </c>
      <c r="L140">
        <v>15</v>
      </c>
    </row>
    <row r="141" spans="1:12" ht="15" customHeight="1" x14ac:dyDescent="0.2">
      <c r="A141" t="s">
        <v>50</v>
      </c>
      <c r="B141" s="22">
        <v>0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>
        <f t="shared" si="8"/>
        <v>0</v>
      </c>
      <c r="I141">
        <f t="shared" si="9"/>
        <v>0</v>
      </c>
      <c r="J141">
        <f t="shared" si="10"/>
        <v>0</v>
      </c>
      <c r="K141">
        <f t="shared" si="11"/>
        <v>0</v>
      </c>
      <c r="L141">
        <v>15</v>
      </c>
    </row>
    <row r="142" spans="1:12" ht="15" customHeight="1" x14ac:dyDescent="0.2">
      <c r="A142" t="s">
        <v>51</v>
      </c>
      <c r="B142" s="22">
        <v>1</v>
      </c>
      <c r="C142" s="22">
        <v>0</v>
      </c>
      <c r="D142" s="22">
        <v>0</v>
      </c>
      <c r="E142" s="22">
        <v>0</v>
      </c>
      <c r="F142" s="22">
        <v>0</v>
      </c>
      <c r="G142" s="22">
        <v>1</v>
      </c>
      <c r="H142">
        <f t="shared" si="8"/>
        <v>0</v>
      </c>
      <c r="I142">
        <f t="shared" si="9"/>
        <v>0</v>
      </c>
      <c r="J142">
        <f t="shared" si="10"/>
        <v>2</v>
      </c>
      <c r="K142">
        <f t="shared" si="11"/>
        <v>0</v>
      </c>
      <c r="L142">
        <v>15</v>
      </c>
    </row>
    <row r="143" spans="1:12" ht="15" customHeight="1" x14ac:dyDescent="0.2">
      <c r="A143" t="s">
        <v>52</v>
      </c>
      <c r="B143" s="22">
        <v>0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>
        <f t="shared" si="8"/>
        <v>0</v>
      </c>
      <c r="I143">
        <f t="shared" si="9"/>
        <v>0</v>
      </c>
      <c r="J143">
        <f t="shared" si="10"/>
        <v>0</v>
      </c>
      <c r="K143">
        <f t="shared" si="11"/>
        <v>0</v>
      </c>
      <c r="L143">
        <v>15</v>
      </c>
    </row>
    <row r="144" spans="1:12" ht="15" customHeight="1" x14ac:dyDescent="0.2">
      <c r="A144" t="s">
        <v>53</v>
      </c>
      <c r="B144" s="22">
        <v>0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>
        <f t="shared" si="8"/>
        <v>0</v>
      </c>
      <c r="I144">
        <f t="shared" si="9"/>
        <v>0</v>
      </c>
      <c r="J144">
        <f t="shared" si="10"/>
        <v>0</v>
      </c>
      <c r="K144">
        <f t="shared" si="11"/>
        <v>0</v>
      </c>
      <c r="L144">
        <v>15</v>
      </c>
    </row>
    <row r="145" spans="1:12" ht="15" customHeight="1" x14ac:dyDescent="0.2">
      <c r="A145" t="s">
        <v>54</v>
      </c>
      <c r="B145" s="22">
        <v>0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>
        <f t="shared" si="8"/>
        <v>0</v>
      </c>
      <c r="I145">
        <f t="shared" si="9"/>
        <v>0</v>
      </c>
      <c r="J145">
        <f t="shared" si="10"/>
        <v>0</v>
      </c>
      <c r="K145">
        <f t="shared" si="11"/>
        <v>0</v>
      </c>
      <c r="L145">
        <v>15</v>
      </c>
    </row>
    <row r="146" spans="1:12" ht="15" customHeight="1" x14ac:dyDescent="0.2">
      <c r="A146" t="s">
        <v>55</v>
      </c>
      <c r="B146" s="22">
        <v>0</v>
      </c>
      <c r="C146" s="22">
        <v>0</v>
      </c>
      <c r="D146" s="22">
        <v>0</v>
      </c>
      <c r="E146" s="22">
        <v>0</v>
      </c>
      <c r="F146" s="22">
        <v>0</v>
      </c>
      <c r="G146" s="22">
        <v>0</v>
      </c>
      <c r="H146">
        <f t="shared" si="8"/>
        <v>0</v>
      </c>
      <c r="I146">
        <f t="shared" si="9"/>
        <v>0</v>
      </c>
      <c r="J146">
        <f t="shared" si="10"/>
        <v>0</v>
      </c>
      <c r="K146">
        <f t="shared" si="11"/>
        <v>0</v>
      </c>
      <c r="L146">
        <v>15</v>
      </c>
    </row>
    <row r="147" spans="1:12" ht="15" customHeight="1" x14ac:dyDescent="0.2">
      <c r="A147" t="s">
        <v>56</v>
      </c>
      <c r="B147" s="22">
        <v>1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>
        <f t="shared" si="8"/>
        <v>0</v>
      </c>
      <c r="I147">
        <f t="shared" si="9"/>
        <v>0</v>
      </c>
      <c r="J147">
        <f t="shared" si="10"/>
        <v>1</v>
      </c>
      <c r="K147">
        <f t="shared" si="11"/>
        <v>0</v>
      </c>
      <c r="L147">
        <v>15</v>
      </c>
    </row>
    <row r="148" spans="1:12" ht="15" customHeight="1" x14ac:dyDescent="0.2">
      <c r="A148" t="s">
        <v>57</v>
      </c>
      <c r="B148" s="22">
        <v>0</v>
      </c>
      <c r="C148" s="22">
        <v>0</v>
      </c>
      <c r="D148" s="22">
        <v>0</v>
      </c>
      <c r="E148" s="22">
        <v>0</v>
      </c>
      <c r="F148" s="22">
        <v>0</v>
      </c>
      <c r="G148" s="22">
        <v>0</v>
      </c>
      <c r="H148">
        <f t="shared" si="8"/>
        <v>0</v>
      </c>
      <c r="I148">
        <f t="shared" si="9"/>
        <v>0</v>
      </c>
      <c r="J148">
        <f t="shared" si="10"/>
        <v>0</v>
      </c>
      <c r="K148">
        <f t="shared" si="11"/>
        <v>0</v>
      </c>
      <c r="L148">
        <v>15</v>
      </c>
    </row>
    <row r="149" spans="1:12" ht="15" customHeight="1" x14ac:dyDescent="0.2">
      <c r="A149" t="s">
        <v>58</v>
      </c>
      <c r="B149" s="22">
        <v>0</v>
      </c>
      <c r="C149" s="22">
        <v>0</v>
      </c>
      <c r="D149" s="22">
        <v>0</v>
      </c>
      <c r="E149" s="22">
        <v>0</v>
      </c>
      <c r="F149" s="22">
        <v>0</v>
      </c>
      <c r="G149" s="22">
        <v>0</v>
      </c>
      <c r="H149">
        <f t="shared" si="8"/>
        <v>0</v>
      </c>
      <c r="I149">
        <f t="shared" si="9"/>
        <v>0</v>
      </c>
      <c r="J149">
        <f t="shared" si="10"/>
        <v>0</v>
      </c>
      <c r="K149">
        <f t="shared" si="11"/>
        <v>0</v>
      </c>
      <c r="L149">
        <v>15</v>
      </c>
    </row>
    <row r="150" spans="1:12" ht="15" customHeight="1" x14ac:dyDescent="0.2">
      <c r="A150" t="s">
        <v>59</v>
      </c>
      <c r="B150" s="22">
        <v>0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>
        <f t="shared" si="8"/>
        <v>0</v>
      </c>
      <c r="I150">
        <f t="shared" si="9"/>
        <v>0</v>
      </c>
      <c r="J150">
        <f t="shared" si="10"/>
        <v>0</v>
      </c>
      <c r="K150">
        <f t="shared" si="11"/>
        <v>0</v>
      </c>
      <c r="L150">
        <v>15</v>
      </c>
    </row>
    <row r="151" spans="1:12" ht="15" customHeight="1" x14ac:dyDescent="0.2">
      <c r="A151" t="s">
        <v>60</v>
      </c>
      <c r="B151" s="22">
        <v>0</v>
      </c>
      <c r="C151" s="22">
        <v>0</v>
      </c>
      <c r="D151" s="22">
        <v>0</v>
      </c>
      <c r="E151" s="22">
        <v>0</v>
      </c>
      <c r="F151" s="22">
        <v>0</v>
      </c>
      <c r="G151" s="22">
        <v>1</v>
      </c>
      <c r="H151">
        <f t="shared" si="8"/>
        <v>0</v>
      </c>
      <c r="I151">
        <f t="shared" si="9"/>
        <v>0</v>
      </c>
      <c r="J151">
        <f t="shared" si="10"/>
        <v>1</v>
      </c>
      <c r="K151">
        <f t="shared" si="11"/>
        <v>0</v>
      </c>
      <c r="L151">
        <v>15</v>
      </c>
    </row>
    <row r="152" spans="1:12" ht="15" customHeight="1" x14ac:dyDescent="0.2">
      <c r="A152" t="s">
        <v>61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>
        <f t="shared" si="8"/>
        <v>0</v>
      </c>
      <c r="I152">
        <f t="shared" si="9"/>
        <v>0</v>
      </c>
      <c r="J152">
        <f t="shared" si="10"/>
        <v>0</v>
      </c>
      <c r="K152">
        <f t="shared" si="11"/>
        <v>0</v>
      </c>
      <c r="L152">
        <v>15</v>
      </c>
    </row>
    <row r="153" spans="1:12" ht="15" customHeight="1" x14ac:dyDescent="0.2">
      <c r="A153" t="s">
        <v>62</v>
      </c>
      <c r="B153" s="22">
        <v>0</v>
      </c>
      <c r="C153" s="22">
        <v>0</v>
      </c>
      <c r="D153" s="22">
        <v>0</v>
      </c>
      <c r="E153" s="22">
        <v>0</v>
      </c>
      <c r="F153" s="22">
        <v>0</v>
      </c>
      <c r="G153" s="22">
        <v>0</v>
      </c>
      <c r="H153">
        <f t="shared" si="8"/>
        <v>0</v>
      </c>
      <c r="I153">
        <f t="shared" si="9"/>
        <v>0</v>
      </c>
      <c r="J153">
        <f t="shared" si="10"/>
        <v>0</v>
      </c>
      <c r="K153">
        <f t="shared" si="11"/>
        <v>0</v>
      </c>
      <c r="L153">
        <v>15</v>
      </c>
    </row>
    <row r="154" spans="1:12" ht="15" customHeight="1" x14ac:dyDescent="0.2">
      <c r="A154" t="s">
        <v>63</v>
      </c>
      <c r="B154" s="22">
        <v>0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>
        <f t="shared" si="8"/>
        <v>0</v>
      </c>
      <c r="I154">
        <f t="shared" si="9"/>
        <v>0</v>
      </c>
      <c r="J154">
        <f t="shared" si="10"/>
        <v>0</v>
      </c>
      <c r="K154">
        <f t="shared" si="11"/>
        <v>0</v>
      </c>
      <c r="L154">
        <v>15</v>
      </c>
    </row>
    <row r="155" spans="1:12" ht="15" customHeight="1" x14ac:dyDescent="0.2">
      <c r="A155" t="s">
        <v>64</v>
      </c>
      <c r="B155" s="22">
        <v>0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>
        <f t="shared" si="8"/>
        <v>0</v>
      </c>
      <c r="I155">
        <f t="shared" si="9"/>
        <v>0</v>
      </c>
      <c r="J155">
        <f t="shared" si="10"/>
        <v>0</v>
      </c>
      <c r="K155">
        <f t="shared" si="11"/>
        <v>0</v>
      </c>
      <c r="L155">
        <v>15</v>
      </c>
    </row>
    <row r="156" spans="1:12" ht="15" customHeight="1" x14ac:dyDescent="0.2">
      <c r="A156" t="s">
        <v>65</v>
      </c>
      <c r="B156" s="22">
        <v>0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>
        <f t="shared" si="8"/>
        <v>0</v>
      </c>
      <c r="I156">
        <f t="shared" si="9"/>
        <v>0</v>
      </c>
      <c r="J156">
        <f t="shared" si="10"/>
        <v>0</v>
      </c>
      <c r="K156">
        <f t="shared" si="11"/>
        <v>0</v>
      </c>
      <c r="L156">
        <v>15</v>
      </c>
    </row>
    <row r="157" spans="1:12" ht="15" customHeight="1" x14ac:dyDescent="0.2">
      <c r="A157" t="s">
        <v>66</v>
      </c>
      <c r="B157" s="22">
        <v>0</v>
      </c>
      <c r="C157" s="22">
        <v>0</v>
      </c>
      <c r="D157" s="22">
        <v>0</v>
      </c>
      <c r="E157" s="22">
        <v>0</v>
      </c>
      <c r="F157" s="22">
        <v>0</v>
      </c>
      <c r="G157" s="22">
        <v>0</v>
      </c>
      <c r="H157">
        <f t="shared" si="8"/>
        <v>0</v>
      </c>
      <c r="I157">
        <f t="shared" si="9"/>
        <v>0</v>
      </c>
      <c r="J157">
        <f t="shared" si="10"/>
        <v>0</v>
      </c>
      <c r="K157">
        <f t="shared" si="11"/>
        <v>0</v>
      </c>
      <c r="L157">
        <v>15</v>
      </c>
    </row>
    <row r="158" spans="1:12" ht="15" customHeight="1" x14ac:dyDescent="0.2">
      <c r="A158" t="s">
        <v>67</v>
      </c>
      <c r="B158" s="22">
        <v>0</v>
      </c>
      <c r="C158" s="22">
        <v>0</v>
      </c>
      <c r="D158" s="22">
        <v>0</v>
      </c>
      <c r="E158" s="22">
        <v>0</v>
      </c>
      <c r="F158" s="22">
        <v>0</v>
      </c>
      <c r="G158" s="22">
        <v>0</v>
      </c>
      <c r="H158">
        <f t="shared" si="8"/>
        <v>0</v>
      </c>
      <c r="I158">
        <f t="shared" si="9"/>
        <v>0</v>
      </c>
      <c r="J158">
        <f t="shared" si="10"/>
        <v>0</v>
      </c>
      <c r="K158">
        <f t="shared" si="11"/>
        <v>0</v>
      </c>
      <c r="L158">
        <v>15</v>
      </c>
    </row>
    <row r="159" spans="1:12" ht="15" customHeight="1" x14ac:dyDescent="0.2">
      <c r="A159" t="s">
        <v>68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  <c r="G159" s="22">
        <v>0</v>
      </c>
      <c r="H159">
        <f t="shared" si="8"/>
        <v>0</v>
      </c>
      <c r="I159">
        <f t="shared" si="9"/>
        <v>0</v>
      </c>
      <c r="J159">
        <f t="shared" si="10"/>
        <v>0</v>
      </c>
      <c r="K159">
        <f t="shared" si="11"/>
        <v>0</v>
      </c>
      <c r="L159">
        <v>15</v>
      </c>
    </row>
    <row r="160" spans="1:12" ht="15" customHeight="1" x14ac:dyDescent="0.2">
      <c r="A160" t="s">
        <v>69</v>
      </c>
      <c r="B160" s="22">
        <v>0</v>
      </c>
      <c r="C160" s="22">
        <v>0</v>
      </c>
      <c r="D160" s="22">
        <v>0</v>
      </c>
      <c r="E160" s="22">
        <v>0</v>
      </c>
      <c r="F160" s="22">
        <v>0</v>
      </c>
      <c r="G160" s="22">
        <v>0</v>
      </c>
      <c r="H160">
        <f t="shared" si="8"/>
        <v>0</v>
      </c>
      <c r="I160">
        <f t="shared" si="9"/>
        <v>0</v>
      </c>
      <c r="J160">
        <f t="shared" si="10"/>
        <v>0</v>
      </c>
      <c r="K160">
        <f t="shared" si="11"/>
        <v>0</v>
      </c>
      <c r="L160">
        <v>15</v>
      </c>
    </row>
    <row r="161" spans="1:12" ht="15" customHeight="1" x14ac:dyDescent="0.2">
      <c r="A161" t="s">
        <v>70</v>
      </c>
      <c r="B161" s="22">
        <v>1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>
        <f t="shared" si="8"/>
        <v>0</v>
      </c>
      <c r="I161">
        <f t="shared" si="9"/>
        <v>0</v>
      </c>
      <c r="J161">
        <f t="shared" si="10"/>
        <v>1</v>
      </c>
      <c r="K161">
        <f t="shared" si="11"/>
        <v>0</v>
      </c>
      <c r="L161">
        <v>15</v>
      </c>
    </row>
    <row r="162" spans="1:12" ht="15" customHeight="1" x14ac:dyDescent="0.2">
      <c r="A162" t="s">
        <v>71</v>
      </c>
      <c r="B162" s="22">
        <v>0</v>
      </c>
      <c r="C162" s="22">
        <v>0</v>
      </c>
      <c r="D162" s="22">
        <v>0</v>
      </c>
      <c r="E162" s="22">
        <v>0</v>
      </c>
      <c r="F162" s="22">
        <v>0</v>
      </c>
      <c r="G162" s="22">
        <v>0</v>
      </c>
      <c r="H162">
        <f t="shared" si="8"/>
        <v>0</v>
      </c>
      <c r="I162">
        <f t="shared" si="9"/>
        <v>0</v>
      </c>
      <c r="J162">
        <f t="shared" si="10"/>
        <v>0</v>
      </c>
      <c r="K162">
        <f t="shared" si="11"/>
        <v>0</v>
      </c>
      <c r="L162">
        <v>15</v>
      </c>
    </row>
    <row r="163" spans="1:12" ht="15" customHeight="1" x14ac:dyDescent="0.2">
      <c r="A163" t="s">
        <v>72</v>
      </c>
      <c r="B163" s="22">
        <v>0</v>
      </c>
      <c r="C163" s="22">
        <v>0</v>
      </c>
      <c r="D163" s="22">
        <v>0</v>
      </c>
      <c r="E163" s="22">
        <v>0</v>
      </c>
      <c r="F163" s="22">
        <v>0</v>
      </c>
      <c r="G163" s="22">
        <v>0</v>
      </c>
      <c r="H163">
        <f t="shared" si="8"/>
        <v>0</v>
      </c>
      <c r="I163">
        <f t="shared" si="9"/>
        <v>0</v>
      </c>
      <c r="J163">
        <f t="shared" si="10"/>
        <v>0</v>
      </c>
      <c r="K163">
        <f t="shared" si="11"/>
        <v>0</v>
      </c>
      <c r="L163">
        <v>15</v>
      </c>
    </row>
    <row r="164" spans="1:12" ht="15" customHeight="1" x14ac:dyDescent="0.2">
      <c r="A164" t="s">
        <v>73</v>
      </c>
      <c r="B164" s="22">
        <v>0</v>
      </c>
      <c r="C164" s="22">
        <v>0</v>
      </c>
      <c r="D164" s="22">
        <v>0</v>
      </c>
      <c r="E164" s="22">
        <v>0</v>
      </c>
      <c r="F164" s="22">
        <v>0</v>
      </c>
      <c r="G164" s="22">
        <v>0</v>
      </c>
      <c r="H164">
        <f t="shared" si="8"/>
        <v>0</v>
      </c>
      <c r="I164">
        <f t="shared" si="9"/>
        <v>0</v>
      </c>
      <c r="J164">
        <f t="shared" si="10"/>
        <v>0</v>
      </c>
      <c r="K164">
        <f t="shared" si="11"/>
        <v>0</v>
      </c>
      <c r="L164">
        <v>15</v>
      </c>
    </row>
    <row r="165" spans="1:12" ht="15" customHeight="1" x14ac:dyDescent="0.2">
      <c r="A165" t="s">
        <v>74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>
        <f t="shared" si="8"/>
        <v>0</v>
      </c>
      <c r="I165">
        <f t="shared" si="9"/>
        <v>0</v>
      </c>
      <c r="J165">
        <f t="shared" si="10"/>
        <v>0</v>
      </c>
      <c r="K165">
        <f t="shared" si="11"/>
        <v>0</v>
      </c>
      <c r="L165">
        <v>15</v>
      </c>
    </row>
    <row r="166" spans="1:12" ht="15" customHeight="1" x14ac:dyDescent="0.2">
      <c r="A166" t="s">
        <v>75</v>
      </c>
      <c r="B166" s="22">
        <v>0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>
        <f t="shared" si="8"/>
        <v>0</v>
      </c>
      <c r="I166">
        <f t="shared" si="9"/>
        <v>0</v>
      </c>
      <c r="J166">
        <f t="shared" si="10"/>
        <v>0</v>
      </c>
      <c r="K166">
        <f t="shared" si="11"/>
        <v>0</v>
      </c>
      <c r="L166">
        <v>15</v>
      </c>
    </row>
    <row r="167" spans="1:12" ht="15" customHeight="1" x14ac:dyDescent="0.2">
      <c r="A167" t="s">
        <v>76</v>
      </c>
      <c r="B167" s="22">
        <v>0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>
        <f t="shared" si="8"/>
        <v>0</v>
      </c>
      <c r="I167">
        <f t="shared" si="9"/>
        <v>0</v>
      </c>
      <c r="J167">
        <f t="shared" si="10"/>
        <v>0</v>
      </c>
      <c r="K167">
        <f t="shared" si="11"/>
        <v>0</v>
      </c>
      <c r="L167">
        <v>15</v>
      </c>
    </row>
    <row r="168" spans="1:12" ht="15" customHeight="1" x14ac:dyDescent="0.2">
      <c r="A168" t="s">
        <v>77</v>
      </c>
      <c r="B168" s="22">
        <v>0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>
        <f t="shared" si="8"/>
        <v>0</v>
      </c>
      <c r="I168">
        <f t="shared" si="9"/>
        <v>0</v>
      </c>
      <c r="J168">
        <f t="shared" si="10"/>
        <v>0</v>
      </c>
      <c r="K168">
        <f t="shared" si="11"/>
        <v>0</v>
      </c>
      <c r="L168">
        <v>15</v>
      </c>
    </row>
    <row r="169" spans="1:12" ht="15" customHeight="1" x14ac:dyDescent="0.2">
      <c r="A169" t="s">
        <v>78</v>
      </c>
      <c r="B169" s="22">
        <v>0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>
        <f t="shared" si="8"/>
        <v>0</v>
      </c>
      <c r="I169">
        <f t="shared" si="9"/>
        <v>0</v>
      </c>
      <c r="J169">
        <f t="shared" si="10"/>
        <v>0</v>
      </c>
      <c r="K169">
        <f t="shared" si="11"/>
        <v>0</v>
      </c>
      <c r="L169">
        <v>15</v>
      </c>
    </row>
    <row r="170" spans="1:12" ht="15" customHeight="1" x14ac:dyDescent="0.2">
      <c r="A170" t="s">
        <v>79</v>
      </c>
      <c r="B170" s="22">
        <v>0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>
        <f t="shared" si="8"/>
        <v>0</v>
      </c>
      <c r="I170">
        <f t="shared" si="9"/>
        <v>0</v>
      </c>
      <c r="J170">
        <f t="shared" si="10"/>
        <v>0</v>
      </c>
      <c r="K170">
        <f t="shared" si="11"/>
        <v>0</v>
      </c>
      <c r="L170">
        <v>15</v>
      </c>
    </row>
    <row r="171" spans="1:12" ht="15" customHeight="1" x14ac:dyDescent="0.2">
      <c r="A171" t="s">
        <v>80</v>
      </c>
      <c r="B171" s="22">
        <v>0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>
        <f t="shared" si="8"/>
        <v>0</v>
      </c>
      <c r="I171">
        <f t="shared" si="9"/>
        <v>0</v>
      </c>
      <c r="J171">
        <f t="shared" si="10"/>
        <v>0</v>
      </c>
      <c r="K171">
        <f t="shared" si="11"/>
        <v>0</v>
      </c>
      <c r="L171">
        <v>15</v>
      </c>
    </row>
    <row r="172" spans="1:12" ht="15" customHeight="1" x14ac:dyDescent="0.2">
      <c r="A172" t="s">
        <v>81</v>
      </c>
      <c r="B172" s="22">
        <v>0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>
        <f t="shared" si="8"/>
        <v>0</v>
      </c>
      <c r="I172">
        <f t="shared" si="9"/>
        <v>0</v>
      </c>
      <c r="J172">
        <f t="shared" si="10"/>
        <v>0</v>
      </c>
      <c r="K172">
        <f t="shared" si="11"/>
        <v>0</v>
      </c>
      <c r="L172">
        <v>15</v>
      </c>
    </row>
    <row r="173" spans="1:12" ht="15" customHeight="1" x14ac:dyDescent="0.2">
      <c r="A173" t="s">
        <v>82</v>
      </c>
      <c r="B173" s="22">
        <v>0</v>
      </c>
      <c r="C173" s="22">
        <v>0</v>
      </c>
      <c r="D173" s="22">
        <v>0</v>
      </c>
      <c r="E173" s="22">
        <v>0</v>
      </c>
      <c r="F173" s="22">
        <v>0</v>
      </c>
      <c r="G173" s="22">
        <v>0</v>
      </c>
      <c r="H173">
        <f t="shared" si="8"/>
        <v>0</v>
      </c>
      <c r="I173">
        <f t="shared" si="9"/>
        <v>0</v>
      </c>
      <c r="J173">
        <f t="shared" si="10"/>
        <v>0</v>
      </c>
      <c r="K173">
        <f t="shared" si="11"/>
        <v>0</v>
      </c>
      <c r="L173">
        <v>15</v>
      </c>
    </row>
    <row r="174" spans="1:12" ht="15" customHeight="1" x14ac:dyDescent="0.2">
      <c r="A174" t="s">
        <v>83</v>
      </c>
      <c r="B174" s="22">
        <v>0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>
        <f t="shared" si="8"/>
        <v>0</v>
      </c>
      <c r="I174">
        <f t="shared" si="9"/>
        <v>0</v>
      </c>
      <c r="J174">
        <f t="shared" si="10"/>
        <v>0</v>
      </c>
      <c r="K174">
        <f t="shared" si="11"/>
        <v>0</v>
      </c>
      <c r="L174">
        <v>15</v>
      </c>
    </row>
    <row r="175" spans="1:12" ht="15" customHeight="1" x14ac:dyDescent="0.2">
      <c r="A175" t="s">
        <v>84</v>
      </c>
      <c r="B175" s="22">
        <v>0</v>
      </c>
      <c r="C175" s="22">
        <v>0</v>
      </c>
      <c r="D175" s="22">
        <v>0</v>
      </c>
      <c r="E175" s="22">
        <v>0</v>
      </c>
      <c r="F175" s="22">
        <v>0</v>
      </c>
      <c r="G175" s="22">
        <v>1</v>
      </c>
      <c r="H175">
        <f t="shared" si="8"/>
        <v>0</v>
      </c>
      <c r="I175">
        <f t="shared" si="9"/>
        <v>0</v>
      </c>
      <c r="J175">
        <f t="shared" si="10"/>
        <v>1</v>
      </c>
      <c r="K175">
        <f t="shared" si="11"/>
        <v>0</v>
      </c>
      <c r="L175">
        <v>15</v>
      </c>
    </row>
    <row r="176" spans="1:12" ht="15" customHeight="1" x14ac:dyDescent="0.2">
      <c r="A176" t="s">
        <v>85</v>
      </c>
      <c r="B176" s="22">
        <v>0</v>
      </c>
      <c r="C176" s="22">
        <v>0</v>
      </c>
      <c r="D176" s="22">
        <v>0</v>
      </c>
      <c r="E176" s="22">
        <v>0</v>
      </c>
      <c r="F176" s="22">
        <v>1</v>
      </c>
      <c r="G176" s="22">
        <v>0</v>
      </c>
      <c r="H176">
        <f t="shared" si="8"/>
        <v>0</v>
      </c>
      <c r="I176">
        <f t="shared" si="9"/>
        <v>1</v>
      </c>
      <c r="J176">
        <f t="shared" si="10"/>
        <v>0</v>
      </c>
      <c r="K176">
        <f t="shared" si="11"/>
        <v>0</v>
      </c>
      <c r="L176">
        <v>15</v>
      </c>
    </row>
    <row r="177" spans="1:12" ht="15" customHeight="1" x14ac:dyDescent="0.2">
      <c r="A177" t="s">
        <v>86</v>
      </c>
      <c r="B177" s="22">
        <v>0</v>
      </c>
      <c r="C177" s="22">
        <v>0</v>
      </c>
      <c r="D177" s="22">
        <v>0</v>
      </c>
      <c r="E177" s="22">
        <v>0</v>
      </c>
      <c r="F177" s="22">
        <v>0</v>
      </c>
      <c r="G177" s="22">
        <v>0</v>
      </c>
      <c r="H177">
        <f t="shared" si="8"/>
        <v>0</v>
      </c>
      <c r="I177">
        <f t="shared" si="9"/>
        <v>0</v>
      </c>
      <c r="J177">
        <f t="shared" si="10"/>
        <v>0</v>
      </c>
      <c r="K177">
        <f t="shared" si="11"/>
        <v>0</v>
      </c>
      <c r="L177">
        <v>15</v>
      </c>
    </row>
    <row r="178" spans="1:12" ht="15" customHeight="1" x14ac:dyDescent="0.2">
      <c r="A178" t="s">
        <v>87</v>
      </c>
      <c r="B178" s="22">
        <v>0</v>
      </c>
      <c r="C178" s="22">
        <v>0</v>
      </c>
      <c r="D178" s="22">
        <v>0</v>
      </c>
      <c r="E178" s="22">
        <v>0</v>
      </c>
      <c r="F178" s="22">
        <v>0</v>
      </c>
      <c r="G178" s="22">
        <v>0</v>
      </c>
      <c r="H178">
        <f t="shared" si="8"/>
        <v>0</v>
      </c>
      <c r="I178">
        <f t="shared" si="9"/>
        <v>0</v>
      </c>
      <c r="J178">
        <f t="shared" si="10"/>
        <v>0</v>
      </c>
      <c r="K178">
        <f t="shared" si="11"/>
        <v>0</v>
      </c>
      <c r="L178">
        <v>15</v>
      </c>
    </row>
    <row r="179" spans="1:12" ht="15" customHeight="1" x14ac:dyDescent="0.2">
      <c r="A179" t="s">
        <v>88</v>
      </c>
      <c r="B179" s="22">
        <v>0</v>
      </c>
      <c r="C179" s="22">
        <v>0</v>
      </c>
      <c r="D179" s="22">
        <v>0</v>
      </c>
      <c r="E179" s="22">
        <v>0</v>
      </c>
      <c r="F179" s="22">
        <v>0</v>
      </c>
      <c r="G179" s="22">
        <v>0</v>
      </c>
      <c r="H179">
        <f t="shared" si="8"/>
        <v>0</v>
      </c>
      <c r="I179">
        <f t="shared" si="9"/>
        <v>0</v>
      </c>
      <c r="J179">
        <f t="shared" si="10"/>
        <v>0</v>
      </c>
      <c r="K179">
        <f t="shared" si="11"/>
        <v>0</v>
      </c>
      <c r="L179">
        <v>15</v>
      </c>
    </row>
    <row r="180" spans="1:12" ht="15" customHeight="1" x14ac:dyDescent="0.2">
      <c r="A180" t="s">
        <v>89</v>
      </c>
      <c r="B180" s="22">
        <v>0</v>
      </c>
      <c r="C180" s="22">
        <v>0</v>
      </c>
      <c r="D180" s="22">
        <v>0</v>
      </c>
      <c r="E180" s="22">
        <v>0</v>
      </c>
      <c r="F180" s="22">
        <v>0</v>
      </c>
      <c r="G180" s="22">
        <v>0</v>
      </c>
      <c r="H180">
        <f t="shared" si="8"/>
        <v>0</v>
      </c>
      <c r="I180">
        <f t="shared" si="9"/>
        <v>0</v>
      </c>
      <c r="J180">
        <f t="shared" si="10"/>
        <v>0</v>
      </c>
      <c r="K180">
        <f t="shared" si="11"/>
        <v>0</v>
      </c>
      <c r="L180">
        <v>15</v>
      </c>
    </row>
    <row r="181" spans="1:12" ht="15" customHeight="1" x14ac:dyDescent="0.2">
      <c r="A181" t="s">
        <v>90</v>
      </c>
      <c r="B181" s="22">
        <v>1</v>
      </c>
      <c r="C181" s="22">
        <v>0</v>
      </c>
      <c r="D181" s="22">
        <v>0</v>
      </c>
      <c r="E181" s="22">
        <v>0</v>
      </c>
      <c r="F181" s="22">
        <v>0</v>
      </c>
      <c r="G181" s="22">
        <v>0</v>
      </c>
      <c r="H181">
        <f t="shared" si="8"/>
        <v>0</v>
      </c>
      <c r="I181">
        <f t="shared" si="9"/>
        <v>0</v>
      </c>
      <c r="J181">
        <f t="shared" si="10"/>
        <v>1</v>
      </c>
      <c r="K181">
        <f t="shared" si="11"/>
        <v>0</v>
      </c>
      <c r="L181">
        <v>15</v>
      </c>
    </row>
    <row r="182" spans="1:12" ht="15" customHeight="1" x14ac:dyDescent="0.2">
      <c r="A182" t="s">
        <v>91</v>
      </c>
      <c r="B182" s="22">
        <v>0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>
        <f t="shared" si="8"/>
        <v>0</v>
      </c>
      <c r="I182">
        <f t="shared" si="9"/>
        <v>0</v>
      </c>
      <c r="J182">
        <f t="shared" si="10"/>
        <v>0</v>
      </c>
      <c r="K182">
        <f t="shared" si="11"/>
        <v>0</v>
      </c>
      <c r="L182">
        <v>15</v>
      </c>
    </row>
    <row r="183" spans="1:12" ht="15" customHeight="1" x14ac:dyDescent="0.2">
      <c r="A183" t="s">
        <v>92</v>
      </c>
      <c r="B183" s="22">
        <v>1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>
        <f t="shared" si="8"/>
        <v>0</v>
      </c>
      <c r="I183">
        <f t="shared" si="9"/>
        <v>0</v>
      </c>
      <c r="J183">
        <f t="shared" si="10"/>
        <v>1</v>
      </c>
      <c r="K183">
        <f t="shared" si="11"/>
        <v>0</v>
      </c>
      <c r="L183">
        <v>15</v>
      </c>
    </row>
    <row r="184" spans="1:12" ht="15" customHeight="1" x14ac:dyDescent="0.2">
      <c r="A184" t="s">
        <v>93</v>
      </c>
      <c r="B184" s="22">
        <v>0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>
        <f t="shared" si="8"/>
        <v>0</v>
      </c>
      <c r="I184">
        <f t="shared" si="9"/>
        <v>0</v>
      </c>
      <c r="J184">
        <f t="shared" si="10"/>
        <v>0</v>
      </c>
      <c r="K184">
        <f t="shared" si="11"/>
        <v>0</v>
      </c>
      <c r="L184">
        <v>15</v>
      </c>
    </row>
    <row r="185" spans="1:12" ht="15" customHeight="1" x14ac:dyDescent="0.2">
      <c r="A185" t="s">
        <v>94</v>
      </c>
      <c r="B185" s="22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>
        <f t="shared" si="8"/>
        <v>0</v>
      </c>
      <c r="I185">
        <f t="shared" si="9"/>
        <v>0</v>
      </c>
      <c r="J185">
        <f t="shared" si="10"/>
        <v>0</v>
      </c>
      <c r="K185">
        <f t="shared" si="11"/>
        <v>0</v>
      </c>
      <c r="L185">
        <v>15</v>
      </c>
    </row>
    <row r="186" spans="1:12" ht="15" customHeight="1" x14ac:dyDescent="0.2">
      <c r="A186" t="s">
        <v>95</v>
      </c>
      <c r="B186" s="22">
        <v>0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>
        <f t="shared" si="8"/>
        <v>0</v>
      </c>
      <c r="I186">
        <f t="shared" si="9"/>
        <v>0</v>
      </c>
      <c r="J186">
        <f t="shared" si="10"/>
        <v>0</v>
      </c>
      <c r="K186">
        <f t="shared" si="11"/>
        <v>0</v>
      </c>
      <c r="L186">
        <v>15</v>
      </c>
    </row>
    <row r="187" spans="1:12" ht="15" customHeight="1" x14ac:dyDescent="0.2">
      <c r="A187" t="s">
        <v>96</v>
      </c>
      <c r="B187" s="22">
        <v>0</v>
      </c>
      <c r="C187" s="22">
        <v>1</v>
      </c>
      <c r="D187" s="22">
        <v>0</v>
      </c>
      <c r="E187" s="22">
        <v>0</v>
      </c>
      <c r="F187" s="22">
        <v>0</v>
      </c>
      <c r="G187" s="22">
        <v>0</v>
      </c>
      <c r="H187">
        <f t="shared" si="8"/>
        <v>1</v>
      </c>
      <c r="I187">
        <f t="shared" si="9"/>
        <v>0</v>
      </c>
      <c r="J187">
        <f t="shared" si="10"/>
        <v>0</v>
      </c>
      <c r="K187">
        <f t="shared" si="11"/>
        <v>0</v>
      </c>
      <c r="L187">
        <v>15</v>
      </c>
    </row>
    <row r="188" spans="1:12" ht="15" customHeight="1" x14ac:dyDescent="0.2">
      <c r="A188" t="s">
        <v>97</v>
      </c>
      <c r="B188" s="22">
        <v>0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>
        <f t="shared" si="8"/>
        <v>0</v>
      </c>
      <c r="I188">
        <f t="shared" si="9"/>
        <v>0</v>
      </c>
      <c r="J188">
        <f t="shared" si="10"/>
        <v>0</v>
      </c>
      <c r="K188">
        <f t="shared" si="11"/>
        <v>0</v>
      </c>
      <c r="L188">
        <v>15</v>
      </c>
    </row>
    <row r="189" spans="1:12" ht="15" customHeight="1" x14ac:dyDescent="0.2">
      <c r="A189" t="s">
        <v>98</v>
      </c>
      <c r="B189" s="22">
        <v>0</v>
      </c>
      <c r="C189" s="22">
        <v>0</v>
      </c>
      <c r="D189" s="22">
        <v>0</v>
      </c>
      <c r="E189" s="22">
        <v>0</v>
      </c>
      <c r="F189" s="22">
        <v>0</v>
      </c>
      <c r="G189" s="22">
        <v>0</v>
      </c>
      <c r="H189">
        <f t="shared" si="8"/>
        <v>0</v>
      </c>
      <c r="I189">
        <f t="shared" si="9"/>
        <v>0</v>
      </c>
      <c r="J189">
        <f t="shared" si="10"/>
        <v>0</v>
      </c>
      <c r="K189">
        <f t="shared" si="11"/>
        <v>0</v>
      </c>
      <c r="L189">
        <v>15</v>
      </c>
    </row>
    <row r="190" spans="1:12" ht="15" customHeight="1" x14ac:dyDescent="0.2">
      <c r="A190" t="s">
        <v>99</v>
      </c>
      <c r="B190" s="22">
        <v>0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>
        <f t="shared" si="8"/>
        <v>0</v>
      </c>
      <c r="I190">
        <f t="shared" si="9"/>
        <v>0</v>
      </c>
      <c r="J190">
        <f t="shared" si="10"/>
        <v>0</v>
      </c>
      <c r="K190">
        <f t="shared" si="11"/>
        <v>0</v>
      </c>
      <c r="L190">
        <v>15</v>
      </c>
    </row>
    <row r="191" spans="1:12" ht="15" customHeight="1" x14ac:dyDescent="0.2">
      <c r="A191" t="s">
        <v>100</v>
      </c>
      <c r="B191" s="22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>
        <f t="shared" si="8"/>
        <v>0</v>
      </c>
      <c r="I191">
        <f t="shared" si="9"/>
        <v>0</v>
      </c>
      <c r="J191">
        <f t="shared" si="10"/>
        <v>0</v>
      </c>
      <c r="K191">
        <f t="shared" si="11"/>
        <v>0</v>
      </c>
      <c r="L191">
        <v>15</v>
      </c>
    </row>
    <row r="192" spans="1:12" ht="15" customHeight="1" x14ac:dyDescent="0.2">
      <c r="A192" t="s">
        <v>101</v>
      </c>
      <c r="B192" s="22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>
        <f t="shared" si="8"/>
        <v>0</v>
      </c>
      <c r="I192">
        <f t="shared" si="9"/>
        <v>0</v>
      </c>
      <c r="J192">
        <f t="shared" si="10"/>
        <v>0</v>
      </c>
      <c r="K192">
        <f t="shared" si="11"/>
        <v>0</v>
      </c>
      <c r="L192">
        <v>15</v>
      </c>
    </row>
    <row r="193" spans="1:12" ht="15" customHeight="1" x14ac:dyDescent="0.2">
      <c r="A193" t="s">
        <v>102</v>
      </c>
      <c r="B193" s="22">
        <v>0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>
        <f t="shared" si="8"/>
        <v>0</v>
      </c>
      <c r="I193">
        <f t="shared" si="9"/>
        <v>0</v>
      </c>
      <c r="J193">
        <f t="shared" si="10"/>
        <v>0</v>
      </c>
      <c r="K193">
        <f t="shared" si="11"/>
        <v>0</v>
      </c>
      <c r="L193">
        <v>15</v>
      </c>
    </row>
    <row r="194" spans="1:12" ht="15" customHeight="1" x14ac:dyDescent="0.2">
      <c r="A194" t="s">
        <v>103</v>
      </c>
      <c r="B194" s="22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>
        <f t="shared" si="8"/>
        <v>0</v>
      </c>
      <c r="I194">
        <f t="shared" si="9"/>
        <v>0</v>
      </c>
      <c r="J194">
        <f t="shared" si="10"/>
        <v>0</v>
      </c>
      <c r="K194">
        <f t="shared" si="11"/>
        <v>0</v>
      </c>
      <c r="L194">
        <v>15</v>
      </c>
    </row>
    <row r="195" spans="1:12" ht="15" customHeight="1" x14ac:dyDescent="0.2">
      <c r="A195" t="s">
        <v>104</v>
      </c>
      <c r="B195" s="22">
        <v>0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>
        <f t="shared" si="8"/>
        <v>0</v>
      </c>
      <c r="I195">
        <f t="shared" si="9"/>
        <v>0</v>
      </c>
      <c r="J195">
        <f t="shared" si="10"/>
        <v>0</v>
      </c>
      <c r="K195">
        <f t="shared" si="11"/>
        <v>0</v>
      </c>
      <c r="L195">
        <v>15</v>
      </c>
    </row>
    <row r="196" spans="1:12" ht="15" customHeight="1" x14ac:dyDescent="0.2">
      <c r="A196" t="s">
        <v>105</v>
      </c>
      <c r="B196" s="22">
        <v>0</v>
      </c>
      <c r="C196" s="22">
        <v>0</v>
      </c>
      <c r="D196" s="22">
        <v>0</v>
      </c>
      <c r="E196" s="22">
        <v>0</v>
      </c>
      <c r="F196" s="22">
        <v>0</v>
      </c>
      <c r="G196" s="22">
        <v>1</v>
      </c>
      <c r="H196">
        <f t="shared" si="8"/>
        <v>0</v>
      </c>
      <c r="I196">
        <f t="shared" si="9"/>
        <v>0</v>
      </c>
      <c r="J196">
        <f t="shared" si="10"/>
        <v>1</v>
      </c>
      <c r="K196">
        <f t="shared" si="11"/>
        <v>0</v>
      </c>
      <c r="L196">
        <v>15</v>
      </c>
    </row>
    <row r="197" spans="1:12" ht="15" customHeight="1" x14ac:dyDescent="0.2">
      <c r="A197" t="s">
        <v>106</v>
      </c>
      <c r="B197" s="22">
        <v>0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>
        <f t="shared" si="8"/>
        <v>0</v>
      </c>
      <c r="I197">
        <f t="shared" si="9"/>
        <v>0</v>
      </c>
      <c r="J197">
        <f t="shared" si="10"/>
        <v>0</v>
      </c>
      <c r="K197">
        <f t="shared" si="11"/>
        <v>0</v>
      </c>
      <c r="L197">
        <v>15</v>
      </c>
    </row>
    <row r="198" spans="1:12" ht="15" customHeight="1" x14ac:dyDescent="0.2">
      <c r="A198" t="s">
        <v>107</v>
      </c>
      <c r="B198" s="22">
        <v>0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>
        <f t="shared" si="8"/>
        <v>0</v>
      </c>
      <c r="I198">
        <f t="shared" si="9"/>
        <v>0</v>
      </c>
      <c r="J198">
        <f t="shared" si="10"/>
        <v>0</v>
      </c>
      <c r="K198">
        <f t="shared" si="11"/>
        <v>0</v>
      </c>
      <c r="L198">
        <v>15</v>
      </c>
    </row>
    <row r="199" spans="1:12" ht="15" customHeight="1" x14ac:dyDescent="0.2">
      <c r="A199" t="s">
        <v>108</v>
      </c>
      <c r="B199" s="22">
        <v>0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>
        <f t="shared" si="8"/>
        <v>0</v>
      </c>
      <c r="I199">
        <f t="shared" si="9"/>
        <v>0</v>
      </c>
      <c r="J199">
        <f t="shared" si="10"/>
        <v>0</v>
      </c>
      <c r="K199">
        <f t="shared" si="11"/>
        <v>0</v>
      </c>
      <c r="L199">
        <v>15</v>
      </c>
    </row>
    <row r="200" spans="1:12" ht="15" customHeight="1" x14ac:dyDescent="0.2">
      <c r="A200" t="s">
        <v>109</v>
      </c>
      <c r="B200" s="22">
        <v>0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>
        <f t="shared" si="8"/>
        <v>0</v>
      </c>
      <c r="I200">
        <f t="shared" si="9"/>
        <v>0</v>
      </c>
      <c r="J200">
        <f t="shared" si="10"/>
        <v>0</v>
      </c>
      <c r="K200">
        <f t="shared" si="11"/>
        <v>0</v>
      </c>
      <c r="L200">
        <v>15</v>
      </c>
    </row>
    <row r="201" spans="1:12" ht="15" customHeight="1" x14ac:dyDescent="0.2">
      <c r="A201" t="s">
        <v>110</v>
      </c>
      <c r="B201" s="22">
        <v>0</v>
      </c>
      <c r="C201" s="22">
        <v>0</v>
      </c>
      <c r="D201" s="22">
        <v>0</v>
      </c>
      <c r="E201" s="22">
        <v>0</v>
      </c>
      <c r="F201" s="22">
        <v>1</v>
      </c>
      <c r="G201" s="22">
        <v>0</v>
      </c>
      <c r="H201">
        <f t="shared" si="8"/>
        <v>0</v>
      </c>
      <c r="I201">
        <f t="shared" si="9"/>
        <v>1</v>
      </c>
      <c r="J201">
        <f t="shared" si="10"/>
        <v>0</v>
      </c>
      <c r="K201">
        <f t="shared" si="11"/>
        <v>0</v>
      </c>
      <c r="L201">
        <v>15</v>
      </c>
    </row>
    <row r="202" spans="1:12" ht="15" customHeight="1" x14ac:dyDescent="0.2">
      <c r="B202">
        <f t="shared" ref="B202:K202" si="12">SUM(B10:B201)</f>
        <v>17</v>
      </c>
      <c r="C202">
        <f t="shared" si="12"/>
        <v>10</v>
      </c>
      <c r="D202">
        <f t="shared" si="12"/>
        <v>0</v>
      </c>
      <c r="E202">
        <f t="shared" si="12"/>
        <v>1</v>
      </c>
      <c r="F202">
        <f t="shared" si="12"/>
        <v>9</v>
      </c>
      <c r="G202">
        <f t="shared" si="12"/>
        <v>8</v>
      </c>
      <c r="H202">
        <f t="shared" si="12"/>
        <v>10</v>
      </c>
      <c r="I202">
        <f t="shared" si="12"/>
        <v>9</v>
      </c>
      <c r="J202">
        <f t="shared" si="12"/>
        <v>25</v>
      </c>
      <c r="K202">
        <f t="shared" si="12"/>
        <v>1</v>
      </c>
      <c r="L202" s="80">
        <f t="shared" ref="L202" si="13">SUM(L10:L201)</f>
        <v>2880</v>
      </c>
    </row>
    <row r="204" spans="1:12" ht="15" customHeight="1" x14ac:dyDescent="0.2">
      <c r="I204" s="88" t="s">
        <v>212</v>
      </c>
      <c r="J204" s="6">
        <f>SUM(J37:J90,J133:J186)</f>
        <v>19</v>
      </c>
      <c r="L204" s="28">
        <f>SUM(L37:L90,L133:L186)/60</f>
        <v>27</v>
      </c>
    </row>
    <row r="205" spans="1:12" ht="15" customHeight="1" x14ac:dyDescent="0.2">
      <c r="I205" s="88" t="s">
        <v>213</v>
      </c>
      <c r="J205" s="6">
        <f>J202-J204</f>
        <v>6</v>
      </c>
      <c r="L205" s="28">
        <f>48-L204</f>
        <v>21</v>
      </c>
    </row>
  </sheetData>
  <mergeCells count="8">
    <mergeCell ref="A4:B4"/>
    <mergeCell ref="C4:G4"/>
    <mergeCell ref="A1:B1"/>
    <mergeCell ref="C1:G1"/>
    <mergeCell ref="A2:B2"/>
    <mergeCell ref="C2:G2"/>
    <mergeCell ref="A3:B3"/>
    <mergeCell ref="C3:G3"/>
  </mergeCells>
  <pageMargins left="0.75" right="0.75" top="1" bottom="1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pane xSplit="1" ySplit="9" topLeftCell="B188" activePane="bottomRight" state="frozen"/>
      <selection pane="topRight" activeCell="B1" sqref="B1"/>
      <selection pane="bottomLeft" activeCell="A10" sqref="A10"/>
      <selection pane="bottomRight" activeCell="K204" sqref="K204:L205"/>
    </sheetView>
  </sheetViews>
  <sheetFormatPr defaultColWidth="12.140625" defaultRowHeight="15" customHeight="1" x14ac:dyDescent="0.2"/>
  <cols>
    <col min="1" max="1" width="12.140625" bestFit="1" customWidth="1"/>
    <col min="2" max="5" width="10.85546875" customWidth="1"/>
    <col min="6" max="9" width="10.42578125" customWidth="1"/>
    <col min="10" max="10" width="11.28515625" customWidth="1"/>
  </cols>
  <sheetData>
    <row r="1" spans="1:13" ht="15" customHeight="1" x14ac:dyDescent="0.3">
      <c r="A1" s="111" t="s">
        <v>0</v>
      </c>
      <c r="B1" s="111"/>
      <c r="C1" s="112" t="s">
        <v>172</v>
      </c>
      <c r="D1" s="112"/>
      <c r="E1" s="112"/>
      <c r="F1" s="112"/>
      <c r="G1" s="112"/>
      <c r="H1" s="112"/>
      <c r="I1" s="112"/>
    </row>
    <row r="2" spans="1:13" ht="15" customHeight="1" x14ac:dyDescent="0.3">
      <c r="A2" s="111" t="s">
        <v>2</v>
      </c>
      <c r="B2" s="111"/>
      <c r="C2" s="112" t="s">
        <v>173</v>
      </c>
      <c r="D2" s="112"/>
      <c r="E2" s="112"/>
      <c r="F2" s="112"/>
      <c r="G2" s="112"/>
      <c r="H2" s="112"/>
      <c r="I2" s="112"/>
    </row>
    <row r="3" spans="1:13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0.75" customHeight="1" x14ac:dyDescent="0.3">
      <c r="A7" s="2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13" s="1" customFormat="1" ht="15" customHeight="1" x14ac:dyDescent="0.3">
      <c r="A8" s="2" t="s">
        <v>13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15</v>
      </c>
      <c r="G8" s="3" t="s">
        <v>15</v>
      </c>
      <c r="H8" s="3" t="s">
        <v>15</v>
      </c>
      <c r="I8" s="3" t="s">
        <v>15</v>
      </c>
    </row>
    <row r="9" spans="1:13" s="1" customFormat="1" ht="29.25" customHeight="1" x14ac:dyDescent="0.2">
      <c r="B9" s="17" t="s">
        <v>111</v>
      </c>
      <c r="C9" s="16" t="s">
        <v>112</v>
      </c>
      <c r="D9" s="17" t="s">
        <v>113</v>
      </c>
      <c r="E9" s="16" t="s">
        <v>114</v>
      </c>
      <c r="F9" s="17" t="s">
        <v>113</v>
      </c>
      <c r="G9" s="16" t="s">
        <v>114</v>
      </c>
      <c r="H9" s="17" t="s">
        <v>111</v>
      </c>
      <c r="I9" s="16" t="s">
        <v>112</v>
      </c>
      <c r="J9" s="17" t="s">
        <v>113</v>
      </c>
      <c r="K9" s="17" t="s">
        <v>111</v>
      </c>
      <c r="L9" s="92" t="s">
        <v>114</v>
      </c>
      <c r="M9" s="16" t="s">
        <v>112</v>
      </c>
    </row>
    <row r="10" spans="1:13" ht="15" customHeight="1" x14ac:dyDescent="0.2">
      <c r="A10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>
        <f>(D10+F10)</f>
        <v>0</v>
      </c>
      <c r="K10">
        <f>(B10+H10)</f>
        <v>0</v>
      </c>
      <c r="L10">
        <f>(E10+G10)</f>
        <v>0</v>
      </c>
      <c r="M10">
        <f>(C10+I10)</f>
        <v>0</v>
      </c>
    </row>
    <row r="11" spans="1:13" ht="15" customHeight="1" x14ac:dyDescent="0.2">
      <c r="A11" t="s">
        <v>16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>
        <f t="shared" ref="J11:J74" si="0">(D11+F11)</f>
        <v>0</v>
      </c>
      <c r="K11">
        <f t="shared" ref="K11:K74" si="1">(B11+H11)</f>
        <v>0</v>
      </c>
      <c r="L11">
        <f t="shared" ref="L11:L74" si="2">(E11+G11)</f>
        <v>0</v>
      </c>
      <c r="M11">
        <f t="shared" ref="M11:M74" si="3">(C11+I11)</f>
        <v>0</v>
      </c>
    </row>
    <row r="12" spans="1:13" ht="15" customHeight="1" x14ac:dyDescent="0.2">
      <c r="A12" t="s">
        <v>17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">
      <c r="A13" t="s">
        <v>18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">
      <c r="A14" t="s">
        <v>19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">
      <c r="A15" t="s">
        <v>20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">
      <c r="A16" t="s">
        <v>21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">
      <c r="A17" t="s">
        <v>22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">
      <c r="A18" t="s">
        <v>23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">
      <c r="A19" t="s">
        <v>24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 ht="15" customHeight="1" x14ac:dyDescent="0.2">
      <c r="A20" t="s">
        <v>25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 ht="15" customHeight="1" x14ac:dyDescent="0.2">
      <c r="A21" t="s">
        <v>26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">
      <c r="A22" t="s">
        <v>27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">
      <c r="A23" t="s">
        <v>28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">
      <c r="A24" t="s">
        <v>29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">
      <c r="A25" t="s">
        <v>30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ht="15" customHeight="1" x14ac:dyDescent="0.2">
      <c r="A26" t="s">
        <v>31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">
      <c r="A27" t="s">
        <v>32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">
      <c r="A28" t="s">
        <v>33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ht="15" customHeight="1" x14ac:dyDescent="0.2">
      <c r="A29" t="s">
        <v>34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">
      <c r="A30" t="s">
        <v>35</v>
      </c>
      <c r="B30" s="22">
        <v>0</v>
      </c>
      <c r="C30" s="22">
        <v>0</v>
      </c>
      <c r="D30" s="22">
        <v>0</v>
      </c>
      <c r="E30" s="22">
        <v>1</v>
      </c>
      <c r="F30" s="22">
        <v>0</v>
      </c>
      <c r="G30" s="22">
        <v>0</v>
      </c>
      <c r="H30" s="22">
        <v>0</v>
      </c>
      <c r="I30" s="22">
        <v>0</v>
      </c>
      <c r="J30">
        <f t="shared" si="0"/>
        <v>0</v>
      </c>
      <c r="K30">
        <f t="shared" si="1"/>
        <v>0</v>
      </c>
      <c r="L30">
        <f t="shared" si="2"/>
        <v>1</v>
      </c>
      <c r="M30">
        <f t="shared" si="3"/>
        <v>0</v>
      </c>
    </row>
    <row r="31" spans="1:13" ht="15" customHeight="1" x14ac:dyDescent="0.2">
      <c r="A31" t="s">
        <v>36</v>
      </c>
      <c r="B31" s="22">
        <v>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</row>
    <row r="32" spans="1:13" ht="15" customHeight="1" x14ac:dyDescent="0.2">
      <c r="A32" t="s">
        <v>37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</row>
    <row r="33" spans="1:13" ht="15" customHeight="1" x14ac:dyDescent="0.2">
      <c r="A33" t="s">
        <v>38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ht="15" customHeight="1" x14ac:dyDescent="0.2">
      <c r="A34" t="s">
        <v>39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 ht="15" customHeight="1" x14ac:dyDescent="0.2">
      <c r="A35" t="s">
        <v>40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ht="15" customHeight="1" x14ac:dyDescent="0.2">
      <c r="A36" t="s">
        <v>41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</row>
    <row r="37" spans="1:13" ht="15" customHeight="1" x14ac:dyDescent="0.2">
      <c r="A37" t="s">
        <v>42</v>
      </c>
      <c r="B37" s="22">
        <v>0</v>
      </c>
      <c r="C37" s="22">
        <v>0</v>
      </c>
      <c r="D37" s="22">
        <v>0</v>
      </c>
      <c r="E37" s="22">
        <v>0</v>
      </c>
      <c r="F37" s="22">
        <v>1</v>
      </c>
      <c r="G37" s="22">
        <v>0</v>
      </c>
      <c r="H37" s="22">
        <v>0</v>
      </c>
      <c r="I37" s="22">
        <v>0</v>
      </c>
      <c r="J37">
        <f t="shared" si="0"/>
        <v>1</v>
      </c>
      <c r="K37">
        <f t="shared" si="1"/>
        <v>0</v>
      </c>
      <c r="L37">
        <f t="shared" si="2"/>
        <v>0</v>
      </c>
      <c r="M37">
        <f t="shared" si="3"/>
        <v>0</v>
      </c>
    </row>
    <row r="38" spans="1:13" ht="15" customHeight="1" x14ac:dyDescent="0.2">
      <c r="A38" t="s">
        <v>43</v>
      </c>
      <c r="B38" s="22">
        <v>0</v>
      </c>
      <c r="C38" s="22">
        <v>0</v>
      </c>
      <c r="D38" s="22">
        <v>1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>
        <f t="shared" si="0"/>
        <v>1</v>
      </c>
      <c r="K38">
        <f t="shared" si="1"/>
        <v>0</v>
      </c>
      <c r="L38">
        <f t="shared" si="2"/>
        <v>0</v>
      </c>
      <c r="M38">
        <f t="shared" si="3"/>
        <v>0</v>
      </c>
    </row>
    <row r="39" spans="1:13" ht="15" customHeight="1" x14ac:dyDescent="0.2">
      <c r="A39" t="s">
        <v>44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0</v>
      </c>
    </row>
    <row r="40" spans="1:13" ht="15" customHeight="1" x14ac:dyDescent="0.2">
      <c r="A40" t="s">
        <v>45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>
        <f t="shared" si="0"/>
        <v>0</v>
      </c>
      <c r="K40">
        <f t="shared" si="1"/>
        <v>0</v>
      </c>
      <c r="L40">
        <f t="shared" si="2"/>
        <v>0</v>
      </c>
      <c r="M40">
        <f t="shared" si="3"/>
        <v>0</v>
      </c>
    </row>
    <row r="41" spans="1:13" ht="15" customHeight="1" x14ac:dyDescent="0.2">
      <c r="A41" t="s">
        <v>46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>
        <f t="shared" si="0"/>
        <v>0</v>
      </c>
      <c r="K41">
        <f t="shared" si="1"/>
        <v>0</v>
      </c>
      <c r="L41">
        <f t="shared" si="2"/>
        <v>0</v>
      </c>
      <c r="M41">
        <f t="shared" si="3"/>
        <v>0</v>
      </c>
    </row>
    <row r="42" spans="1:13" ht="15" customHeight="1" x14ac:dyDescent="0.2">
      <c r="A42" t="s">
        <v>47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</row>
    <row r="43" spans="1:13" ht="15" customHeight="1" x14ac:dyDescent="0.2">
      <c r="A43" t="s">
        <v>48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>
        <f t="shared" si="0"/>
        <v>0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1:13" ht="15" customHeight="1" x14ac:dyDescent="0.2">
      <c r="A44" t="s">
        <v>49</v>
      </c>
      <c r="B44" s="22">
        <v>0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>
        <f t="shared" si="0"/>
        <v>0</v>
      </c>
      <c r="K44">
        <f t="shared" si="1"/>
        <v>0</v>
      </c>
      <c r="L44">
        <f t="shared" si="2"/>
        <v>0</v>
      </c>
      <c r="M44">
        <f t="shared" si="3"/>
        <v>0</v>
      </c>
    </row>
    <row r="45" spans="1:13" ht="15" customHeight="1" x14ac:dyDescent="0.2">
      <c r="A45" t="s">
        <v>50</v>
      </c>
      <c r="B45" s="22">
        <v>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0</v>
      </c>
    </row>
    <row r="46" spans="1:13" ht="15" customHeight="1" x14ac:dyDescent="0.2">
      <c r="A46" t="s">
        <v>51</v>
      </c>
      <c r="B46" s="22">
        <v>0</v>
      </c>
      <c r="C46" s="22">
        <v>0</v>
      </c>
      <c r="D46" s="22">
        <v>0</v>
      </c>
      <c r="E46" s="22">
        <v>1</v>
      </c>
      <c r="F46" s="22">
        <v>0</v>
      </c>
      <c r="G46" s="22">
        <v>0</v>
      </c>
      <c r="H46" s="22">
        <v>0</v>
      </c>
      <c r="I46" s="22">
        <v>0</v>
      </c>
      <c r="J46">
        <f t="shared" si="0"/>
        <v>0</v>
      </c>
      <c r="K46">
        <f t="shared" si="1"/>
        <v>0</v>
      </c>
      <c r="L46">
        <f t="shared" si="2"/>
        <v>1</v>
      </c>
      <c r="M46">
        <f t="shared" si="3"/>
        <v>0</v>
      </c>
    </row>
    <row r="47" spans="1:13" ht="15" customHeight="1" x14ac:dyDescent="0.2">
      <c r="A47" t="s">
        <v>52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">
      <c r="A48" t="s">
        <v>53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ht="15" customHeight="1" x14ac:dyDescent="0.2">
      <c r="A49" t="s">
        <v>54</v>
      </c>
      <c r="B49" s="22">
        <v>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>
        <f t="shared" si="0"/>
        <v>0</v>
      </c>
      <c r="K49">
        <f t="shared" si="1"/>
        <v>0</v>
      </c>
      <c r="L49">
        <f t="shared" si="2"/>
        <v>0</v>
      </c>
      <c r="M49">
        <f t="shared" si="3"/>
        <v>0</v>
      </c>
    </row>
    <row r="50" spans="1:13" ht="15" customHeight="1" x14ac:dyDescent="0.2">
      <c r="A50" t="s">
        <v>55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>
        <f t="shared" si="0"/>
        <v>0</v>
      </c>
      <c r="K50">
        <f t="shared" si="1"/>
        <v>0</v>
      </c>
      <c r="L50">
        <f t="shared" si="2"/>
        <v>0</v>
      </c>
      <c r="M50">
        <f t="shared" si="3"/>
        <v>0</v>
      </c>
    </row>
    <row r="51" spans="1:13" ht="15" customHeight="1" x14ac:dyDescent="0.2">
      <c r="A51" t="s">
        <v>56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>
        <f t="shared" si="0"/>
        <v>0</v>
      </c>
      <c r="K51">
        <f t="shared" si="1"/>
        <v>0</v>
      </c>
      <c r="L51">
        <f t="shared" si="2"/>
        <v>0</v>
      </c>
      <c r="M51">
        <f t="shared" si="3"/>
        <v>0</v>
      </c>
    </row>
    <row r="52" spans="1:13" ht="15" customHeight="1" x14ac:dyDescent="0.2">
      <c r="A52" t="s">
        <v>57</v>
      </c>
      <c r="B52" s="22">
        <v>0</v>
      </c>
      <c r="C52" s="22">
        <v>0</v>
      </c>
      <c r="D52" s="22">
        <v>1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>
        <f t="shared" si="0"/>
        <v>1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">
      <c r="A53" t="s">
        <v>58</v>
      </c>
      <c r="B53" s="22">
        <v>0</v>
      </c>
      <c r="C53" s="22">
        <v>0</v>
      </c>
      <c r="D53" s="22">
        <v>0</v>
      </c>
      <c r="E53" s="22">
        <v>0</v>
      </c>
      <c r="F53" s="22">
        <v>1</v>
      </c>
      <c r="G53" s="22">
        <v>0</v>
      </c>
      <c r="H53" s="22">
        <v>0</v>
      </c>
      <c r="I53" s="22">
        <v>0</v>
      </c>
      <c r="J53">
        <f t="shared" si="0"/>
        <v>1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 ht="15" customHeight="1" x14ac:dyDescent="0.2">
      <c r="A54" t="s">
        <v>59</v>
      </c>
      <c r="B54" s="22">
        <v>1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>
        <f t="shared" si="0"/>
        <v>0</v>
      </c>
      <c r="K54">
        <f t="shared" si="1"/>
        <v>1</v>
      </c>
      <c r="L54">
        <f t="shared" si="2"/>
        <v>0</v>
      </c>
      <c r="M54">
        <f t="shared" si="3"/>
        <v>0</v>
      </c>
    </row>
    <row r="55" spans="1:13" ht="15" customHeight="1" x14ac:dyDescent="0.2">
      <c r="A55" t="s">
        <v>60</v>
      </c>
      <c r="B55" s="22">
        <v>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ht="15" customHeight="1" x14ac:dyDescent="0.2">
      <c r="A56" t="s">
        <v>61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">
      <c r="A57" t="s">
        <v>62</v>
      </c>
      <c r="B57" s="22">
        <v>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</row>
    <row r="58" spans="1:13" ht="15" customHeight="1" x14ac:dyDescent="0.2">
      <c r="A58" t="s">
        <v>63</v>
      </c>
      <c r="B58" s="22">
        <v>0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 ht="15" customHeight="1" x14ac:dyDescent="0.2">
      <c r="A59" t="s">
        <v>64</v>
      </c>
      <c r="B59" s="22">
        <v>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</row>
    <row r="60" spans="1:13" ht="15" customHeight="1" x14ac:dyDescent="0.2">
      <c r="A60" t="s">
        <v>65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</row>
    <row r="61" spans="1:13" ht="15" customHeight="1" x14ac:dyDescent="0.2">
      <c r="A61" t="s">
        <v>66</v>
      </c>
      <c r="B61" s="22">
        <v>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ht="15" customHeight="1" x14ac:dyDescent="0.2">
      <c r="A62" t="s">
        <v>67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</row>
    <row r="63" spans="1:13" ht="15" customHeight="1" x14ac:dyDescent="0.2">
      <c r="A63" t="s">
        <v>68</v>
      </c>
      <c r="B63" s="22">
        <v>0</v>
      </c>
      <c r="C63" s="22">
        <v>0</v>
      </c>
      <c r="D63" s="22">
        <v>1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>
        <f t="shared" si="0"/>
        <v>1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ht="15" customHeight="1" x14ac:dyDescent="0.2">
      <c r="A64" t="s">
        <v>69</v>
      </c>
      <c r="B64" s="22">
        <v>0</v>
      </c>
      <c r="C64" s="22">
        <v>0</v>
      </c>
      <c r="D64" s="22">
        <v>0</v>
      </c>
      <c r="E64" s="22">
        <v>0</v>
      </c>
      <c r="F64" s="22">
        <v>1</v>
      </c>
      <c r="G64" s="22">
        <v>0</v>
      </c>
      <c r="H64" s="22">
        <v>0</v>
      </c>
      <c r="I64" s="22">
        <v>0</v>
      </c>
      <c r="J64">
        <f t="shared" si="0"/>
        <v>1</v>
      </c>
      <c r="K64">
        <f t="shared" si="1"/>
        <v>0</v>
      </c>
      <c r="L64">
        <f t="shared" si="2"/>
        <v>0</v>
      </c>
      <c r="M64">
        <f t="shared" si="3"/>
        <v>0</v>
      </c>
    </row>
    <row r="65" spans="1:13" ht="15" customHeight="1" x14ac:dyDescent="0.2">
      <c r="A65" t="s">
        <v>70</v>
      </c>
      <c r="B65" s="22">
        <v>0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>
        <f t="shared" si="0"/>
        <v>0</v>
      </c>
      <c r="K65">
        <f t="shared" si="1"/>
        <v>0</v>
      </c>
      <c r="L65">
        <f t="shared" si="2"/>
        <v>0</v>
      </c>
      <c r="M65">
        <f t="shared" si="3"/>
        <v>0</v>
      </c>
    </row>
    <row r="66" spans="1:13" ht="15" customHeight="1" x14ac:dyDescent="0.2">
      <c r="A66" t="s">
        <v>71</v>
      </c>
      <c r="B66" s="22">
        <v>0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>
        <f t="shared" si="0"/>
        <v>0</v>
      </c>
      <c r="K66">
        <f t="shared" si="1"/>
        <v>0</v>
      </c>
      <c r="L66">
        <f t="shared" si="2"/>
        <v>0</v>
      </c>
      <c r="M66">
        <f t="shared" si="3"/>
        <v>0</v>
      </c>
    </row>
    <row r="67" spans="1:13" ht="15" customHeight="1" x14ac:dyDescent="0.2">
      <c r="A67" t="s">
        <v>72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>
        <f t="shared" si="0"/>
        <v>0</v>
      </c>
      <c r="K67">
        <f t="shared" si="1"/>
        <v>0</v>
      </c>
      <c r="L67">
        <f t="shared" si="2"/>
        <v>0</v>
      </c>
      <c r="M67">
        <f t="shared" si="3"/>
        <v>0</v>
      </c>
    </row>
    <row r="68" spans="1:13" ht="15" customHeight="1" x14ac:dyDescent="0.2">
      <c r="A68" t="s">
        <v>73</v>
      </c>
      <c r="B68" s="22">
        <v>1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>
        <f t="shared" si="0"/>
        <v>0</v>
      </c>
      <c r="K68">
        <f t="shared" si="1"/>
        <v>1</v>
      </c>
      <c r="L68">
        <f t="shared" si="2"/>
        <v>0</v>
      </c>
      <c r="M68">
        <f t="shared" si="3"/>
        <v>0</v>
      </c>
    </row>
    <row r="69" spans="1:13" ht="15" customHeight="1" x14ac:dyDescent="0.2">
      <c r="A69" t="s">
        <v>74</v>
      </c>
      <c r="B69" s="22">
        <v>0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>
        <f t="shared" si="0"/>
        <v>0</v>
      </c>
      <c r="K69">
        <f t="shared" si="1"/>
        <v>0</v>
      </c>
      <c r="L69">
        <f t="shared" si="2"/>
        <v>0</v>
      </c>
      <c r="M69">
        <f t="shared" si="3"/>
        <v>0</v>
      </c>
    </row>
    <row r="70" spans="1:13" ht="15" customHeight="1" x14ac:dyDescent="0.2">
      <c r="A70" t="s">
        <v>75</v>
      </c>
      <c r="B70" s="22">
        <v>0</v>
      </c>
      <c r="C70" s="22">
        <v>0</v>
      </c>
      <c r="D70" s="22">
        <v>1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>
        <f t="shared" si="0"/>
        <v>1</v>
      </c>
      <c r="K70">
        <f t="shared" si="1"/>
        <v>0</v>
      </c>
      <c r="L70">
        <f t="shared" si="2"/>
        <v>0</v>
      </c>
      <c r="M70">
        <f t="shared" si="3"/>
        <v>0</v>
      </c>
    </row>
    <row r="71" spans="1:13" ht="15" customHeight="1" x14ac:dyDescent="0.2">
      <c r="A71" t="s">
        <v>76</v>
      </c>
      <c r="B71" s="22">
        <v>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>
        <f t="shared" si="0"/>
        <v>0</v>
      </c>
      <c r="K71">
        <f t="shared" si="1"/>
        <v>0</v>
      </c>
      <c r="L71">
        <f t="shared" si="2"/>
        <v>0</v>
      </c>
      <c r="M71">
        <f t="shared" si="3"/>
        <v>0</v>
      </c>
    </row>
    <row r="72" spans="1:13" ht="15" customHeight="1" x14ac:dyDescent="0.2">
      <c r="A72" t="s">
        <v>77</v>
      </c>
      <c r="B72" s="22">
        <v>0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>
        <f t="shared" si="0"/>
        <v>0</v>
      </c>
      <c r="K72">
        <f t="shared" si="1"/>
        <v>0</v>
      </c>
      <c r="L72">
        <f t="shared" si="2"/>
        <v>0</v>
      </c>
      <c r="M72">
        <f t="shared" si="3"/>
        <v>0</v>
      </c>
    </row>
    <row r="73" spans="1:13" ht="15" customHeight="1" x14ac:dyDescent="0.2">
      <c r="A73" t="s">
        <v>78</v>
      </c>
      <c r="B73" s="22">
        <v>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>
        <f t="shared" si="0"/>
        <v>0</v>
      </c>
      <c r="K73">
        <f t="shared" si="1"/>
        <v>0</v>
      </c>
      <c r="L73">
        <f t="shared" si="2"/>
        <v>0</v>
      </c>
      <c r="M73">
        <f t="shared" si="3"/>
        <v>0</v>
      </c>
    </row>
    <row r="74" spans="1:13" ht="15" customHeight="1" x14ac:dyDescent="0.2">
      <c r="A74" t="s">
        <v>79</v>
      </c>
      <c r="B74" s="22">
        <v>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>
        <f t="shared" si="0"/>
        <v>0</v>
      </c>
      <c r="K74">
        <f t="shared" si="1"/>
        <v>0</v>
      </c>
      <c r="L74">
        <f t="shared" si="2"/>
        <v>0</v>
      </c>
      <c r="M74">
        <f t="shared" si="3"/>
        <v>0</v>
      </c>
    </row>
    <row r="75" spans="1:13" ht="15" customHeight="1" x14ac:dyDescent="0.2">
      <c r="A75" t="s">
        <v>80</v>
      </c>
      <c r="B75" s="22">
        <v>0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>
        <f t="shared" ref="J75:J138" si="4">(D75+F75)</f>
        <v>0</v>
      </c>
      <c r="K75">
        <f t="shared" ref="K75:K138" si="5">(B75+H75)</f>
        <v>0</v>
      </c>
      <c r="L75">
        <f t="shared" ref="L75:L138" si="6">(E75+G75)</f>
        <v>0</v>
      </c>
      <c r="M75">
        <f t="shared" ref="M75:M138" si="7">(C75+I75)</f>
        <v>0</v>
      </c>
    </row>
    <row r="76" spans="1:13" ht="15" customHeight="1" x14ac:dyDescent="0.2">
      <c r="A76" t="s">
        <v>81</v>
      </c>
      <c r="B76" s="22">
        <v>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>
        <f t="shared" si="4"/>
        <v>0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1:13" ht="15" customHeight="1" x14ac:dyDescent="0.2">
      <c r="A77" t="s">
        <v>82</v>
      </c>
      <c r="B77" s="22">
        <v>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>
        <f t="shared" si="4"/>
        <v>0</v>
      </c>
      <c r="K77">
        <f t="shared" si="5"/>
        <v>0</v>
      </c>
      <c r="L77">
        <f t="shared" si="6"/>
        <v>0</v>
      </c>
      <c r="M77">
        <f t="shared" si="7"/>
        <v>0</v>
      </c>
    </row>
    <row r="78" spans="1:13" ht="15" customHeight="1" x14ac:dyDescent="0.2">
      <c r="A78" t="s">
        <v>83</v>
      </c>
      <c r="B78" s="22">
        <v>0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>
        <f t="shared" si="4"/>
        <v>0</v>
      </c>
      <c r="K78">
        <f t="shared" si="5"/>
        <v>0</v>
      </c>
      <c r="L78">
        <f t="shared" si="6"/>
        <v>0</v>
      </c>
      <c r="M78">
        <f t="shared" si="7"/>
        <v>0</v>
      </c>
    </row>
    <row r="79" spans="1:13" ht="15" customHeight="1" x14ac:dyDescent="0.2">
      <c r="A79" t="s">
        <v>84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>
        <f t="shared" si="4"/>
        <v>0</v>
      </c>
      <c r="K79">
        <f t="shared" si="5"/>
        <v>0</v>
      </c>
      <c r="L79">
        <f t="shared" si="6"/>
        <v>0</v>
      </c>
      <c r="M79">
        <f t="shared" si="7"/>
        <v>0</v>
      </c>
    </row>
    <row r="80" spans="1:13" ht="15" customHeight="1" x14ac:dyDescent="0.2">
      <c r="A80" t="s">
        <v>85</v>
      </c>
      <c r="B80" s="22">
        <v>1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>
        <f t="shared" si="4"/>
        <v>0</v>
      </c>
      <c r="K80">
        <f t="shared" si="5"/>
        <v>1</v>
      </c>
      <c r="L80">
        <f t="shared" si="6"/>
        <v>0</v>
      </c>
      <c r="M80">
        <f t="shared" si="7"/>
        <v>0</v>
      </c>
    </row>
    <row r="81" spans="1:13" ht="15" customHeight="1" x14ac:dyDescent="0.2">
      <c r="A81" t="s">
        <v>86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0</v>
      </c>
    </row>
    <row r="82" spans="1:13" ht="15" customHeight="1" x14ac:dyDescent="0.2">
      <c r="A82" t="s">
        <v>87</v>
      </c>
      <c r="B82" s="22">
        <v>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ht="15" customHeight="1" x14ac:dyDescent="0.2">
      <c r="A83" t="s">
        <v>88</v>
      </c>
      <c r="B83" s="22">
        <v>0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0</v>
      </c>
    </row>
    <row r="84" spans="1:13" ht="15" customHeight="1" x14ac:dyDescent="0.2">
      <c r="A84" t="s">
        <v>89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>
        <f t="shared" si="4"/>
        <v>0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1:13" ht="15" customHeight="1" x14ac:dyDescent="0.2">
      <c r="A85" t="s">
        <v>90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">
      <c r="A86" t="s">
        <v>91</v>
      </c>
      <c r="B86" s="22">
        <v>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>
        <f t="shared" si="4"/>
        <v>0</v>
      </c>
      <c r="K86">
        <f t="shared" si="5"/>
        <v>0</v>
      </c>
      <c r="L86">
        <f t="shared" si="6"/>
        <v>0</v>
      </c>
      <c r="M86">
        <f t="shared" si="7"/>
        <v>0</v>
      </c>
    </row>
    <row r="87" spans="1:13" ht="15" customHeight="1" x14ac:dyDescent="0.2">
      <c r="A87" t="s">
        <v>92</v>
      </c>
      <c r="B87" s="22">
        <v>0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>
        <f t="shared" si="4"/>
        <v>0</v>
      </c>
      <c r="K87">
        <f t="shared" si="5"/>
        <v>0</v>
      </c>
      <c r="L87">
        <f t="shared" si="6"/>
        <v>0</v>
      </c>
      <c r="M87">
        <f t="shared" si="7"/>
        <v>0</v>
      </c>
    </row>
    <row r="88" spans="1:13" ht="15" customHeight="1" x14ac:dyDescent="0.2">
      <c r="A88" t="s">
        <v>93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>
        <f t="shared" si="4"/>
        <v>0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ht="15" customHeight="1" x14ac:dyDescent="0.2">
      <c r="A89" t="s">
        <v>94</v>
      </c>
      <c r="B89" s="22">
        <v>0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ht="15" customHeight="1" x14ac:dyDescent="0.2">
      <c r="A90" t="s">
        <v>95</v>
      </c>
      <c r="B90" s="22">
        <v>0</v>
      </c>
      <c r="C90" s="22">
        <v>0</v>
      </c>
      <c r="D90" s="22">
        <v>0</v>
      </c>
      <c r="E90" s="22">
        <v>0</v>
      </c>
      <c r="F90" s="22">
        <v>0</v>
      </c>
      <c r="G90" s="22">
        <v>0</v>
      </c>
      <c r="H90" s="22">
        <v>0</v>
      </c>
      <c r="I90" s="22">
        <v>0</v>
      </c>
      <c r="J90">
        <f t="shared" si="4"/>
        <v>0</v>
      </c>
      <c r="K90">
        <f t="shared" si="5"/>
        <v>0</v>
      </c>
      <c r="L90">
        <f t="shared" si="6"/>
        <v>0</v>
      </c>
      <c r="M90">
        <f t="shared" si="7"/>
        <v>0</v>
      </c>
    </row>
    <row r="91" spans="1:13" ht="15" customHeight="1" x14ac:dyDescent="0.2">
      <c r="A91" t="s">
        <v>96</v>
      </c>
      <c r="B91" s="22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</row>
    <row r="92" spans="1:13" ht="15" customHeight="1" x14ac:dyDescent="0.2">
      <c r="A92" t="s">
        <v>97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>
        <f t="shared" si="4"/>
        <v>0</v>
      </c>
      <c r="K92">
        <f t="shared" si="5"/>
        <v>0</v>
      </c>
      <c r="L92">
        <f t="shared" si="6"/>
        <v>0</v>
      </c>
      <c r="M92">
        <f t="shared" si="7"/>
        <v>0</v>
      </c>
    </row>
    <row r="93" spans="1:13" ht="15" customHeight="1" x14ac:dyDescent="0.2">
      <c r="A93" t="s">
        <v>98</v>
      </c>
      <c r="B93" s="22">
        <v>0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>
        <f t="shared" si="4"/>
        <v>0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">
      <c r="A94" t="s">
        <v>99</v>
      </c>
      <c r="B94" s="22">
        <v>0</v>
      </c>
      <c r="C94" s="22">
        <v>0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0</v>
      </c>
      <c r="J94">
        <f t="shared" si="4"/>
        <v>0</v>
      </c>
      <c r="K94">
        <f t="shared" si="5"/>
        <v>0</v>
      </c>
      <c r="L94">
        <f t="shared" si="6"/>
        <v>0</v>
      </c>
      <c r="M94">
        <f t="shared" si="7"/>
        <v>0</v>
      </c>
    </row>
    <row r="95" spans="1:13" ht="15" customHeight="1" x14ac:dyDescent="0.2">
      <c r="A95" t="s">
        <v>100</v>
      </c>
      <c r="B95" s="22">
        <v>0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0</v>
      </c>
    </row>
    <row r="96" spans="1:13" ht="15" customHeight="1" x14ac:dyDescent="0.2">
      <c r="A96" t="s">
        <v>101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">
      <c r="A97" t="s">
        <v>102</v>
      </c>
      <c r="B97" s="22">
        <v>0</v>
      </c>
      <c r="C97" s="22">
        <v>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>
        <f t="shared" si="4"/>
        <v>0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ht="15" customHeight="1" x14ac:dyDescent="0.2">
      <c r="A98" t="s">
        <v>103</v>
      </c>
      <c r="B98" s="22">
        <v>0</v>
      </c>
      <c r="C98" s="22">
        <v>0</v>
      </c>
      <c r="D98" s="22">
        <v>0</v>
      </c>
      <c r="E98" s="22">
        <v>0</v>
      </c>
      <c r="F98" s="22">
        <v>0</v>
      </c>
      <c r="G98" s="22">
        <v>0</v>
      </c>
      <c r="H98" s="22">
        <v>0</v>
      </c>
      <c r="I98" s="22">
        <v>0</v>
      </c>
      <c r="J98">
        <f t="shared" si="4"/>
        <v>0</v>
      </c>
      <c r="K98">
        <f t="shared" si="5"/>
        <v>0</v>
      </c>
      <c r="L98">
        <f t="shared" si="6"/>
        <v>0</v>
      </c>
      <c r="M98">
        <f t="shared" si="7"/>
        <v>0</v>
      </c>
    </row>
    <row r="99" spans="1:13" ht="15" customHeight="1" x14ac:dyDescent="0.2">
      <c r="A99" t="s">
        <v>104</v>
      </c>
      <c r="B99" s="22">
        <v>0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>
        <f t="shared" si="4"/>
        <v>0</v>
      </c>
      <c r="K99">
        <f t="shared" si="5"/>
        <v>0</v>
      </c>
      <c r="L99">
        <f t="shared" si="6"/>
        <v>0</v>
      </c>
      <c r="M99">
        <f t="shared" si="7"/>
        <v>0</v>
      </c>
    </row>
    <row r="100" spans="1:13" ht="15" customHeight="1" x14ac:dyDescent="0.2">
      <c r="A100" t="s">
        <v>105</v>
      </c>
      <c r="B100" s="22">
        <v>0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">
      <c r="A101" t="s">
        <v>106</v>
      </c>
      <c r="B101" s="22">
        <v>0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>
        <f t="shared" si="4"/>
        <v>0</v>
      </c>
      <c r="K101">
        <f t="shared" si="5"/>
        <v>0</v>
      </c>
      <c r="L101">
        <f t="shared" si="6"/>
        <v>0</v>
      </c>
      <c r="M101">
        <f t="shared" si="7"/>
        <v>0</v>
      </c>
    </row>
    <row r="102" spans="1:13" ht="15" customHeight="1" x14ac:dyDescent="0.2">
      <c r="A102" t="s">
        <v>107</v>
      </c>
      <c r="B102" s="22">
        <v>1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>
        <f t="shared" si="4"/>
        <v>0</v>
      </c>
      <c r="K102">
        <f t="shared" si="5"/>
        <v>1</v>
      </c>
      <c r="L102">
        <f t="shared" si="6"/>
        <v>0</v>
      </c>
      <c r="M102">
        <f t="shared" si="7"/>
        <v>0</v>
      </c>
    </row>
    <row r="103" spans="1:13" ht="15" customHeight="1" x14ac:dyDescent="0.2">
      <c r="A103" t="s">
        <v>108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0</v>
      </c>
    </row>
    <row r="104" spans="1:13" ht="15" customHeight="1" x14ac:dyDescent="0.2">
      <c r="A104" t="s">
        <v>109</v>
      </c>
      <c r="B104" s="22">
        <v>0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">
      <c r="A105" t="s">
        <v>110</v>
      </c>
      <c r="B105" s="22">
        <v>0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">
      <c r="A106" t="s">
        <v>5</v>
      </c>
      <c r="B106" s="22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">
      <c r="A107" t="s">
        <v>16</v>
      </c>
      <c r="B107" s="22">
        <v>0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1:13" ht="15" customHeight="1" x14ac:dyDescent="0.2">
      <c r="A108" t="s">
        <v>17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">
      <c r="A109" t="s">
        <v>18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">
      <c r="A110" t="s">
        <v>19</v>
      </c>
      <c r="B110" s="22">
        <v>0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">
      <c r="A111" t="s">
        <v>20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">
      <c r="A112" t="s">
        <v>21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">
      <c r="A113" t="s">
        <v>22</v>
      </c>
      <c r="B113" s="22">
        <v>0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">
      <c r="A114" t="s">
        <v>23</v>
      </c>
      <c r="B114" s="22">
        <v>0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">
      <c r="A115" t="s">
        <v>24</v>
      </c>
      <c r="B115" s="22">
        <v>0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">
      <c r="A116" t="s">
        <v>25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">
      <c r="A117" t="s">
        <v>26</v>
      </c>
      <c r="B117" s="22">
        <v>0</v>
      </c>
      <c r="C117" s="22">
        <v>0</v>
      </c>
      <c r="D117" s="22">
        <v>0</v>
      </c>
      <c r="E117" s="22">
        <v>0</v>
      </c>
      <c r="F117" s="22">
        <v>1</v>
      </c>
      <c r="G117" s="22">
        <v>0</v>
      </c>
      <c r="H117" s="22">
        <v>0</v>
      </c>
      <c r="I117" s="22">
        <v>0</v>
      </c>
      <c r="J117">
        <f t="shared" si="4"/>
        <v>1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">
      <c r="A118" t="s">
        <v>27</v>
      </c>
      <c r="B118" s="22">
        <v>0</v>
      </c>
      <c r="C118" s="22">
        <v>0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">
      <c r="A119" t="s">
        <v>28</v>
      </c>
      <c r="B119" s="22">
        <v>0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">
      <c r="A120" t="s">
        <v>29</v>
      </c>
      <c r="B120" s="22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">
      <c r="A121" t="s">
        <v>30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">
      <c r="A122" t="s">
        <v>31</v>
      </c>
      <c r="B122" s="22">
        <v>0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">
      <c r="A123" t="s">
        <v>32</v>
      </c>
      <c r="B123" s="22">
        <v>0</v>
      </c>
      <c r="C123" s="22">
        <v>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">
      <c r="A124" t="s">
        <v>33</v>
      </c>
      <c r="B124" s="22">
        <v>0</v>
      </c>
      <c r="C124" s="22">
        <v>0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</row>
    <row r="125" spans="1:13" ht="15" customHeight="1" x14ac:dyDescent="0.2">
      <c r="A125" t="s">
        <v>34</v>
      </c>
      <c r="B125" s="22">
        <v>0</v>
      </c>
      <c r="C125" s="22">
        <v>0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>
        <f t="shared" si="4"/>
        <v>0</v>
      </c>
      <c r="K125">
        <f t="shared" si="5"/>
        <v>0</v>
      </c>
      <c r="L125">
        <f t="shared" si="6"/>
        <v>0</v>
      </c>
      <c r="M125">
        <f t="shared" si="7"/>
        <v>0</v>
      </c>
    </row>
    <row r="126" spans="1:13" ht="15" customHeight="1" x14ac:dyDescent="0.2">
      <c r="A126" t="s">
        <v>35</v>
      </c>
      <c r="B126" s="22">
        <v>0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">
      <c r="A127" t="s">
        <v>36</v>
      </c>
      <c r="B127" s="22">
        <v>0</v>
      </c>
      <c r="C127" s="22">
        <v>0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>
        <f t="shared" si="4"/>
        <v>0</v>
      </c>
      <c r="K127">
        <f t="shared" si="5"/>
        <v>0</v>
      </c>
      <c r="L127">
        <f t="shared" si="6"/>
        <v>0</v>
      </c>
      <c r="M127">
        <f t="shared" si="7"/>
        <v>0</v>
      </c>
    </row>
    <row r="128" spans="1:13" ht="15" customHeight="1" x14ac:dyDescent="0.2">
      <c r="A128" t="s">
        <v>37</v>
      </c>
      <c r="B128" s="22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1:13" ht="15" customHeight="1" x14ac:dyDescent="0.2">
      <c r="A129" t="s">
        <v>38</v>
      </c>
      <c r="B129" s="22">
        <v>0</v>
      </c>
      <c r="C129" s="22">
        <v>0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</row>
    <row r="130" spans="1:13" ht="15" customHeight="1" x14ac:dyDescent="0.2">
      <c r="A130" t="s">
        <v>39</v>
      </c>
      <c r="B130" s="22">
        <v>0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">
      <c r="A131" t="s">
        <v>40</v>
      </c>
      <c r="B131" s="22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">
      <c r="A132" t="s">
        <v>41</v>
      </c>
      <c r="B132" s="22">
        <v>0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</row>
    <row r="133" spans="1:13" ht="15" customHeight="1" x14ac:dyDescent="0.2">
      <c r="A133" t="s">
        <v>42</v>
      </c>
      <c r="B133" s="22">
        <v>0</v>
      </c>
      <c r="C133" s="22">
        <v>0</v>
      </c>
      <c r="D133" s="22">
        <v>1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>
        <f t="shared" si="4"/>
        <v>1</v>
      </c>
      <c r="K133">
        <f t="shared" si="5"/>
        <v>0</v>
      </c>
      <c r="L133">
        <f t="shared" si="6"/>
        <v>0</v>
      </c>
      <c r="M133">
        <f t="shared" si="7"/>
        <v>0</v>
      </c>
    </row>
    <row r="134" spans="1:13" ht="15" customHeight="1" x14ac:dyDescent="0.2">
      <c r="A134" t="s">
        <v>43</v>
      </c>
      <c r="B134" s="22">
        <v>0</v>
      </c>
      <c r="C134" s="22">
        <v>0</v>
      </c>
      <c r="D134" s="22">
        <v>0</v>
      </c>
      <c r="E134" s="22">
        <v>0</v>
      </c>
      <c r="F134" s="22">
        <v>0</v>
      </c>
      <c r="G134" s="22">
        <v>0</v>
      </c>
      <c r="H134" s="22">
        <v>0</v>
      </c>
      <c r="I134" s="22">
        <v>0</v>
      </c>
      <c r="J134">
        <f t="shared" si="4"/>
        <v>0</v>
      </c>
      <c r="K134">
        <f t="shared" si="5"/>
        <v>0</v>
      </c>
      <c r="L134">
        <f t="shared" si="6"/>
        <v>0</v>
      </c>
      <c r="M134">
        <f t="shared" si="7"/>
        <v>0</v>
      </c>
    </row>
    <row r="135" spans="1:13" ht="15" customHeight="1" x14ac:dyDescent="0.2">
      <c r="A135" t="s">
        <v>44</v>
      </c>
      <c r="B135" s="22">
        <v>0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>
        <f t="shared" si="4"/>
        <v>0</v>
      </c>
      <c r="K135">
        <f t="shared" si="5"/>
        <v>0</v>
      </c>
      <c r="L135">
        <f t="shared" si="6"/>
        <v>0</v>
      </c>
      <c r="M135">
        <f t="shared" si="7"/>
        <v>0</v>
      </c>
    </row>
    <row r="136" spans="1:13" ht="15" customHeight="1" x14ac:dyDescent="0.2">
      <c r="A136" t="s">
        <v>45</v>
      </c>
      <c r="B136" s="22">
        <v>0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>
        <f t="shared" si="4"/>
        <v>0</v>
      </c>
      <c r="K136">
        <f t="shared" si="5"/>
        <v>0</v>
      </c>
      <c r="L136">
        <f t="shared" si="6"/>
        <v>0</v>
      </c>
      <c r="M136">
        <f t="shared" si="7"/>
        <v>0</v>
      </c>
    </row>
    <row r="137" spans="1:13" ht="15" customHeight="1" x14ac:dyDescent="0.2">
      <c r="A137" t="s">
        <v>46</v>
      </c>
      <c r="B137" s="22">
        <v>0</v>
      </c>
      <c r="C137" s="22">
        <v>0</v>
      </c>
      <c r="D137" s="22">
        <v>0</v>
      </c>
      <c r="E137" s="22">
        <v>0</v>
      </c>
      <c r="F137" s="22">
        <v>1</v>
      </c>
      <c r="G137" s="22">
        <v>0</v>
      </c>
      <c r="H137" s="22">
        <v>0</v>
      </c>
      <c r="I137" s="22">
        <v>0</v>
      </c>
      <c r="J137">
        <f t="shared" si="4"/>
        <v>1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">
      <c r="A138" t="s">
        <v>47</v>
      </c>
      <c r="B138" s="22">
        <v>0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>
        <f t="shared" si="4"/>
        <v>0</v>
      </c>
      <c r="K138">
        <f t="shared" si="5"/>
        <v>0</v>
      </c>
      <c r="L138">
        <f t="shared" si="6"/>
        <v>0</v>
      </c>
      <c r="M138">
        <f t="shared" si="7"/>
        <v>0</v>
      </c>
    </row>
    <row r="139" spans="1:13" ht="15" customHeight="1" x14ac:dyDescent="0.2">
      <c r="A139" t="s">
        <v>48</v>
      </c>
      <c r="B139" s="22">
        <v>0</v>
      </c>
      <c r="C139" s="22">
        <v>0</v>
      </c>
      <c r="D139" s="22">
        <v>0</v>
      </c>
      <c r="E139" s="22">
        <v>0</v>
      </c>
      <c r="F139" s="22">
        <v>0</v>
      </c>
      <c r="G139" s="22">
        <v>3</v>
      </c>
      <c r="H139" s="22">
        <v>0</v>
      </c>
      <c r="I139" s="22">
        <v>0</v>
      </c>
      <c r="J139">
        <f t="shared" ref="J139:J201" si="8">(D139+F139)</f>
        <v>0</v>
      </c>
      <c r="K139">
        <f t="shared" ref="K139:K201" si="9">(B139+H139)</f>
        <v>0</v>
      </c>
      <c r="L139">
        <f t="shared" ref="L139:L201" si="10">(E139+G139)</f>
        <v>3</v>
      </c>
      <c r="M139">
        <f t="shared" ref="M139:M201" si="11">(C139+I139)</f>
        <v>0</v>
      </c>
    </row>
    <row r="140" spans="1:13" ht="15" customHeight="1" x14ac:dyDescent="0.2">
      <c r="A140" t="s">
        <v>49</v>
      </c>
      <c r="B140" s="22">
        <v>0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>
        <f t="shared" si="8"/>
        <v>0</v>
      </c>
      <c r="K140">
        <f t="shared" si="9"/>
        <v>0</v>
      </c>
      <c r="L140">
        <f t="shared" si="10"/>
        <v>0</v>
      </c>
      <c r="M140">
        <f t="shared" si="11"/>
        <v>0</v>
      </c>
    </row>
    <row r="141" spans="1:13" ht="15" customHeight="1" x14ac:dyDescent="0.2">
      <c r="A141" t="s">
        <v>50</v>
      </c>
      <c r="B141" s="22">
        <v>0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</row>
    <row r="142" spans="1:13" ht="15" customHeight="1" x14ac:dyDescent="0.2">
      <c r="A142" t="s">
        <v>51</v>
      </c>
      <c r="B142" s="22">
        <v>0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>
        <f t="shared" si="8"/>
        <v>0</v>
      </c>
      <c r="K142">
        <f t="shared" si="9"/>
        <v>0</v>
      </c>
      <c r="L142">
        <f t="shared" si="10"/>
        <v>0</v>
      </c>
      <c r="M142">
        <f t="shared" si="11"/>
        <v>0</v>
      </c>
    </row>
    <row r="143" spans="1:13" ht="15" customHeight="1" x14ac:dyDescent="0.2">
      <c r="A143" t="s">
        <v>52</v>
      </c>
      <c r="B143" s="22">
        <v>0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>
        <f t="shared" si="8"/>
        <v>0</v>
      </c>
      <c r="K143">
        <f t="shared" si="9"/>
        <v>0</v>
      </c>
      <c r="L143">
        <f t="shared" si="10"/>
        <v>0</v>
      </c>
      <c r="M143">
        <f t="shared" si="11"/>
        <v>0</v>
      </c>
    </row>
    <row r="144" spans="1:13" ht="15" customHeight="1" x14ac:dyDescent="0.2">
      <c r="A144" t="s">
        <v>53</v>
      </c>
      <c r="B144" s="22">
        <v>0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">
      <c r="A145" t="s">
        <v>54</v>
      </c>
      <c r="B145" s="22">
        <v>0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>
        <f t="shared" si="8"/>
        <v>0</v>
      </c>
      <c r="K145">
        <f t="shared" si="9"/>
        <v>0</v>
      </c>
      <c r="L145">
        <f t="shared" si="10"/>
        <v>0</v>
      </c>
      <c r="M145">
        <f t="shared" si="11"/>
        <v>0</v>
      </c>
    </row>
    <row r="146" spans="1:13" ht="15" customHeight="1" x14ac:dyDescent="0.2">
      <c r="A146" t="s">
        <v>55</v>
      </c>
      <c r="B146" s="22">
        <v>0</v>
      </c>
      <c r="C146" s="22">
        <v>0</v>
      </c>
      <c r="D146" s="22">
        <v>0</v>
      </c>
      <c r="E146" s="22">
        <v>0</v>
      </c>
      <c r="F146" s="22">
        <v>0</v>
      </c>
      <c r="G146" s="22">
        <v>0</v>
      </c>
      <c r="H146" s="22">
        <v>0</v>
      </c>
      <c r="I146" s="22">
        <v>0</v>
      </c>
      <c r="J146">
        <f t="shared" si="8"/>
        <v>0</v>
      </c>
      <c r="K146">
        <f t="shared" si="9"/>
        <v>0</v>
      </c>
      <c r="L146">
        <f t="shared" si="10"/>
        <v>0</v>
      </c>
      <c r="M146">
        <f t="shared" si="11"/>
        <v>0</v>
      </c>
    </row>
    <row r="147" spans="1:13" ht="15" customHeight="1" x14ac:dyDescent="0.2">
      <c r="A147" t="s">
        <v>56</v>
      </c>
      <c r="B147" s="22">
        <v>0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</row>
    <row r="148" spans="1:13" ht="15" customHeight="1" x14ac:dyDescent="0.2">
      <c r="A148" t="s">
        <v>57</v>
      </c>
      <c r="B148" s="22">
        <v>0</v>
      </c>
      <c r="C148" s="22">
        <v>0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</row>
    <row r="149" spans="1:13" ht="15" customHeight="1" x14ac:dyDescent="0.2">
      <c r="A149" t="s">
        <v>58</v>
      </c>
      <c r="B149" s="22">
        <v>0</v>
      </c>
      <c r="C149" s="22">
        <v>0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>
        <f t="shared" si="8"/>
        <v>0</v>
      </c>
      <c r="K149">
        <f t="shared" si="9"/>
        <v>0</v>
      </c>
      <c r="L149">
        <f t="shared" si="10"/>
        <v>0</v>
      </c>
      <c r="M149">
        <f t="shared" si="11"/>
        <v>0</v>
      </c>
    </row>
    <row r="150" spans="1:13" ht="15" customHeight="1" x14ac:dyDescent="0.2">
      <c r="A150" t="s">
        <v>59</v>
      </c>
      <c r="B150" s="22">
        <v>0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</row>
    <row r="151" spans="1:13" ht="15" customHeight="1" x14ac:dyDescent="0.2">
      <c r="A151" t="s">
        <v>60</v>
      </c>
      <c r="B151" s="22">
        <v>0</v>
      </c>
      <c r="C151" s="22">
        <v>0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>
        <f t="shared" si="8"/>
        <v>0</v>
      </c>
      <c r="K151">
        <f t="shared" si="9"/>
        <v>0</v>
      </c>
      <c r="L151">
        <f t="shared" si="10"/>
        <v>0</v>
      </c>
      <c r="M151">
        <f t="shared" si="11"/>
        <v>0</v>
      </c>
    </row>
    <row r="152" spans="1:13" ht="15" customHeight="1" x14ac:dyDescent="0.2">
      <c r="A152" t="s">
        <v>61</v>
      </c>
      <c r="B152" s="22">
        <v>0</v>
      </c>
      <c r="C152" s="22">
        <v>0</v>
      </c>
      <c r="D152" s="22">
        <v>1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>
        <f t="shared" si="8"/>
        <v>1</v>
      </c>
      <c r="K152">
        <f t="shared" si="9"/>
        <v>0</v>
      </c>
      <c r="L152">
        <f t="shared" si="10"/>
        <v>0</v>
      </c>
      <c r="M152">
        <f t="shared" si="11"/>
        <v>0</v>
      </c>
    </row>
    <row r="153" spans="1:13" ht="15" customHeight="1" x14ac:dyDescent="0.2">
      <c r="A153" t="s">
        <v>62</v>
      </c>
      <c r="B153" s="22">
        <v>0</v>
      </c>
      <c r="C153" s="22">
        <v>0</v>
      </c>
      <c r="D153" s="22">
        <v>0</v>
      </c>
      <c r="E153" s="22">
        <v>1</v>
      </c>
      <c r="F153" s="22">
        <v>0</v>
      </c>
      <c r="G153" s="22">
        <v>0</v>
      </c>
      <c r="H153" s="22">
        <v>0</v>
      </c>
      <c r="I153" s="22">
        <v>0</v>
      </c>
      <c r="J153">
        <f t="shared" si="8"/>
        <v>0</v>
      </c>
      <c r="K153">
        <f t="shared" si="9"/>
        <v>0</v>
      </c>
      <c r="L153">
        <f t="shared" si="10"/>
        <v>1</v>
      </c>
      <c r="M153">
        <f t="shared" si="11"/>
        <v>0</v>
      </c>
    </row>
    <row r="154" spans="1:13" ht="15" customHeight="1" x14ac:dyDescent="0.2">
      <c r="A154" t="s">
        <v>63</v>
      </c>
      <c r="B154" s="22">
        <v>0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>
        <f t="shared" si="8"/>
        <v>0</v>
      </c>
      <c r="K154">
        <f t="shared" si="9"/>
        <v>0</v>
      </c>
      <c r="L154">
        <f t="shared" si="10"/>
        <v>0</v>
      </c>
      <c r="M154">
        <f t="shared" si="11"/>
        <v>0</v>
      </c>
    </row>
    <row r="155" spans="1:13" ht="15" customHeight="1" x14ac:dyDescent="0.2">
      <c r="A155" t="s">
        <v>64</v>
      </c>
      <c r="B155" s="22">
        <v>0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>
        <f t="shared" si="8"/>
        <v>0</v>
      </c>
      <c r="K155">
        <f t="shared" si="9"/>
        <v>0</v>
      </c>
      <c r="L155">
        <f t="shared" si="10"/>
        <v>0</v>
      </c>
      <c r="M155">
        <f t="shared" si="11"/>
        <v>0</v>
      </c>
    </row>
    <row r="156" spans="1:13" ht="15" customHeight="1" x14ac:dyDescent="0.2">
      <c r="A156" t="s">
        <v>65</v>
      </c>
      <c r="B156" s="22">
        <v>0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>
        <f t="shared" si="8"/>
        <v>0</v>
      </c>
      <c r="K156">
        <f t="shared" si="9"/>
        <v>0</v>
      </c>
      <c r="L156">
        <f t="shared" si="10"/>
        <v>0</v>
      </c>
      <c r="M156">
        <f t="shared" si="11"/>
        <v>0</v>
      </c>
    </row>
    <row r="157" spans="1:13" ht="15" customHeight="1" x14ac:dyDescent="0.2">
      <c r="A157" t="s">
        <v>66</v>
      </c>
      <c r="B157" s="22">
        <v>0</v>
      </c>
      <c r="C157" s="22">
        <v>0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">
      <c r="A158" t="s">
        <v>67</v>
      </c>
      <c r="B158" s="22">
        <v>0</v>
      </c>
      <c r="C158" s="22">
        <v>0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0</v>
      </c>
    </row>
    <row r="159" spans="1:13" ht="15" customHeight="1" x14ac:dyDescent="0.2">
      <c r="A159" t="s">
        <v>68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>
        <f t="shared" si="8"/>
        <v>0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">
      <c r="A160" t="s">
        <v>69</v>
      </c>
      <c r="B160" s="22">
        <v>0</v>
      </c>
      <c r="C160" s="22">
        <v>0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>
        <f t="shared" si="8"/>
        <v>0</v>
      </c>
      <c r="K160">
        <f t="shared" si="9"/>
        <v>0</v>
      </c>
      <c r="L160">
        <f t="shared" si="10"/>
        <v>0</v>
      </c>
      <c r="M160">
        <f t="shared" si="11"/>
        <v>0</v>
      </c>
    </row>
    <row r="161" spans="1:13" ht="15" customHeight="1" x14ac:dyDescent="0.2">
      <c r="A161" t="s">
        <v>70</v>
      </c>
      <c r="B161" s="22">
        <v>0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</row>
    <row r="162" spans="1:13" ht="15" customHeight="1" x14ac:dyDescent="0.2">
      <c r="A162" t="s">
        <v>71</v>
      </c>
      <c r="B162" s="22">
        <v>0</v>
      </c>
      <c r="C162" s="22">
        <v>0</v>
      </c>
      <c r="D162" s="22">
        <v>0</v>
      </c>
      <c r="E162" s="22">
        <v>0</v>
      </c>
      <c r="F162" s="22">
        <v>1</v>
      </c>
      <c r="G162" s="22">
        <v>0</v>
      </c>
      <c r="H162" s="22">
        <v>0</v>
      </c>
      <c r="I162" s="22">
        <v>0</v>
      </c>
      <c r="J162">
        <f t="shared" si="8"/>
        <v>1</v>
      </c>
      <c r="K162">
        <f t="shared" si="9"/>
        <v>0</v>
      </c>
      <c r="L162">
        <f t="shared" si="10"/>
        <v>0</v>
      </c>
      <c r="M162">
        <f t="shared" si="11"/>
        <v>0</v>
      </c>
    </row>
    <row r="163" spans="1:13" ht="15" customHeight="1" x14ac:dyDescent="0.2">
      <c r="A163" t="s">
        <v>72</v>
      </c>
      <c r="B163" s="22">
        <v>0</v>
      </c>
      <c r="C163" s="22">
        <v>0</v>
      </c>
      <c r="D163" s="22">
        <v>0</v>
      </c>
      <c r="E163" s="22">
        <v>1</v>
      </c>
      <c r="F163" s="22">
        <v>0</v>
      </c>
      <c r="G163" s="22">
        <v>0</v>
      </c>
      <c r="H163" s="22">
        <v>0</v>
      </c>
      <c r="I163" s="22">
        <v>0</v>
      </c>
      <c r="J163">
        <f t="shared" si="8"/>
        <v>0</v>
      </c>
      <c r="K163">
        <f t="shared" si="9"/>
        <v>0</v>
      </c>
      <c r="L163">
        <f t="shared" si="10"/>
        <v>1</v>
      </c>
      <c r="M163">
        <f t="shared" si="11"/>
        <v>0</v>
      </c>
    </row>
    <row r="164" spans="1:13" ht="15" customHeight="1" x14ac:dyDescent="0.2">
      <c r="A164" t="s">
        <v>73</v>
      </c>
      <c r="B164" s="22">
        <v>0</v>
      </c>
      <c r="C164" s="22">
        <v>0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>
        <f t="shared" si="8"/>
        <v>0</v>
      </c>
      <c r="K164">
        <f t="shared" si="9"/>
        <v>0</v>
      </c>
      <c r="L164">
        <f t="shared" si="10"/>
        <v>0</v>
      </c>
      <c r="M164">
        <f t="shared" si="11"/>
        <v>0</v>
      </c>
    </row>
    <row r="165" spans="1:13" ht="15" customHeight="1" x14ac:dyDescent="0.2">
      <c r="A165" t="s">
        <v>74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>
        <f t="shared" si="8"/>
        <v>0</v>
      </c>
      <c r="K165">
        <f t="shared" si="9"/>
        <v>0</v>
      </c>
      <c r="L165">
        <f t="shared" si="10"/>
        <v>0</v>
      </c>
      <c r="M165">
        <f t="shared" si="11"/>
        <v>0</v>
      </c>
    </row>
    <row r="166" spans="1:13" ht="15" customHeight="1" x14ac:dyDescent="0.2">
      <c r="A166" t="s">
        <v>75</v>
      </c>
      <c r="B166" s="22">
        <v>0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</row>
    <row r="167" spans="1:13" ht="15" customHeight="1" x14ac:dyDescent="0.2">
      <c r="A167" t="s">
        <v>76</v>
      </c>
      <c r="B167" s="22">
        <v>0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>
        <f t="shared" si="8"/>
        <v>0</v>
      </c>
      <c r="K167">
        <f t="shared" si="9"/>
        <v>0</v>
      </c>
      <c r="L167">
        <f t="shared" si="10"/>
        <v>0</v>
      </c>
      <c r="M167">
        <f t="shared" si="11"/>
        <v>0</v>
      </c>
    </row>
    <row r="168" spans="1:13" ht="15" customHeight="1" x14ac:dyDescent="0.2">
      <c r="A168" t="s">
        <v>77</v>
      </c>
      <c r="B168" s="22">
        <v>0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</row>
    <row r="169" spans="1:13" ht="15" customHeight="1" x14ac:dyDescent="0.2">
      <c r="A169" t="s">
        <v>78</v>
      </c>
      <c r="B169" s="22">
        <v>0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>
        <v>0</v>
      </c>
      <c r="I169" s="22">
        <v>0</v>
      </c>
      <c r="J169">
        <f t="shared" si="8"/>
        <v>0</v>
      </c>
      <c r="K169">
        <f t="shared" si="9"/>
        <v>0</v>
      </c>
      <c r="L169">
        <f t="shared" si="10"/>
        <v>0</v>
      </c>
      <c r="M169">
        <f t="shared" si="11"/>
        <v>0</v>
      </c>
    </row>
    <row r="170" spans="1:13" ht="15" customHeight="1" x14ac:dyDescent="0.2">
      <c r="A170" t="s">
        <v>79</v>
      </c>
      <c r="B170" s="22">
        <v>0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>
        <f t="shared" si="8"/>
        <v>0</v>
      </c>
      <c r="K170">
        <f t="shared" si="9"/>
        <v>0</v>
      </c>
      <c r="L170">
        <f t="shared" si="10"/>
        <v>0</v>
      </c>
      <c r="M170">
        <f t="shared" si="11"/>
        <v>0</v>
      </c>
    </row>
    <row r="171" spans="1:13" ht="15" customHeight="1" x14ac:dyDescent="0.2">
      <c r="A171" t="s">
        <v>80</v>
      </c>
      <c r="B171" s="22">
        <v>0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>
        <f t="shared" si="8"/>
        <v>0</v>
      </c>
      <c r="K171">
        <f t="shared" si="9"/>
        <v>0</v>
      </c>
      <c r="L171">
        <f t="shared" si="10"/>
        <v>0</v>
      </c>
      <c r="M171">
        <f t="shared" si="11"/>
        <v>0</v>
      </c>
    </row>
    <row r="172" spans="1:13" ht="15" customHeight="1" x14ac:dyDescent="0.2">
      <c r="A172" t="s">
        <v>81</v>
      </c>
      <c r="B172" s="22">
        <v>0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>
        <f t="shared" si="8"/>
        <v>0</v>
      </c>
      <c r="K172">
        <f t="shared" si="9"/>
        <v>0</v>
      </c>
      <c r="L172">
        <f t="shared" si="10"/>
        <v>0</v>
      </c>
      <c r="M172">
        <f t="shared" si="11"/>
        <v>0</v>
      </c>
    </row>
    <row r="173" spans="1:13" ht="15" customHeight="1" x14ac:dyDescent="0.2">
      <c r="A173" t="s">
        <v>82</v>
      </c>
      <c r="B173" s="22">
        <v>0</v>
      </c>
      <c r="C173" s="22">
        <v>0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>
        <f t="shared" si="8"/>
        <v>0</v>
      </c>
      <c r="K173">
        <f t="shared" si="9"/>
        <v>0</v>
      </c>
      <c r="L173">
        <f t="shared" si="10"/>
        <v>0</v>
      </c>
      <c r="M173">
        <f t="shared" si="11"/>
        <v>0</v>
      </c>
    </row>
    <row r="174" spans="1:13" ht="15" customHeight="1" x14ac:dyDescent="0.2">
      <c r="A174" t="s">
        <v>83</v>
      </c>
      <c r="B174" s="22">
        <v>0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>
        <f t="shared" si="8"/>
        <v>0</v>
      </c>
      <c r="K174">
        <f t="shared" si="9"/>
        <v>0</v>
      </c>
      <c r="L174">
        <f t="shared" si="10"/>
        <v>0</v>
      </c>
      <c r="M174">
        <f t="shared" si="11"/>
        <v>0</v>
      </c>
    </row>
    <row r="175" spans="1:13" ht="15" customHeight="1" x14ac:dyDescent="0.2">
      <c r="A175" t="s">
        <v>84</v>
      </c>
      <c r="B175" s="22">
        <v>0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ht="15" customHeight="1" x14ac:dyDescent="0.2">
      <c r="A176" t="s">
        <v>85</v>
      </c>
      <c r="B176" s="22">
        <v>0</v>
      </c>
      <c r="C176" s="22">
        <v>0</v>
      </c>
      <c r="D176" s="22">
        <v>0</v>
      </c>
      <c r="E176" s="22">
        <v>0</v>
      </c>
      <c r="F176" s="22">
        <v>0</v>
      </c>
      <c r="G176" s="22">
        <v>0</v>
      </c>
      <c r="H176" s="22">
        <v>0</v>
      </c>
      <c r="I176" s="22">
        <v>0</v>
      </c>
      <c r="J176">
        <f t="shared" si="8"/>
        <v>0</v>
      </c>
      <c r="K176">
        <f t="shared" si="9"/>
        <v>0</v>
      </c>
      <c r="L176">
        <f t="shared" si="10"/>
        <v>0</v>
      </c>
      <c r="M176">
        <f t="shared" si="11"/>
        <v>0</v>
      </c>
    </row>
    <row r="177" spans="1:13" ht="15" customHeight="1" x14ac:dyDescent="0.2">
      <c r="A177" t="s">
        <v>86</v>
      </c>
      <c r="B177" s="22">
        <v>1</v>
      </c>
      <c r="C177" s="22">
        <v>0</v>
      </c>
      <c r="D177" s="22">
        <v>0</v>
      </c>
      <c r="E177" s="22">
        <v>0</v>
      </c>
      <c r="F177" s="22">
        <v>0</v>
      </c>
      <c r="G177" s="22">
        <v>0</v>
      </c>
      <c r="H177" s="22">
        <v>1</v>
      </c>
      <c r="I177" s="22">
        <v>0</v>
      </c>
      <c r="J177">
        <f t="shared" si="8"/>
        <v>0</v>
      </c>
      <c r="K177">
        <f t="shared" si="9"/>
        <v>2</v>
      </c>
      <c r="L177">
        <f t="shared" si="10"/>
        <v>0</v>
      </c>
      <c r="M177">
        <f t="shared" si="11"/>
        <v>0</v>
      </c>
    </row>
    <row r="178" spans="1:13" ht="15" customHeight="1" x14ac:dyDescent="0.2">
      <c r="A178" t="s">
        <v>87</v>
      </c>
      <c r="B178" s="22">
        <v>1</v>
      </c>
      <c r="C178" s="22">
        <v>0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>
        <f t="shared" si="8"/>
        <v>0</v>
      </c>
      <c r="K178">
        <f t="shared" si="9"/>
        <v>1</v>
      </c>
      <c r="L178">
        <f t="shared" si="10"/>
        <v>0</v>
      </c>
      <c r="M178">
        <f t="shared" si="11"/>
        <v>0</v>
      </c>
    </row>
    <row r="179" spans="1:13" ht="15" customHeight="1" x14ac:dyDescent="0.2">
      <c r="A179" t="s">
        <v>88</v>
      </c>
      <c r="B179" s="22">
        <v>0</v>
      </c>
      <c r="C179" s="22">
        <v>0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>
        <f t="shared" si="8"/>
        <v>0</v>
      </c>
      <c r="K179">
        <f t="shared" si="9"/>
        <v>0</v>
      </c>
      <c r="L179">
        <f t="shared" si="10"/>
        <v>0</v>
      </c>
      <c r="M179">
        <f t="shared" si="11"/>
        <v>0</v>
      </c>
    </row>
    <row r="180" spans="1:13" ht="15" customHeight="1" x14ac:dyDescent="0.2">
      <c r="A180" t="s">
        <v>89</v>
      </c>
      <c r="B180" s="22">
        <v>0</v>
      </c>
      <c r="C180" s="22">
        <v>0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>
        <f t="shared" si="8"/>
        <v>0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1:13" ht="15" customHeight="1" x14ac:dyDescent="0.2">
      <c r="A181" t="s">
        <v>90</v>
      </c>
      <c r="B181" s="22">
        <v>0</v>
      </c>
      <c r="C181" s="22">
        <v>0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">
      <c r="A182" t="s">
        <v>91</v>
      </c>
      <c r="B182" s="22">
        <v>0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</row>
    <row r="183" spans="1:13" ht="15" customHeight="1" x14ac:dyDescent="0.2">
      <c r="A183" t="s">
        <v>92</v>
      </c>
      <c r="B183" s="22">
        <v>0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>
        <f t="shared" si="8"/>
        <v>0</v>
      </c>
      <c r="K183">
        <f t="shared" si="9"/>
        <v>0</v>
      </c>
      <c r="L183">
        <f t="shared" si="10"/>
        <v>0</v>
      </c>
      <c r="M183">
        <f t="shared" si="11"/>
        <v>0</v>
      </c>
    </row>
    <row r="184" spans="1:13" ht="15" customHeight="1" x14ac:dyDescent="0.2">
      <c r="A184" t="s">
        <v>93</v>
      </c>
      <c r="B184" s="22">
        <v>0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>
        <f t="shared" si="8"/>
        <v>0</v>
      </c>
      <c r="K184">
        <f t="shared" si="9"/>
        <v>0</v>
      </c>
      <c r="L184">
        <f t="shared" si="10"/>
        <v>0</v>
      </c>
      <c r="M184">
        <f t="shared" si="11"/>
        <v>0</v>
      </c>
    </row>
    <row r="185" spans="1:13" ht="15" customHeight="1" x14ac:dyDescent="0.2">
      <c r="A185" t="s">
        <v>94</v>
      </c>
      <c r="B185" s="22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">
      <c r="A186" t="s">
        <v>95</v>
      </c>
      <c r="B186" s="22">
        <v>0</v>
      </c>
      <c r="C186" s="22">
        <v>0</v>
      </c>
      <c r="D186" s="22">
        <v>0</v>
      </c>
      <c r="E186" s="22">
        <v>0</v>
      </c>
      <c r="F186" s="22">
        <v>0</v>
      </c>
      <c r="G186" s="22">
        <v>0</v>
      </c>
      <c r="H186" s="22">
        <v>0</v>
      </c>
      <c r="I186" s="22">
        <v>0</v>
      </c>
      <c r="J186">
        <f t="shared" si="8"/>
        <v>0</v>
      </c>
      <c r="K186">
        <f t="shared" si="9"/>
        <v>0</v>
      </c>
      <c r="L186">
        <f t="shared" si="10"/>
        <v>0</v>
      </c>
      <c r="M186">
        <f t="shared" si="11"/>
        <v>0</v>
      </c>
    </row>
    <row r="187" spans="1:13" ht="15" customHeight="1" x14ac:dyDescent="0.2">
      <c r="A187" t="s">
        <v>96</v>
      </c>
      <c r="B187" s="22">
        <v>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>
        <f t="shared" si="8"/>
        <v>0</v>
      </c>
      <c r="K187">
        <f t="shared" si="9"/>
        <v>0</v>
      </c>
      <c r="L187">
        <f t="shared" si="10"/>
        <v>0</v>
      </c>
      <c r="M187">
        <f t="shared" si="11"/>
        <v>0</v>
      </c>
    </row>
    <row r="188" spans="1:13" ht="15" customHeight="1" x14ac:dyDescent="0.2">
      <c r="A188" t="s">
        <v>97</v>
      </c>
      <c r="B188" s="22">
        <v>0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 s="22">
        <v>0</v>
      </c>
      <c r="I188" s="22">
        <v>0</v>
      </c>
      <c r="J188">
        <f t="shared" si="8"/>
        <v>0</v>
      </c>
      <c r="K188">
        <f t="shared" si="9"/>
        <v>0</v>
      </c>
      <c r="L188">
        <f t="shared" si="10"/>
        <v>0</v>
      </c>
      <c r="M188">
        <f t="shared" si="11"/>
        <v>0</v>
      </c>
    </row>
    <row r="189" spans="1:13" ht="15" customHeight="1" x14ac:dyDescent="0.2">
      <c r="A189" t="s">
        <v>98</v>
      </c>
      <c r="B189" s="22">
        <v>0</v>
      </c>
      <c r="C189" s="22">
        <v>0</v>
      </c>
      <c r="D189" s="22">
        <v>0</v>
      </c>
      <c r="E189" s="22">
        <v>0</v>
      </c>
      <c r="F189" s="22">
        <v>0</v>
      </c>
      <c r="G189" s="22">
        <v>0</v>
      </c>
      <c r="H189" s="22">
        <v>0</v>
      </c>
      <c r="I189" s="22">
        <v>0</v>
      </c>
      <c r="J189">
        <f t="shared" si="8"/>
        <v>0</v>
      </c>
      <c r="K189">
        <f t="shared" si="9"/>
        <v>0</v>
      </c>
      <c r="L189">
        <f t="shared" si="10"/>
        <v>0</v>
      </c>
      <c r="M189">
        <f t="shared" si="11"/>
        <v>0</v>
      </c>
    </row>
    <row r="190" spans="1:13" ht="15" customHeight="1" x14ac:dyDescent="0.2">
      <c r="A190" t="s">
        <v>99</v>
      </c>
      <c r="B190" s="22">
        <v>0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0</v>
      </c>
    </row>
    <row r="191" spans="1:13" ht="15" customHeight="1" x14ac:dyDescent="0.2">
      <c r="A191" t="s">
        <v>100</v>
      </c>
      <c r="B191" s="22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">
      <c r="A192" t="s">
        <v>101</v>
      </c>
      <c r="B192" s="22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1:13" ht="15" customHeight="1" x14ac:dyDescent="0.2">
      <c r="A193" t="s">
        <v>102</v>
      </c>
      <c r="B193" s="22">
        <v>0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">
      <c r="A194" t="s">
        <v>103</v>
      </c>
      <c r="B194" s="22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">
      <c r="A195" t="s">
        <v>104</v>
      </c>
      <c r="B195" s="22">
        <v>0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</row>
    <row r="196" spans="1:13" ht="15" customHeight="1" x14ac:dyDescent="0.2">
      <c r="A196" t="s">
        <v>105</v>
      </c>
      <c r="B196" s="22">
        <v>0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t="15" customHeight="1" x14ac:dyDescent="0.2">
      <c r="A197" t="s">
        <v>106</v>
      </c>
      <c r="B197" s="22">
        <v>0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">
      <c r="A198" t="s">
        <v>107</v>
      </c>
      <c r="B198" s="22">
        <v>0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>
        <f t="shared" si="8"/>
        <v>0</v>
      </c>
      <c r="K198">
        <f t="shared" si="9"/>
        <v>0</v>
      </c>
      <c r="L198">
        <f t="shared" si="10"/>
        <v>0</v>
      </c>
      <c r="M198">
        <f t="shared" si="11"/>
        <v>0</v>
      </c>
    </row>
    <row r="199" spans="1:13" ht="15" customHeight="1" x14ac:dyDescent="0.2">
      <c r="A199" t="s">
        <v>108</v>
      </c>
      <c r="B199" s="22">
        <v>0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>
        <f t="shared" si="8"/>
        <v>0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">
      <c r="A200" t="s">
        <v>109</v>
      </c>
      <c r="B200" s="22">
        <v>0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>
        <f t="shared" si="8"/>
        <v>0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">
      <c r="A201" t="s">
        <v>110</v>
      </c>
      <c r="B201" s="22">
        <v>0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">
      <c r="B202">
        <f t="shared" ref="B202:M202" si="12">SUM(B10:B201)</f>
        <v>6</v>
      </c>
      <c r="C202">
        <f t="shared" si="12"/>
        <v>0</v>
      </c>
      <c r="D202">
        <f t="shared" si="12"/>
        <v>6</v>
      </c>
      <c r="E202">
        <f t="shared" si="12"/>
        <v>4</v>
      </c>
      <c r="F202">
        <f t="shared" si="12"/>
        <v>6</v>
      </c>
      <c r="G202">
        <f t="shared" si="12"/>
        <v>3</v>
      </c>
      <c r="H202">
        <f t="shared" si="12"/>
        <v>1</v>
      </c>
      <c r="I202">
        <f t="shared" si="12"/>
        <v>0</v>
      </c>
      <c r="J202">
        <f t="shared" si="12"/>
        <v>12</v>
      </c>
      <c r="K202">
        <f t="shared" si="12"/>
        <v>7</v>
      </c>
      <c r="L202">
        <f t="shared" si="12"/>
        <v>7</v>
      </c>
      <c r="M202">
        <f t="shared" si="12"/>
        <v>0</v>
      </c>
    </row>
    <row r="204" spans="1:13" ht="15" customHeight="1" x14ac:dyDescent="0.2">
      <c r="K204" s="88" t="s">
        <v>212</v>
      </c>
      <c r="L204" s="6">
        <f>SUM(L37:L90,L133:L186)</f>
        <v>6</v>
      </c>
    </row>
    <row r="205" spans="1:13" ht="15" customHeight="1" x14ac:dyDescent="0.2">
      <c r="K205" s="88" t="s">
        <v>213</v>
      </c>
      <c r="L205" s="6">
        <f>L202-L204</f>
        <v>1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xSplit="1" ySplit="9" topLeftCell="B187" activePane="bottomRight" state="frozen"/>
      <selection pane="topRight" activeCell="B1" sqref="B1"/>
      <selection pane="bottomLeft" activeCell="A10" sqref="A10"/>
      <selection pane="bottomRight" activeCell="N1" sqref="N1:N1048576"/>
    </sheetView>
  </sheetViews>
  <sheetFormatPr defaultColWidth="12.140625" defaultRowHeight="15" customHeight="1" x14ac:dyDescent="0.2"/>
  <cols>
    <col min="1" max="1" width="12.140625" bestFit="1" customWidth="1"/>
    <col min="2" max="5" width="10.85546875" customWidth="1"/>
    <col min="6" max="10" width="10.42578125" customWidth="1"/>
  </cols>
  <sheetData>
    <row r="1" spans="1:14" ht="15" customHeight="1" x14ac:dyDescent="0.3">
      <c r="A1" s="111" t="s">
        <v>0</v>
      </c>
      <c r="B1" s="111"/>
      <c r="C1" s="112" t="s">
        <v>174</v>
      </c>
      <c r="D1" s="112"/>
      <c r="E1" s="112"/>
      <c r="F1" s="112"/>
      <c r="G1" s="112"/>
      <c r="H1" s="112"/>
      <c r="I1" s="112"/>
    </row>
    <row r="2" spans="1:14" ht="15" customHeight="1" x14ac:dyDescent="0.3">
      <c r="A2" s="111" t="s">
        <v>2</v>
      </c>
      <c r="B2" s="111"/>
      <c r="C2" s="112" t="s">
        <v>175</v>
      </c>
      <c r="D2" s="112"/>
      <c r="E2" s="112"/>
      <c r="F2" s="112"/>
      <c r="G2" s="112"/>
      <c r="H2" s="112"/>
      <c r="I2" s="112"/>
    </row>
    <row r="3" spans="1:14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4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4" s="1" customFormat="1" ht="30.75" customHeight="1" x14ac:dyDescent="0.3">
      <c r="A7" s="2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14" s="1" customFormat="1" ht="15" customHeight="1" x14ac:dyDescent="0.3">
      <c r="A8" s="2" t="s">
        <v>13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15</v>
      </c>
      <c r="G8" s="3" t="s">
        <v>15</v>
      </c>
      <c r="H8" s="3" t="s">
        <v>15</v>
      </c>
      <c r="I8" s="3" t="s">
        <v>15</v>
      </c>
    </row>
    <row r="9" spans="1:14" s="1" customFormat="1" ht="29.25" customHeight="1" x14ac:dyDescent="0.2">
      <c r="B9" s="17" t="s">
        <v>111</v>
      </c>
      <c r="C9" s="16" t="s">
        <v>112</v>
      </c>
      <c r="D9" s="17" t="s">
        <v>113</v>
      </c>
      <c r="E9" s="16" t="s">
        <v>114</v>
      </c>
      <c r="F9" s="17" t="s">
        <v>113</v>
      </c>
      <c r="G9" s="16" t="s">
        <v>114</v>
      </c>
      <c r="H9" s="17" t="s">
        <v>111</v>
      </c>
      <c r="I9" s="16" t="s">
        <v>112</v>
      </c>
      <c r="J9" s="17" t="s">
        <v>113</v>
      </c>
      <c r="K9" s="17" t="s">
        <v>111</v>
      </c>
      <c r="L9" s="92" t="s">
        <v>114</v>
      </c>
      <c r="M9" s="16" t="s">
        <v>112</v>
      </c>
    </row>
    <row r="10" spans="1:14" ht="15" customHeight="1" x14ac:dyDescent="0.2">
      <c r="A10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1</v>
      </c>
      <c r="I10" s="22">
        <v>0</v>
      </c>
      <c r="J10">
        <f>SUM(D10,F10)</f>
        <v>0</v>
      </c>
      <c r="K10">
        <f>SUM(B10,H10)</f>
        <v>1</v>
      </c>
      <c r="L10">
        <f>SUM(E10,G10)</f>
        <v>0</v>
      </c>
      <c r="M10">
        <f>SUM(C10,I10)</f>
        <v>0</v>
      </c>
      <c r="N10">
        <v>15</v>
      </c>
    </row>
    <row r="11" spans="1:14" ht="15" customHeight="1" x14ac:dyDescent="0.2">
      <c r="A11" t="s">
        <v>16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>
        <f t="shared" ref="J11:J74" si="0">SUM(D11,F11)</f>
        <v>0</v>
      </c>
      <c r="K11">
        <f t="shared" ref="K11:K74" si="1">SUM(B11,H11)</f>
        <v>0</v>
      </c>
      <c r="L11">
        <f t="shared" ref="L11:L74" si="2">SUM(E11,G11)</f>
        <v>0</v>
      </c>
      <c r="M11">
        <f t="shared" ref="M11:M74" si="3">SUM(C11,I11)</f>
        <v>0</v>
      </c>
      <c r="N11">
        <v>15</v>
      </c>
    </row>
    <row r="12" spans="1:14" ht="15" customHeight="1" x14ac:dyDescent="0.2">
      <c r="A12" t="s">
        <v>17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  <c r="N12">
        <v>15</v>
      </c>
    </row>
    <row r="13" spans="1:14" ht="15" customHeight="1" x14ac:dyDescent="0.2">
      <c r="A13" t="s">
        <v>18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  <c r="N13">
        <v>15</v>
      </c>
    </row>
    <row r="14" spans="1:14" ht="15" customHeight="1" x14ac:dyDescent="0.2">
      <c r="A14" t="s">
        <v>19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  <c r="N14">
        <v>15</v>
      </c>
    </row>
    <row r="15" spans="1:14" ht="15" customHeight="1" x14ac:dyDescent="0.2">
      <c r="A15" t="s">
        <v>20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  <c r="N15">
        <v>15</v>
      </c>
    </row>
    <row r="16" spans="1:14" ht="15" customHeight="1" x14ac:dyDescent="0.2">
      <c r="A16" t="s">
        <v>21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  <c r="N16">
        <v>15</v>
      </c>
    </row>
    <row r="17" spans="1:14" ht="15" customHeight="1" x14ac:dyDescent="0.2">
      <c r="A17" t="s">
        <v>22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  <c r="N17">
        <v>15</v>
      </c>
    </row>
    <row r="18" spans="1:14" ht="15" customHeight="1" x14ac:dyDescent="0.2">
      <c r="A18" t="s">
        <v>23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1</v>
      </c>
      <c r="I18" s="22">
        <v>0</v>
      </c>
      <c r="J18">
        <f t="shared" si="0"/>
        <v>0</v>
      </c>
      <c r="K18">
        <f t="shared" si="1"/>
        <v>1</v>
      </c>
      <c r="L18">
        <f t="shared" si="2"/>
        <v>0</v>
      </c>
      <c r="M18">
        <f t="shared" si="3"/>
        <v>0</v>
      </c>
      <c r="N18">
        <v>15</v>
      </c>
    </row>
    <row r="19" spans="1:14" ht="15" customHeight="1" x14ac:dyDescent="0.2">
      <c r="A19" t="s">
        <v>24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1</v>
      </c>
      <c r="H19" s="22">
        <v>0</v>
      </c>
      <c r="I19" s="22">
        <v>0</v>
      </c>
      <c r="J19">
        <f t="shared" si="0"/>
        <v>0</v>
      </c>
      <c r="K19">
        <f t="shared" si="1"/>
        <v>0</v>
      </c>
      <c r="L19">
        <f t="shared" si="2"/>
        <v>1</v>
      </c>
      <c r="M19">
        <f t="shared" si="3"/>
        <v>0</v>
      </c>
      <c r="N19">
        <v>15</v>
      </c>
    </row>
    <row r="20" spans="1:14" ht="15" customHeight="1" x14ac:dyDescent="0.2">
      <c r="A20" t="s">
        <v>25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  <c r="N20">
        <v>15</v>
      </c>
    </row>
    <row r="21" spans="1:14" ht="15" customHeight="1" x14ac:dyDescent="0.2">
      <c r="A21" t="s">
        <v>26</v>
      </c>
      <c r="B21" s="22">
        <v>0</v>
      </c>
      <c r="C21" s="22">
        <v>0</v>
      </c>
      <c r="D21" s="22">
        <v>0</v>
      </c>
      <c r="E21" s="22">
        <v>0</v>
      </c>
      <c r="F21" s="22">
        <v>1</v>
      </c>
      <c r="G21" s="22">
        <v>0</v>
      </c>
      <c r="H21" s="22">
        <v>0</v>
      </c>
      <c r="I21" s="22">
        <v>0</v>
      </c>
      <c r="J21">
        <f t="shared" si="0"/>
        <v>1</v>
      </c>
      <c r="K21">
        <f t="shared" si="1"/>
        <v>0</v>
      </c>
      <c r="L21">
        <f t="shared" si="2"/>
        <v>0</v>
      </c>
      <c r="M21">
        <f t="shared" si="3"/>
        <v>0</v>
      </c>
      <c r="N21">
        <v>15</v>
      </c>
    </row>
    <row r="22" spans="1:14" ht="15" customHeight="1" x14ac:dyDescent="0.2">
      <c r="A22" t="s">
        <v>27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  <c r="N22">
        <v>15</v>
      </c>
    </row>
    <row r="23" spans="1:14" ht="15" customHeight="1" x14ac:dyDescent="0.2">
      <c r="A23" t="s">
        <v>28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  <c r="N23">
        <v>15</v>
      </c>
    </row>
    <row r="24" spans="1:14" ht="15" customHeight="1" x14ac:dyDescent="0.2">
      <c r="A24" t="s">
        <v>29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  <c r="N24">
        <v>15</v>
      </c>
    </row>
    <row r="25" spans="1:14" ht="15" customHeight="1" x14ac:dyDescent="0.2">
      <c r="A25" t="s">
        <v>30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  <c r="N25">
        <v>15</v>
      </c>
    </row>
    <row r="26" spans="1:14" ht="15" customHeight="1" x14ac:dyDescent="0.2">
      <c r="A26" t="s">
        <v>31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  <c r="N26">
        <v>15</v>
      </c>
    </row>
    <row r="27" spans="1:14" ht="15" customHeight="1" x14ac:dyDescent="0.2">
      <c r="A27" t="s">
        <v>32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  <c r="N27">
        <v>15</v>
      </c>
    </row>
    <row r="28" spans="1:14" ht="15" customHeight="1" x14ac:dyDescent="0.2">
      <c r="A28" t="s">
        <v>33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  <c r="N28">
        <v>15</v>
      </c>
    </row>
    <row r="29" spans="1:14" ht="15" customHeight="1" x14ac:dyDescent="0.2">
      <c r="A29" t="s">
        <v>34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  <c r="N29">
        <v>15</v>
      </c>
    </row>
    <row r="30" spans="1:14" ht="15" customHeight="1" x14ac:dyDescent="0.2">
      <c r="A30" t="s">
        <v>35</v>
      </c>
      <c r="B30" s="22">
        <v>0</v>
      </c>
      <c r="C30" s="22">
        <v>0</v>
      </c>
      <c r="D30" s="22">
        <v>0</v>
      </c>
      <c r="E30" s="22">
        <v>1</v>
      </c>
      <c r="F30" s="22">
        <v>0</v>
      </c>
      <c r="G30" s="22">
        <v>0</v>
      </c>
      <c r="H30" s="22">
        <v>0</v>
      </c>
      <c r="I30" s="22">
        <v>0</v>
      </c>
      <c r="J30">
        <f t="shared" si="0"/>
        <v>0</v>
      </c>
      <c r="K30">
        <f t="shared" si="1"/>
        <v>0</v>
      </c>
      <c r="L30">
        <f t="shared" si="2"/>
        <v>1</v>
      </c>
      <c r="M30">
        <f t="shared" si="3"/>
        <v>0</v>
      </c>
      <c r="N30">
        <v>15</v>
      </c>
    </row>
    <row r="31" spans="1:14" ht="15" customHeight="1" x14ac:dyDescent="0.2">
      <c r="A31" t="s">
        <v>36</v>
      </c>
      <c r="B31" s="22">
        <v>0</v>
      </c>
      <c r="C31" s="22">
        <v>0</v>
      </c>
      <c r="D31" s="22">
        <v>0</v>
      </c>
      <c r="E31" s="22">
        <v>1</v>
      </c>
      <c r="F31" s="22">
        <v>0</v>
      </c>
      <c r="G31" s="22">
        <v>0</v>
      </c>
      <c r="H31" s="22">
        <v>0</v>
      </c>
      <c r="I31" s="22">
        <v>0</v>
      </c>
      <c r="J31">
        <f t="shared" si="0"/>
        <v>0</v>
      </c>
      <c r="K31">
        <f t="shared" si="1"/>
        <v>0</v>
      </c>
      <c r="L31">
        <f t="shared" si="2"/>
        <v>1</v>
      </c>
      <c r="M31">
        <f t="shared" si="3"/>
        <v>0</v>
      </c>
      <c r="N31">
        <v>15</v>
      </c>
    </row>
    <row r="32" spans="1:14" ht="15" customHeight="1" x14ac:dyDescent="0.2">
      <c r="A32" t="s">
        <v>37</v>
      </c>
      <c r="B32" s="22">
        <v>0</v>
      </c>
      <c r="C32" s="22">
        <v>0</v>
      </c>
      <c r="D32" s="22">
        <v>0</v>
      </c>
      <c r="E32" s="22">
        <v>3</v>
      </c>
      <c r="F32" s="22">
        <v>0</v>
      </c>
      <c r="G32" s="22">
        <v>0</v>
      </c>
      <c r="H32" s="22">
        <v>0</v>
      </c>
      <c r="I32" s="22">
        <v>0</v>
      </c>
      <c r="J32">
        <f t="shared" si="0"/>
        <v>0</v>
      </c>
      <c r="K32">
        <f t="shared" si="1"/>
        <v>0</v>
      </c>
      <c r="L32">
        <f t="shared" si="2"/>
        <v>3</v>
      </c>
      <c r="M32">
        <f t="shared" si="3"/>
        <v>0</v>
      </c>
      <c r="N32">
        <v>15</v>
      </c>
    </row>
    <row r="33" spans="1:14" ht="15" customHeight="1" x14ac:dyDescent="0.2">
      <c r="A33" t="s">
        <v>38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  <c r="N33">
        <v>15</v>
      </c>
    </row>
    <row r="34" spans="1:14" ht="15" customHeight="1" x14ac:dyDescent="0.2">
      <c r="A34" t="s">
        <v>39</v>
      </c>
      <c r="B34" s="22">
        <v>0</v>
      </c>
      <c r="C34" s="22">
        <v>0</v>
      </c>
      <c r="D34" s="22">
        <v>0</v>
      </c>
      <c r="E34" s="22">
        <v>1</v>
      </c>
      <c r="F34" s="22">
        <v>0</v>
      </c>
      <c r="G34" s="22">
        <v>0</v>
      </c>
      <c r="H34" s="22">
        <v>0</v>
      </c>
      <c r="I34" s="22">
        <v>0</v>
      </c>
      <c r="J34">
        <f t="shared" si="0"/>
        <v>0</v>
      </c>
      <c r="K34">
        <f t="shared" si="1"/>
        <v>0</v>
      </c>
      <c r="L34">
        <f t="shared" si="2"/>
        <v>1</v>
      </c>
      <c r="M34">
        <f t="shared" si="3"/>
        <v>0</v>
      </c>
      <c r="N34">
        <v>15</v>
      </c>
    </row>
    <row r="35" spans="1:14" ht="15" customHeight="1" x14ac:dyDescent="0.2">
      <c r="A35" t="s">
        <v>40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  <c r="N35">
        <v>15</v>
      </c>
    </row>
    <row r="36" spans="1:14" ht="15" customHeight="1" x14ac:dyDescent="0.2">
      <c r="A36" t="s">
        <v>41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  <c r="N36">
        <v>15</v>
      </c>
    </row>
    <row r="37" spans="1:14" ht="15" customHeight="1" x14ac:dyDescent="0.2">
      <c r="A37" t="s">
        <v>42</v>
      </c>
      <c r="B37" s="22">
        <v>0</v>
      </c>
      <c r="C37" s="22">
        <v>0</v>
      </c>
      <c r="D37" s="22">
        <v>0</v>
      </c>
      <c r="E37" s="22">
        <v>0</v>
      </c>
      <c r="F37" s="22">
        <v>1</v>
      </c>
      <c r="G37" s="22">
        <v>0</v>
      </c>
      <c r="H37" s="22">
        <v>1</v>
      </c>
      <c r="I37" s="22">
        <v>0</v>
      </c>
      <c r="J37">
        <f t="shared" si="0"/>
        <v>1</v>
      </c>
      <c r="K37">
        <f t="shared" si="1"/>
        <v>1</v>
      </c>
      <c r="L37">
        <f t="shared" si="2"/>
        <v>0</v>
      </c>
      <c r="M37">
        <f t="shared" si="3"/>
        <v>0</v>
      </c>
      <c r="N37">
        <v>15</v>
      </c>
    </row>
    <row r="38" spans="1:14" ht="15" customHeight="1" x14ac:dyDescent="0.2">
      <c r="A38" t="s">
        <v>43</v>
      </c>
      <c r="B38" s="22">
        <v>0</v>
      </c>
      <c r="C38" s="22">
        <v>0</v>
      </c>
      <c r="D38" s="22">
        <v>0</v>
      </c>
      <c r="E38" s="22">
        <v>1</v>
      </c>
      <c r="F38" s="22">
        <v>0</v>
      </c>
      <c r="G38" s="22">
        <v>0</v>
      </c>
      <c r="H38" s="22">
        <v>0</v>
      </c>
      <c r="I38" s="22">
        <v>0</v>
      </c>
      <c r="J38">
        <f t="shared" si="0"/>
        <v>0</v>
      </c>
      <c r="K38">
        <f t="shared" si="1"/>
        <v>0</v>
      </c>
      <c r="L38">
        <f t="shared" si="2"/>
        <v>1</v>
      </c>
      <c r="M38">
        <f t="shared" si="3"/>
        <v>0</v>
      </c>
      <c r="N38">
        <v>15</v>
      </c>
    </row>
    <row r="39" spans="1:14" ht="15" customHeight="1" x14ac:dyDescent="0.2">
      <c r="A39" t="s">
        <v>44</v>
      </c>
      <c r="B39" s="22">
        <v>0</v>
      </c>
      <c r="C39" s="22">
        <v>0</v>
      </c>
      <c r="D39" s="22">
        <v>0</v>
      </c>
      <c r="E39" s="22">
        <v>1</v>
      </c>
      <c r="F39" s="22">
        <v>0</v>
      </c>
      <c r="G39" s="22">
        <v>1</v>
      </c>
      <c r="H39" s="22">
        <v>0</v>
      </c>
      <c r="I39" s="22">
        <v>0</v>
      </c>
      <c r="J39">
        <f t="shared" si="0"/>
        <v>0</v>
      </c>
      <c r="K39">
        <f t="shared" si="1"/>
        <v>0</v>
      </c>
      <c r="L39">
        <f t="shared" si="2"/>
        <v>2</v>
      </c>
      <c r="M39">
        <f t="shared" si="3"/>
        <v>0</v>
      </c>
      <c r="N39">
        <v>15</v>
      </c>
    </row>
    <row r="40" spans="1:14" ht="15" customHeight="1" x14ac:dyDescent="0.2">
      <c r="A40" t="s">
        <v>45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>
        <f t="shared" si="0"/>
        <v>0</v>
      </c>
      <c r="K40">
        <f t="shared" si="1"/>
        <v>0</v>
      </c>
      <c r="L40">
        <f t="shared" si="2"/>
        <v>0</v>
      </c>
      <c r="M40">
        <f t="shared" si="3"/>
        <v>0</v>
      </c>
      <c r="N40">
        <v>15</v>
      </c>
    </row>
    <row r="41" spans="1:14" ht="15" customHeight="1" x14ac:dyDescent="0.2">
      <c r="A41" t="s">
        <v>46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>
        <f t="shared" si="0"/>
        <v>0</v>
      </c>
      <c r="K41">
        <f t="shared" si="1"/>
        <v>0</v>
      </c>
      <c r="L41">
        <f t="shared" si="2"/>
        <v>0</v>
      </c>
      <c r="M41">
        <f t="shared" si="3"/>
        <v>0</v>
      </c>
      <c r="N41">
        <v>15</v>
      </c>
    </row>
    <row r="42" spans="1:14" ht="15" customHeight="1" x14ac:dyDescent="0.2">
      <c r="A42" t="s">
        <v>47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  <c r="N42">
        <v>15</v>
      </c>
    </row>
    <row r="43" spans="1:14" ht="15" customHeight="1" x14ac:dyDescent="0.2">
      <c r="A43" t="s">
        <v>48</v>
      </c>
      <c r="B43" s="22">
        <v>0</v>
      </c>
      <c r="C43" s="22">
        <v>0</v>
      </c>
      <c r="D43" s="22">
        <v>1</v>
      </c>
      <c r="E43" s="22">
        <v>0</v>
      </c>
      <c r="F43" s="22">
        <v>0</v>
      </c>
      <c r="G43" s="22">
        <v>0</v>
      </c>
      <c r="H43" s="22">
        <v>1</v>
      </c>
      <c r="I43" s="22">
        <v>0</v>
      </c>
      <c r="J43">
        <f t="shared" si="0"/>
        <v>1</v>
      </c>
      <c r="K43">
        <f t="shared" si="1"/>
        <v>1</v>
      </c>
      <c r="L43">
        <f t="shared" si="2"/>
        <v>0</v>
      </c>
      <c r="M43">
        <f t="shared" si="3"/>
        <v>0</v>
      </c>
      <c r="N43">
        <v>15</v>
      </c>
    </row>
    <row r="44" spans="1:14" ht="15" customHeight="1" x14ac:dyDescent="0.2">
      <c r="A44" t="s">
        <v>49</v>
      </c>
      <c r="B44" s="22">
        <v>0</v>
      </c>
      <c r="C44" s="22">
        <v>0</v>
      </c>
      <c r="D44" s="22">
        <v>1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>
        <f t="shared" si="0"/>
        <v>1</v>
      </c>
      <c r="K44">
        <f t="shared" si="1"/>
        <v>0</v>
      </c>
      <c r="L44">
        <f t="shared" si="2"/>
        <v>0</v>
      </c>
      <c r="M44">
        <f t="shared" si="3"/>
        <v>0</v>
      </c>
      <c r="N44">
        <v>15</v>
      </c>
    </row>
    <row r="45" spans="1:14" ht="15" customHeight="1" x14ac:dyDescent="0.2">
      <c r="A45" t="s">
        <v>50</v>
      </c>
      <c r="B45" s="22">
        <v>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>
        <f t="shared" si="0"/>
        <v>0</v>
      </c>
      <c r="K45">
        <f t="shared" si="1"/>
        <v>0</v>
      </c>
      <c r="L45">
        <f t="shared" si="2"/>
        <v>0</v>
      </c>
      <c r="M45">
        <f t="shared" si="3"/>
        <v>0</v>
      </c>
      <c r="N45">
        <v>15</v>
      </c>
    </row>
    <row r="46" spans="1:14" ht="15" customHeight="1" x14ac:dyDescent="0.2">
      <c r="A46" t="s">
        <v>51</v>
      </c>
      <c r="B46" s="22">
        <v>0</v>
      </c>
      <c r="C46" s="22">
        <v>0</v>
      </c>
      <c r="D46" s="22">
        <v>0</v>
      </c>
      <c r="E46" s="22">
        <v>0</v>
      </c>
      <c r="F46" s="22">
        <v>1</v>
      </c>
      <c r="G46" s="22">
        <v>0</v>
      </c>
      <c r="H46" s="22">
        <v>0</v>
      </c>
      <c r="I46" s="22">
        <v>0</v>
      </c>
      <c r="J46">
        <f t="shared" si="0"/>
        <v>1</v>
      </c>
      <c r="K46">
        <f t="shared" si="1"/>
        <v>0</v>
      </c>
      <c r="L46">
        <f t="shared" si="2"/>
        <v>0</v>
      </c>
      <c r="M46">
        <f t="shared" si="3"/>
        <v>0</v>
      </c>
      <c r="N46">
        <v>15</v>
      </c>
    </row>
    <row r="47" spans="1:14" ht="15" customHeight="1" x14ac:dyDescent="0.2">
      <c r="A47" t="s">
        <v>52</v>
      </c>
      <c r="B47" s="22">
        <v>0</v>
      </c>
      <c r="C47" s="22">
        <v>0</v>
      </c>
      <c r="D47" s="22">
        <v>0</v>
      </c>
      <c r="E47" s="22">
        <v>1</v>
      </c>
      <c r="F47" s="22">
        <v>0</v>
      </c>
      <c r="G47" s="22">
        <v>0</v>
      </c>
      <c r="H47" s="22">
        <v>0</v>
      </c>
      <c r="I47" s="22">
        <v>0</v>
      </c>
      <c r="J47">
        <f t="shared" si="0"/>
        <v>0</v>
      </c>
      <c r="K47">
        <f t="shared" si="1"/>
        <v>0</v>
      </c>
      <c r="L47">
        <f t="shared" si="2"/>
        <v>1</v>
      </c>
      <c r="M47">
        <f t="shared" si="3"/>
        <v>0</v>
      </c>
      <c r="N47">
        <v>15</v>
      </c>
    </row>
    <row r="48" spans="1:14" ht="15" customHeight="1" x14ac:dyDescent="0.2">
      <c r="A48" t="s">
        <v>53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  <c r="N48">
        <v>15</v>
      </c>
    </row>
    <row r="49" spans="1:14" ht="15" customHeight="1" x14ac:dyDescent="0.2">
      <c r="A49" t="s">
        <v>54</v>
      </c>
      <c r="B49" s="22">
        <v>0</v>
      </c>
      <c r="C49" s="22">
        <v>0</v>
      </c>
      <c r="D49" s="22">
        <v>2</v>
      </c>
      <c r="E49" s="22">
        <v>1</v>
      </c>
      <c r="F49" s="22">
        <v>0</v>
      </c>
      <c r="G49" s="22">
        <v>0</v>
      </c>
      <c r="H49" s="22">
        <v>1</v>
      </c>
      <c r="I49" s="22">
        <v>0</v>
      </c>
      <c r="J49">
        <f t="shared" si="0"/>
        <v>2</v>
      </c>
      <c r="K49">
        <f t="shared" si="1"/>
        <v>1</v>
      </c>
      <c r="L49">
        <f t="shared" si="2"/>
        <v>1</v>
      </c>
      <c r="M49">
        <f t="shared" si="3"/>
        <v>0</v>
      </c>
      <c r="N49">
        <v>15</v>
      </c>
    </row>
    <row r="50" spans="1:14" ht="15" customHeight="1" x14ac:dyDescent="0.2">
      <c r="A50" t="s">
        <v>55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1</v>
      </c>
      <c r="I50" s="22">
        <v>0</v>
      </c>
      <c r="J50">
        <f t="shared" si="0"/>
        <v>0</v>
      </c>
      <c r="K50">
        <f t="shared" si="1"/>
        <v>1</v>
      </c>
      <c r="L50">
        <f t="shared" si="2"/>
        <v>0</v>
      </c>
      <c r="M50">
        <f t="shared" si="3"/>
        <v>0</v>
      </c>
      <c r="N50">
        <v>15</v>
      </c>
    </row>
    <row r="51" spans="1:14" ht="15" customHeight="1" x14ac:dyDescent="0.2">
      <c r="A51" t="s">
        <v>56</v>
      </c>
      <c r="B51" s="22">
        <v>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>
        <f t="shared" si="0"/>
        <v>0</v>
      </c>
      <c r="K51">
        <f t="shared" si="1"/>
        <v>0</v>
      </c>
      <c r="L51">
        <f t="shared" si="2"/>
        <v>0</v>
      </c>
      <c r="M51">
        <f t="shared" si="3"/>
        <v>0</v>
      </c>
      <c r="N51">
        <v>15</v>
      </c>
    </row>
    <row r="52" spans="1:14" ht="15" customHeight="1" x14ac:dyDescent="0.2">
      <c r="A52" t="s">
        <v>57</v>
      </c>
      <c r="B52" s="22">
        <v>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  <c r="N52">
        <v>15</v>
      </c>
    </row>
    <row r="53" spans="1:14" ht="15" customHeight="1" x14ac:dyDescent="0.2">
      <c r="A53" t="s">
        <v>58</v>
      </c>
      <c r="B53" s="22">
        <v>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  <c r="N53">
        <v>15</v>
      </c>
    </row>
    <row r="54" spans="1:14" ht="15" customHeight="1" x14ac:dyDescent="0.2">
      <c r="A54" t="s">
        <v>59</v>
      </c>
      <c r="B54" s="22">
        <v>0</v>
      </c>
      <c r="C54" s="22">
        <v>0</v>
      </c>
      <c r="D54" s="22">
        <v>1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>
        <f t="shared" si="0"/>
        <v>1</v>
      </c>
      <c r="K54">
        <f t="shared" si="1"/>
        <v>0</v>
      </c>
      <c r="L54">
        <f t="shared" si="2"/>
        <v>0</v>
      </c>
      <c r="M54">
        <f t="shared" si="3"/>
        <v>0</v>
      </c>
      <c r="N54">
        <v>15</v>
      </c>
    </row>
    <row r="55" spans="1:14" ht="15" customHeight="1" x14ac:dyDescent="0.2">
      <c r="A55" t="s">
        <v>60</v>
      </c>
      <c r="B55" s="22">
        <v>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  <c r="N55">
        <v>15</v>
      </c>
    </row>
    <row r="56" spans="1:14" ht="15" customHeight="1" x14ac:dyDescent="0.2">
      <c r="A56" t="s">
        <v>61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  <c r="N56">
        <v>15</v>
      </c>
    </row>
    <row r="57" spans="1:14" ht="15" customHeight="1" x14ac:dyDescent="0.2">
      <c r="A57" t="s">
        <v>62</v>
      </c>
      <c r="B57" s="22">
        <v>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  <c r="N57">
        <v>15</v>
      </c>
    </row>
    <row r="58" spans="1:14" ht="15" customHeight="1" x14ac:dyDescent="0.2">
      <c r="A58" t="s">
        <v>63</v>
      </c>
      <c r="B58" s="22">
        <v>0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  <c r="N58">
        <v>15</v>
      </c>
    </row>
    <row r="59" spans="1:14" ht="15" customHeight="1" x14ac:dyDescent="0.2">
      <c r="A59" t="s">
        <v>64</v>
      </c>
      <c r="B59" s="22">
        <v>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  <c r="N59">
        <v>15</v>
      </c>
    </row>
    <row r="60" spans="1:14" ht="15" customHeight="1" x14ac:dyDescent="0.2">
      <c r="A60" t="s">
        <v>65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  <c r="N60">
        <v>15</v>
      </c>
    </row>
    <row r="61" spans="1:14" ht="15" customHeight="1" x14ac:dyDescent="0.2">
      <c r="A61" t="s">
        <v>66</v>
      </c>
      <c r="B61" s="22">
        <v>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  <c r="N61">
        <v>15</v>
      </c>
    </row>
    <row r="62" spans="1:14" ht="15" customHeight="1" x14ac:dyDescent="0.2">
      <c r="A62" t="s">
        <v>67</v>
      </c>
      <c r="B62" s="22">
        <v>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  <c r="N62">
        <v>15</v>
      </c>
    </row>
    <row r="63" spans="1:14" ht="15" customHeight="1" x14ac:dyDescent="0.2">
      <c r="A63" t="s">
        <v>68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3"/>
        <v>0</v>
      </c>
      <c r="N63">
        <v>15</v>
      </c>
    </row>
    <row r="64" spans="1:14" ht="15" customHeight="1" x14ac:dyDescent="0.2">
      <c r="A64" t="s">
        <v>69</v>
      </c>
      <c r="B64" s="22">
        <v>0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>
        <f t="shared" si="0"/>
        <v>0</v>
      </c>
      <c r="K64">
        <f t="shared" si="1"/>
        <v>0</v>
      </c>
      <c r="L64">
        <f t="shared" si="2"/>
        <v>0</v>
      </c>
      <c r="M64">
        <f t="shared" si="3"/>
        <v>0</v>
      </c>
      <c r="N64">
        <v>15</v>
      </c>
    </row>
    <row r="65" spans="1:14" ht="15" customHeight="1" x14ac:dyDescent="0.2">
      <c r="A65" t="s">
        <v>70</v>
      </c>
      <c r="B65" s="22">
        <v>0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>
        <f t="shared" si="0"/>
        <v>0</v>
      </c>
      <c r="K65">
        <f t="shared" si="1"/>
        <v>0</v>
      </c>
      <c r="L65">
        <f t="shared" si="2"/>
        <v>0</v>
      </c>
      <c r="M65">
        <f t="shared" si="3"/>
        <v>0</v>
      </c>
      <c r="N65">
        <v>15</v>
      </c>
    </row>
    <row r="66" spans="1:14" ht="15" customHeight="1" x14ac:dyDescent="0.2">
      <c r="A66" t="s">
        <v>71</v>
      </c>
      <c r="B66" s="22">
        <v>0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>
        <f t="shared" si="0"/>
        <v>0</v>
      </c>
      <c r="K66">
        <f t="shared" si="1"/>
        <v>0</v>
      </c>
      <c r="L66">
        <f t="shared" si="2"/>
        <v>0</v>
      </c>
      <c r="M66">
        <f t="shared" si="3"/>
        <v>0</v>
      </c>
      <c r="N66">
        <v>15</v>
      </c>
    </row>
    <row r="67" spans="1:14" ht="15" customHeight="1" x14ac:dyDescent="0.2">
      <c r="A67" t="s">
        <v>72</v>
      </c>
      <c r="B67" s="22">
        <v>0</v>
      </c>
      <c r="C67" s="22">
        <v>0</v>
      </c>
      <c r="D67" s="22">
        <v>0</v>
      </c>
      <c r="E67" s="22">
        <v>1</v>
      </c>
      <c r="F67" s="22">
        <v>0</v>
      </c>
      <c r="G67" s="22">
        <v>0</v>
      </c>
      <c r="H67" s="22">
        <v>0</v>
      </c>
      <c r="I67" s="22">
        <v>0</v>
      </c>
      <c r="J67">
        <f t="shared" si="0"/>
        <v>0</v>
      </c>
      <c r="K67">
        <f t="shared" si="1"/>
        <v>0</v>
      </c>
      <c r="L67">
        <f t="shared" si="2"/>
        <v>1</v>
      </c>
      <c r="M67">
        <f t="shared" si="3"/>
        <v>0</v>
      </c>
      <c r="N67">
        <v>15</v>
      </c>
    </row>
    <row r="68" spans="1:14" ht="15" customHeight="1" x14ac:dyDescent="0.2">
      <c r="A68" t="s">
        <v>73</v>
      </c>
      <c r="B68" s="22">
        <v>0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1</v>
      </c>
      <c r="I68" s="22">
        <v>0</v>
      </c>
      <c r="J68">
        <f t="shared" si="0"/>
        <v>0</v>
      </c>
      <c r="K68">
        <f t="shared" si="1"/>
        <v>1</v>
      </c>
      <c r="L68">
        <f t="shared" si="2"/>
        <v>0</v>
      </c>
      <c r="M68">
        <f t="shared" si="3"/>
        <v>0</v>
      </c>
      <c r="N68">
        <v>15</v>
      </c>
    </row>
    <row r="69" spans="1:14" ht="15" customHeight="1" x14ac:dyDescent="0.2">
      <c r="A69" t="s">
        <v>74</v>
      </c>
      <c r="B69" s="22">
        <v>0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>
        <f t="shared" si="0"/>
        <v>0</v>
      </c>
      <c r="K69">
        <f t="shared" si="1"/>
        <v>0</v>
      </c>
      <c r="L69">
        <f t="shared" si="2"/>
        <v>0</v>
      </c>
      <c r="M69">
        <f t="shared" si="3"/>
        <v>0</v>
      </c>
      <c r="N69">
        <v>15</v>
      </c>
    </row>
    <row r="70" spans="1:14" ht="15" customHeight="1" x14ac:dyDescent="0.2">
      <c r="A70" t="s">
        <v>75</v>
      </c>
      <c r="B70" s="22">
        <v>1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>
        <f t="shared" si="0"/>
        <v>0</v>
      </c>
      <c r="K70">
        <f t="shared" si="1"/>
        <v>1</v>
      </c>
      <c r="L70">
        <f t="shared" si="2"/>
        <v>0</v>
      </c>
      <c r="M70">
        <f t="shared" si="3"/>
        <v>0</v>
      </c>
      <c r="N70">
        <v>15</v>
      </c>
    </row>
    <row r="71" spans="1:14" ht="15" customHeight="1" x14ac:dyDescent="0.2">
      <c r="A71" t="s">
        <v>76</v>
      </c>
      <c r="B71" s="22">
        <v>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>
        <f t="shared" si="0"/>
        <v>0</v>
      </c>
      <c r="K71">
        <f t="shared" si="1"/>
        <v>0</v>
      </c>
      <c r="L71">
        <f t="shared" si="2"/>
        <v>0</v>
      </c>
      <c r="M71">
        <f t="shared" si="3"/>
        <v>0</v>
      </c>
      <c r="N71">
        <v>15</v>
      </c>
    </row>
    <row r="72" spans="1:14" ht="15" customHeight="1" x14ac:dyDescent="0.2">
      <c r="A72" t="s">
        <v>77</v>
      </c>
      <c r="B72" s="22">
        <v>1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>
        <f t="shared" si="0"/>
        <v>0</v>
      </c>
      <c r="K72">
        <f t="shared" si="1"/>
        <v>1</v>
      </c>
      <c r="L72">
        <f t="shared" si="2"/>
        <v>0</v>
      </c>
      <c r="M72">
        <f t="shared" si="3"/>
        <v>0</v>
      </c>
      <c r="N72">
        <v>15</v>
      </c>
    </row>
    <row r="73" spans="1:14" ht="15" customHeight="1" x14ac:dyDescent="0.2">
      <c r="A73" t="s">
        <v>78</v>
      </c>
      <c r="B73" s="22">
        <v>0</v>
      </c>
      <c r="C73" s="22">
        <v>0</v>
      </c>
      <c r="D73" s="22">
        <v>0</v>
      </c>
      <c r="E73" s="22">
        <v>1</v>
      </c>
      <c r="F73" s="22">
        <v>0</v>
      </c>
      <c r="G73" s="22">
        <v>0</v>
      </c>
      <c r="H73" s="22">
        <v>0</v>
      </c>
      <c r="I73" s="22">
        <v>0</v>
      </c>
      <c r="J73">
        <f t="shared" si="0"/>
        <v>0</v>
      </c>
      <c r="K73">
        <f t="shared" si="1"/>
        <v>0</v>
      </c>
      <c r="L73">
        <f t="shared" si="2"/>
        <v>1</v>
      </c>
      <c r="M73">
        <f t="shared" si="3"/>
        <v>0</v>
      </c>
      <c r="N73">
        <v>15</v>
      </c>
    </row>
    <row r="74" spans="1:14" ht="15" customHeight="1" x14ac:dyDescent="0.2">
      <c r="A74" t="s">
        <v>79</v>
      </c>
      <c r="B74" s="22">
        <v>0</v>
      </c>
      <c r="C74" s="22">
        <v>0</v>
      </c>
      <c r="D74" s="22">
        <v>1</v>
      </c>
      <c r="E74" s="22">
        <v>1</v>
      </c>
      <c r="F74" s="22">
        <v>0</v>
      </c>
      <c r="G74" s="22">
        <v>0</v>
      </c>
      <c r="H74" s="22">
        <v>0</v>
      </c>
      <c r="I74" s="22">
        <v>0</v>
      </c>
      <c r="J74">
        <f t="shared" si="0"/>
        <v>1</v>
      </c>
      <c r="K74">
        <f t="shared" si="1"/>
        <v>0</v>
      </c>
      <c r="L74">
        <f t="shared" si="2"/>
        <v>1</v>
      </c>
      <c r="M74">
        <f t="shared" si="3"/>
        <v>0</v>
      </c>
      <c r="N74">
        <v>15</v>
      </c>
    </row>
    <row r="75" spans="1:14" ht="15" customHeight="1" x14ac:dyDescent="0.2">
      <c r="A75" t="s">
        <v>80</v>
      </c>
      <c r="B75" s="22">
        <v>0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>
        <f t="shared" ref="J75:J138" si="4">SUM(D75,F75)</f>
        <v>0</v>
      </c>
      <c r="K75">
        <f t="shared" ref="K75:K138" si="5">SUM(B75,H75)</f>
        <v>0</v>
      </c>
      <c r="L75">
        <f t="shared" ref="L75:L138" si="6">SUM(E75,G75)</f>
        <v>0</v>
      </c>
      <c r="M75">
        <f t="shared" ref="M75:M138" si="7">SUM(C75,I75)</f>
        <v>0</v>
      </c>
      <c r="N75">
        <v>15</v>
      </c>
    </row>
    <row r="76" spans="1:14" ht="15" customHeight="1" x14ac:dyDescent="0.2">
      <c r="A76" t="s">
        <v>81</v>
      </c>
      <c r="B76" s="22">
        <v>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>
        <f t="shared" si="4"/>
        <v>0</v>
      </c>
      <c r="K76">
        <f t="shared" si="5"/>
        <v>0</v>
      </c>
      <c r="L76">
        <f t="shared" si="6"/>
        <v>0</v>
      </c>
      <c r="M76">
        <f t="shared" si="7"/>
        <v>0</v>
      </c>
      <c r="N76">
        <v>15</v>
      </c>
    </row>
    <row r="77" spans="1:14" ht="15" customHeight="1" x14ac:dyDescent="0.2">
      <c r="A77" t="s">
        <v>82</v>
      </c>
      <c r="B77" s="22">
        <v>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>
        <f t="shared" si="4"/>
        <v>0</v>
      </c>
      <c r="K77">
        <f t="shared" si="5"/>
        <v>0</v>
      </c>
      <c r="L77">
        <f t="shared" si="6"/>
        <v>0</v>
      </c>
      <c r="M77">
        <f t="shared" si="7"/>
        <v>0</v>
      </c>
      <c r="N77">
        <v>15</v>
      </c>
    </row>
    <row r="78" spans="1:14" ht="15" customHeight="1" x14ac:dyDescent="0.2">
      <c r="A78" t="s">
        <v>83</v>
      </c>
      <c r="B78" s="22">
        <v>0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>
        <f t="shared" si="4"/>
        <v>0</v>
      </c>
      <c r="K78">
        <f t="shared" si="5"/>
        <v>0</v>
      </c>
      <c r="L78">
        <f t="shared" si="6"/>
        <v>0</v>
      </c>
      <c r="M78">
        <f t="shared" si="7"/>
        <v>0</v>
      </c>
      <c r="N78">
        <v>15</v>
      </c>
    </row>
    <row r="79" spans="1:14" ht="15" customHeight="1" x14ac:dyDescent="0.2">
      <c r="A79" t="s">
        <v>84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>
        <f t="shared" si="4"/>
        <v>0</v>
      </c>
      <c r="K79">
        <f t="shared" si="5"/>
        <v>0</v>
      </c>
      <c r="L79">
        <f t="shared" si="6"/>
        <v>0</v>
      </c>
      <c r="M79">
        <f t="shared" si="7"/>
        <v>0</v>
      </c>
      <c r="N79">
        <v>15</v>
      </c>
    </row>
    <row r="80" spans="1:14" ht="15" customHeight="1" x14ac:dyDescent="0.2">
      <c r="A80" t="s">
        <v>85</v>
      </c>
      <c r="B80" s="22">
        <v>0</v>
      </c>
      <c r="C80" s="22">
        <v>0</v>
      </c>
      <c r="D80" s="22">
        <v>0</v>
      </c>
      <c r="E80" s="22">
        <v>0</v>
      </c>
      <c r="F80" s="22">
        <v>0</v>
      </c>
      <c r="G80" s="22">
        <v>1</v>
      </c>
      <c r="H80" s="22">
        <v>0</v>
      </c>
      <c r="I80" s="22">
        <v>0</v>
      </c>
      <c r="J80">
        <f t="shared" si="4"/>
        <v>0</v>
      </c>
      <c r="K80">
        <f t="shared" si="5"/>
        <v>0</v>
      </c>
      <c r="L80">
        <f t="shared" si="6"/>
        <v>1</v>
      </c>
      <c r="M80">
        <f t="shared" si="7"/>
        <v>0</v>
      </c>
      <c r="N80">
        <v>15</v>
      </c>
    </row>
    <row r="81" spans="1:14" ht="15" customHeight="1" x14ac:dyDescent="0.2">
      <c r="A81" t="s">
        <v>86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0</v>
      </c>
      <c r="N81">
        <v>15</v>
      </c>
    </row>
    <row r="82" spans="1:14" ht="15" customHeight="1" x14ac:dyDescent="0.2">
      <c r="A82" t="s">
        <v>87</v>
      </c>
      <c r="B82" s="22">
        <v>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  <c r="N82">
        <v>15</v>
      </c>
    </row>
    <row r="83" spans="1:14" ht="15" customHeight="1" x14ac:dyDescent="0.2">
      <c r="A83" t="s">
        <v>88</v>
      </c>
      <c r="B83" s="22">
        <v>0</v>
      </c>
      <c r="C83" s="22">
        <v>1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1</v>
      </c>
      <c r="N83">
        <v>15</v>
      </c>
    </row>
    <row r="84" spans="1:14" ht="15" customHeight="1" x14ac:dyDescent="0.2">
      <c r="A84" t="s">
        <v>89</v>
      </c>
      <c r="B84" s="22">
        <v>0</v>
      </c>
      <c r="C84" s="22">
        <v>0</v>
      </c>
      <c r="D84" s="22">
        <v>0</v>
      </c>
      <c r="E84" s="22">
        <v>0</v>
      </c>
      <c r="F84" s="22">
        <v>1</v>
      </c>
      <c r="G84" s="22">
        <v>0</v>
      </c>
      <c r="H84" s="22">
        <v>2</v>
      </c>
      <c r="I84" s="22">
        <v>0</v>
      </c>
      <c r="J84">
        <f t="shared" si="4"/>
        <v>1</v>
      </c>
      <c r="K84">
        <f t="shared" si="5"/>
        <v>2</v>
      </c>
      <c r="L84">
        <f t="shared" si="6"/>
        <v>0</v>
      </c>
      <c r="M84">
        <f t="shared" si="7"/>
        <v>0</v>
      </c>
      <c r="N84">
        <v>15</v>
      </c>
    </row>
    <row r="85" spans="1:14" ht="15" customHeight="1" x14ac:dyDescent="0.2">
      <c r="A85" t="s">
        <v>90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  <c r="N85">
        <v>15</v>
      </c>
    </row>
    <row r="86" spans="1:14" ht="15" customHeight="1" x14ac:dyDescent="0.2">
      <c r="A86" t="s">
        <v>91</v>
      </c>
      <c r="B86" s="22">
        <v>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>
        <f t="shared" si="4"/>
        <v>0</v>
      </c>
      <c r="K86">
        <f t="shared" si="5"/>
        <v>0</v>
      </c>
      <c r="L86">
        <f t="shared" si="6"/>
        <v>0</v>
      </c>
      <c r="M86">
        <f t="shared" si="7"/>
        <v>0</v>
      </c>
      <c r="N86">
        <v>15</v>
      </c>
    </row>
    <row r="87" spans="1:14" ht="15" customHeight="1" x14ac:dyDescent="0.2">
      <c r="A87" t="s">
        <v>92</v>
      </c>
      <c r="B87" s="22">
        <v>1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>
        <f t="shared" si="4"/>
        <v>0</v>
      </c>
      <c r="K87">
        <f t="shared" si="5"/>
        <v>1</v>
      </c>
      <c r="L87">
        <f t="shared" si="6"/>
        <v>0</v>
      </c>
      <c r="M87">
        <f t="shared" si="7"/>
        <v>0</v>
      </c>
      <c r="N87">
        <v>15</v>
      </c>
    </row>
    <row r="88" spans="1:14" ht="15" customHeight="1" x14ac:dyDescent="0.2">
      <c r="A88" t="s">
        <v>93</v>
      </c>
      <c r="B88" s="22">
        <v>0</v>
      </c>
      <c r="C88" s="22">
        <v>0</v>
      </c>
      <c r="D88" s="22">
        <v>0</v>
      </c>
      <c r="E88" s="22">
        <v>1</v>
      </c>
      <c r="F88" s="22">
        <v>0</v>
      </c>
      <c r="G88" s="22">
        <v>0</v>
      </c>
      <c r="H88" s="22">
        <v>0</v>
      </c>
      <c r="I88" s="22">
        <v>0</v>
      </c>
      <c r="J88">
        <f t="shared" si="4"/>
        <v>0</v>
      </c>
      <c r="K88">
        <f t="shared" si="5"/>
        <v>0</v>
      </c>
      <c r="L88">
        <f t="shared" si="6"/>
        <v>1</v>
      </c>
      <c r="M88">
        <f t="shared" si="7"/>
        <v>0</v>
      </c>
      <c r="N88">
        <v>15</v>
      </c>
    </row>
    <row r="89" spans="1:14" ht="15" customHeight="1" x14ac:dyDescent="0.2">
      <c r="A89" t="s">
        <v>94</v>
      </c>
      <c r="B89" s="22">
        <v>0</v>
      </c>
      <c r="C89" s="22">
        <v>1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1</v>
      </c>
      <c r="N89">
        <v>15</v>
      </c>
    </row>
    <row r="90" spans="1:14" ht="15" customHeight="1" x14ac:dyDescent="0.2">
      <c r="A90" t="s">
        <v>95</v>
      </c>
      <c r="B90" s="22">
        <v>0</v>
      </c>
      <c r="C90" s="22">
        <v>0</v>
      </c>
      <c r="D90" s="22">
        <v>1</v>
      </c>
      <c r="E90" s="22">
        <v>1</v>
      </c>
      <c r="F90" s="22">
        <v>0</v>
      </c>
      <c r="G90" s="22">
        <v>0</v>
      </c>
      <c r="H90" s="22">
        <v>0</v>
      </c>
      <c r="I90" s="22">
        <v>0</v>
      </c>
      <c r="J90">
        <f t="shared" si="4"/>
        <v>1</v>
      </c>
      <c r="K90">
        <f t="shared" si="5"/>
        <v>0</v>
      </c>
      <c r="L90">
        <f t="shared" si="6"/>
        <v>1</v>
      </c>
      <c r="M90">
        <f t="shared" si="7"/>
        <v>0</v>
      </c>
      <c r="N90">
        <v>15</v>
      </c>
    </row>
    <row r="91" spans="1:14" ht="15" customHeight="1" x14ac:dyDescent="0.2">
      <c r="A91" t="s">
        <v>96</v>
      </c>
      <c r="B91" s="22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  <c r="N91">
        <v>15</v>
      </c>
    </row>
    <row r="92" spans="1:14" ht="15" customHeight="1" x14ac:dyDescent="0.2">
      <c r="A92" t="s">
        <v>97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>
        <f t="shared" si="4"/>
        <v>0</v>
      </c>
      <c r="K92">
        <f t="shared" si="5"/>
        <v>0</v>
      </c>
      <c r="L92">
        <f t="shared" si="6"/>
        <v>0</v>
      </c>
      <c r="M92">
        <f t="shared" si="7"/>
        <v>0</v>
      </c>
      <c r="N92">
        <v>15</v>
      </c>
    </row>
    <row r="93" spans="1:14" ht="15" customHeight="1" x14ac:dyDescent="0.2">
      <c r="A93" t="s">
        <v>98</v>
      </c>
      <c r="B93" s="22">
        <v>0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>
        <f t="shared" si="4"/>
        <v>0</v>
      </c>
      <c r="K93">
        <f t="shared" si="5"/>
        <v>0</v>
      </c>
      <c r="L93">
        <f t="shared" si="6"/>
        <v>0</v>
      </c>
      <c r="M93">
        <f t="shared" si="7"/>
        <v>0</v>
      </c>
      <c r="N93">
        <v>15</v>
      </c>
    </row>
    <row r="94" spans="1:14" ht="15" customHeight="1" x14ac:dyDescent="0.2">
      <c r="A94" t="s">
        <v>99</v>
      </c>
      <c r="B94" s="22">
        <v>0</v>
      </c>
      <c r="C94" s="22">
        <v>0</v>
      </c>
      <c r="D94" s="22">
        <v>0</v>
      </c>
      <c r="E94" s="22">
        <v>0</v>
      </c>
      <c r="F94" s="22">
        <v>0</v>
      </c>
      <c r="G94" s="22">
        <v>1</v>
      </c>
      <c r="H94" s="22">
        <v>0</v>
      </c>
      <c r="I94" s="22">
        <v>0</v>
      </c>
      <c r="J94">
        <f t="shared" si="4"/>
        <v>0</v>
      </c>
      <c r="K94">
        <f t="shared" si="5"/>
        <v>0</v>
      </c>
      <c r="L94">
        <f t="shared" si="6"/>
        <v>1</v>
      </c>
      <c r="M94">
        <f t="shared" si="7"/>
        <v>0</v>
      </c>
      <c r="N94">
        <v>15</v>
      </c>
    </row>
    <row r="95" spans="1:14" ht="15" customHeight="1" x14ac:dyDescent="0.2">
      <c r="A95" t="s">
        <v>100</v>
      </c>
      <c r="B95" s="22">
        <v>0</v>
      </c>
      <c r="C95" s="22">
        <v>0</v>
      </c>
      <c r="D95" s="22">
        <v>2</v>
      </c>
      <c r="E95" s="22">
        <v>0</v>
      </c>
      <c r="F95" s="22">
        <v>0</v>
      </c>
      <c r="G95" s="22">
        <v>0</v>
      </c>
      <c r="H95" s="22">
        <v>1</v>
      </c>
      <c r="I95" s="22">
        <v>0</v>
      </c>
      <c r="J95">
        <f t="shared" si="4"/>
        <v>2</v>
      </c>
      <c r="K95">
        <f t="shared" si="5"/>
        <v>1</v>
      </c>
      <c r="L95">
        <f t="shared" si="6"/>
        <v>0</v>
      </c>
      <c r="M95">
        <f t="shared" si="7"/>
        <v>0</v>
      </c>
      <c r="N95">
        <v>15</v>
      </c>
    </row>
    <row r="96" spans="1:14" ht="15" customHeight="1" x14ac:dyDescent="0.2">
      <c r="A96" t="s">
        <v>101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  <c r="N96">
        <v>15</v>
      </c>
    </row>
    <row r="97" spans="1:14" ht="15" customHeight="1" x14ac:dyDescent="0.2">
      <c r="A97" t="s">
        <v>102</v>
      </c>
      <c r="B97" s="22">
        <v>0</v>
      </c>
      <c r="C97" s="22">
        <v>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>
        <f t="shared" si="4"/>
        <v>0</v>
      </c>
      <c r="K97">
        <f t="shared" si="5"/>
        <v>0</v>
      </c>
      <c r="L97">
        <f t="shared" si="6"/>
        <v>0</v>
      </c>
      <c r="M97">
        <f t="shared" si="7"/>
        <v>0</v>
      </c>
      <c r="N97">
        <v>15</v>
      </c>
    </row>
    <row r="98" spans="1:14" ht="15" customHeight="1" x14ac:dyDescent="0.2">
      <c r="A98" t="s">
        <v>103</v>
      </c>
      <c r="B98" s="22">
        <v>0</v>
      </c>
      <c r="C98" s="22">
        <v>1</v>
      </c>
      <c r="D98" s="22">
        <v>0</v>
      </c>
      <c r="E98" s="22">
        <v>0</v>
      </c>
      <c r="F98" s="22">
        <v>2</v>
      </c>
      <c r="G98" s="22">
        <v>0</v>
      </c>
      <c r="H98" s="22">
        <v>1</v>
      </c>
      <c r="I98" s="22">
        <v>0</v>
      </c>
      <c r="J98">
        <f t="shared" si="4"/>
        <v>2</v>
      </c>
      <c r="K98">
        <f t="shared" si="5"/>
        <v>1</v>
      </c>
      <c r="L98">
        <f t="shared" si="6"/>
        <v>0</v>
      </c>
      <c r="M98">
        <f t="shared" si="7"/>
        <v>1</v>
      </c>
      <c r="N98">
        <v>15</v>
      </c>
    </row>
    <row r="99" spans="1:14" ht="15" customHeight="1" x14ac:dyDescent="0.2">
      <c r="A99" t="s">
        <v>104</v>
      </c>
      <c r="B99" s="22">
        <v>0</v>
      </c>
      <c r="C99" s="22">
        <v>0</v>
      </c>
      <c r="D99" s="22">
        <v>1</v>
      </c>
      <c r="E99" s="22">
        <v>0</v>
      </c>
      <c r="F99" s="22">
        <v>1</v>
      </c>
      <c r="G99" s="22">
        <v>0</v>
      </c>
      <c r="H99" s="22">
        <v>0</v>
      </c>
      <c r="I99" s="22">
        <v>0</v>
      </c>
      <c r="J99">
        <f t="shared" si="4"/>
        <v>2</v>
      </c>
      <c r="K99">
        <f t="shared" si="5"/>
        <v>0</v>
      </c>
      <c r="L99">
        <f t="shared" si="6"/>
        <v>0</v>
      </c>
      <c r="M99">
        <f t="shared" si="7"/>
        <v>0</v>
      </c>
      <c r="N99">
        <v>15</v>
      </c>
    </row>
    <row r="100" spans="1:14" ht="15" customHeight="1" x14ac:dyDescent="0.2">
      <c r="A100" t="s">
        <v>105</v>
      </c>
      <c r="B100" s="22">
        <v>0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  <c r="N100">
        <v>15</v>
      </c>
    </row>
    <row r="101" spans="1:14" ht="15" customHeight="1" x14ac:dyDescent="0.2">
      <c r="A101" t="s">
        <v>106</v>
      </c>
      <c r="B101" s="22">
        <v>0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2</v>
      </c>
      <c r="I101" s="22">
        <v>0</v>
      </c>
      <c r="J101">
        <f t="shared" si="4"/>
        <v>0</v>
      </c>
      <c r="K101">
        <f t="shared" si="5"/>
        <v>2</v>
      </c>
      <c r="L101">
        <f t="shared" si="6"/>
        <v>0</v>
      </c>
      <c r="M101">
        <f t="shared" si="7"/>
        <v>0</v>
      </c>
      <c r="N101">
        <v>15</v>
      </c>
    </row>
    <row r="102" spans="1:14" ht="15" customHeight="1" x14ac:dyDescent="0.2">
      <c r="A102" t="s">
        <v>107</v>
      </c>
      <c r="B102" s="22">
        <v>0</v>
      </c>
      <c r="C102" s="22">
        <v>0</v>
      </c>
      <c r="D102" s="22">
        <v>0</v>
      </c>
      <c r="E102" s="22">
        <v>1</v>
      </c>
      <c r="F102" s="22">
        <v>0</v>
      </c>
      <c r="G102" s="22">
        <v>0</v>
      </c>
      <c r="H102" s="22">
        <v>0</v>
      </c>
      <c r="I102" s="22">
        <v>0</v>
      </c>
      <c r="J102">
        <f t="shared" si="4"/>
        <v>0</v>
      </c>
      <c r="K102">
        <f t="shared" si="5"/>
        <v>0</v>
      </c>
      <c r="L102">
        <f t="shared" si="6"/>
        <v>1</v>
      </c>
      <c r="M102">
        <f t="shared" si="7"/>
        <v>0</v>
      </c>
      <c r="N102">
        <v>15</v>
      </c>
    </row>
    <row r="103" spans="1:14" ht="15" customHeight="1" x14ac:dyDescent="0.2">
      <c r="A103" t="s">
        <v>108</v>
      </c>
      <c r="B103" s="22">
        <v>0</v>
      </c>
      <c r="C103" s="22">
        <v>1</v>
      </c>
      <c r="D103" s="22">
        <v>0</v>
      </c>
      <c r="E103" s="22">
        <v>0</v>
      </c>
      <c r="F103" s="22">
        <v>1</v>
      </c>
      <c r="G103" s="22">
        <v>0</v>
      </c>
      <c r="H103" s="22">
        <v>0</v>
      </c>
      <c r="I103" s="22">
        <v>0</v>
      </c>
      <c r="J103">
        <f t="shared" si="4"/>
        <v>1</v>
      </c>
      <c r="K103">
        <f t="shared" si="5"/>
        <v>0</v>
      </c>
      <c r="L103">
        <f t="shared" si="6"/>
        <v>0</v>
      </c>
      <c r="M103">
        <f t="shared" si="7"/>
        <v>1</v>
      </c>
      <c r="N103">
        <v>15</v>
      </c>
    </row>
    <row r="104" spans="1:14" ht="15" customHeight="1" x14ac:dyDescent="0.2">
      <c r="A104" t="s">
        <v>109</v>
      </c>
      <c r="B104" s="22">
        <v>0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  <c r="N104">
        <v>15</v>
      </c>
    </row>
    <row r="105" spans="1:14" ht="15" customHeight="1" x14ac:dyDescent="0.2">
      <c r="A105" t="s">
        <v>110</v>
      </c>
      <c r="B105" s="22">
        <v>0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  <c r="N105">
        <v>15</v>
      </c>
    </row>
    <row r="106" spans="1:14" ht="15" customHeight="1" x14ac:dyDescent="0.2">
      <c r="A106" t="s">
        <v>5</v>
      </c>
      <c r="B106" s="22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  <c r="N106">
        <v>15</v>
      </c>
    </row>
    <row r="107" spans="1:14" ht="15" customHeight="1" x14ac:dyDescent="0.2">
      <c r="A107" t="s">
        <v>16</v>
      </c>
      <c r="B107" s="22">
        <v>0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  <c r="N107">
        <v>15</v>
      </c>
    </row>
    <row r="108" spans="1:14" ht="15" customHeight="1" x14ac:dyDescent="0.2">
      <c r="A108" t="s">
        <v>17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  <c r="N108">
        <v>15</v>
      </c>
    </row>
    <row r="109" spans="1:14" ht="15" customHeight="1" x14ac:dyDescent="0.2">
      <c r="A109" t="s">
        <v>18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  <c r="N109">
        <v>15</v>
      </c>
    </row>
    <row r="110" spans="1:14" ht="15" customHeight="1" x14ac:dyDescent="0.2">
      <c r="A110" t="s">
        <v>19</v>
      </c>
      <c r="B110" s="22">
        <v>0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  <c r="N110">
        <v>15</v>
      </c>
    </row>
    <row r="111" spans="1:14" ht="15" customHeight="1" x14ac:dyDescent="0.2">
      <c r="A111" t="s">
        <v>20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  <c r="N111">
        <v>15</v>
      </c>
    </row>
    <row r="112" spans="1:14" ht="15" customHeight="1" x14ac:dyDescent="0.2">
      <c r="A112" t="s">
        <v>21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  <c r="N112">
        <v>15</v>
      </c>
    </row>
    <row r="113" spans="1:14" ht="15" customHeight="1" x14ac:dyDescent="0.2">
      <c r="A113" t="s">
        <v>22</v>
      </c>
      <c r="B113" s="22">
        <v>0</v>
      </c>
      <c r="C113" s="22">
        <v>0</v>
      </c>
      <c r="D113" s="22">
        <v>0</v>
      </c>
      <c r="E113" s="22">
        <v>1</v>
      </c>
      <c r="F113" s="22">
        <v>0</v>
      </c>
      <c r="G113" s="22">
        <v>0</v>
      </c>
      <c r="H113" s="22">
        <v>0</v>
      </c>
      <c r="I113" s="22">
        <v>0</v>
      </c>
      <c r="J113">
        <f t="shared" si="4"/>
        <v>0</v>
      </c>
      <c r="K113">
        <f t="shared" si="5"/>
        <v>0</v>
      </c>
      <c r="L113">
        <f t="shared" si="6"/>
        <v>1</v>
      </c>
      <c r="M113">
        <f t="shared" si="7"/>
        <v>0</v>
      </c>
      <c r="N113">
        <v>15</v>
      </c>
    </row>
    <row r="114" spans="1:14" ht="15" customHeight="1" x14ac:dyDescent="0.2">
      <c r="A114" t="s">
        <v>23</v>
      </c>
      <c r="B114" s="22">
        <v>0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  <c r="N114">
        <v>15</v>
      </c>
    </row>
    <row r="115" spans="1:14" ht="15" customHeight="1" x14ac:dyDescent="0.2">
      <c r="A115" t="s">
        <v>24</v>
      </c>
      <c r="B115" s="22">
        <v>0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  <c r="N115">
        <v>15</v>
      </c>
    </row>
    <row r="116" spans="1:14" ht="15" customHeight="1" x14ac:dyDescent="0.2">
      <c r="A116" t="s">
        <v>25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  <c r="N116">
        <v>15</v>
      </c>
    </row>
    <row r="117" spans="1:14" ht="15" customHeight="1" x14ac:dyDescent="0.2">
      <c r="A117" t="s">
        <v>26</v>
      </c>
      <c r="B117" s="22">
        <v>0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  <c r="N117">
        <v>15</v>
      </c>
    </row>
    <row r="118" spans="1:14" ht="15" customHeight="1" x14ac:dyDescent="0.2">
      <c r="A118" t="s">
        <v>27</v>
      </c>
      <c r="B118" s="22">
        <v>0</v>
      </c>
      <c r="C118" s="22">
        <v>0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1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1</v>
      </c>
      <c r="N118">
        <v>15</v>
      </c>
    </row>
    <row r="119" spans="1:14" ht="15" customHeight="1" x14ac:dyDescent="0.2">
      <c r="A119" t="s">
        <v>28</v>
      </c>
      <c r="B119" s="22">
        <v>0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  <c r="N119">
        <v>15</v>
      </c>
    </row>
    <row r="120" spans="1:14" ht="15" customHeight="1" x14ac:dyDescent="0.2">
      <c r="A120" t="s">
        <v>29</v>
      </c>
      <c r="B120" s="22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  <c r="N120">
        <v>15</v>
      </c>
    </row>
    <row r="121" spans="1:14" ht="15" customHeight="1" x14ac:dyDescent="0.2">
      <c r="A121" t="s">
        <v>30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  <c r="N121">
        <v>15</v>
      </c>
    </row>
    <row r="122" spans="1:14" ht="15" customHeight="1" x14ac:dyDescent="0.2">
      <c r="A122" t="s">
        <v>31</v>
      </c>
      <c r="B122" s="22">
        <v>0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  <c r="N122">
        <v>15</v>
      </c>
    </row>
    <row r="123" spans="1:14" ht="15" customHeight="1" x14ac:dyDescent="0.2">
      <c r="A123" t="s">
        <v>32</v>
      </c>
      <c r="B123" s="22">
        <v>0</v>
      </c>
      <c r="C123" s="22">
        <v>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  <c r="N123">
        <v>15</v>
      </c>
    </row>
    <row r="124" spans="1:14" ht="15" customHeight="1" x14ac:dyDescent="0.2">
      <c r="A124" t="s">
        <v>33</v>
      </c>
      <c r="B124" s="22">
        <v>0</v>
      </c>
      <c r="C124" s="22">
        <v>0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  <c r="N124">
        <v>15</v>
      </c>
    </row>
    <row r="125" spans="1:14" ht="15" customHeight="1" x14ac:dyDescent="0.2">
      <c r="A125" t="s">
        <v>34</v>
      </c>
      <c r="B125" s="22">
        <v>0</v>
      </c>
      <c r="C125" s="22">
        <v>0</v>
      </c>
      <c r="D125" s="22">
        <v>0</v>
      </c>
      <c r="E125" s="22">
        <v>2</v>
      </c>
      <c r="F125" s="22">
        <v>0</v>
      </c>
      <c r="G125" s="22">
        <v>0</v>
      </c>
      <c r="H125" s="22">
        <v>0</v>
      </c>
      <c r="I125" s="22">
        <v>0</v>
      </c>
      <c r="J125">
        <f t="shared" si="4"/>
        <v>0</v>
      </c>
      <c r="K125">
        <f t="shared" si="5"/>
        <v>0</v>
      </c>
      <c r="L125">
        <f t="shared" si="6"/>
        <v>2</v>
      </c>
      <c r="M125">
        <f t="shared" si="7"/>
        <v>0</v>
      </c>
      <c r="N125">
        <v>15</v>
      </c>
    </row>
    <row r="126" spans="1:14" ht="15" customHeight="1" x14ac:dyDescent="0.2">
      <c r="A126" t="s">
        <v>35</v>
      </c>
      <c r="B126" s="22">
        <v>0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  <c r="N126">
        <v>15</v>
      </c>
    </row>
    <row r="127" spans="1:14" ht="15" customHeight="1" x14ac:dyDescent="0.2">
      <c r="A127" t="s">
        <v>36</v>
      </c>
      <c r="B127" s="22">
        <v>0</v>
      </c>
      <c r="C127" s="22">
        <v>0</v>
      </c>
      <c r="D127" s="22">
        <v>0</v>
      </c>
      <c r="E127" s="22">
        <v>1</v>
      </c>
      <c r="F127" s="22">
        <v>0</v>
      </c>
      <c r="G127" s="22">
        <v>0</v>
      </c>
      <c r="H127" s="22">
        <v>0</v>
      </c>
      <c r="I127" s="22">
        <v>0</v>
      </c>
      <c r="J127">
        <f t="shared" si="4"/>
        <v>0</v>
      </c>
      <c r="K127">
        <f t="shared" si="5"/>
        <v>0</v>
      </c>
      <c r="L127">
        <f t="shared" si="6"/>
        <v>1</v>
      </c>
      <c r="M127">
        <f t="shared" si="7"/>
        <v>0</v>
      </c>
      <c r="N127">
        <v>15</v>
      </c>
    </row>
    <row r="128" spans="1:14" ht="15" customHeight="1" x14ac:dyDescent="0.2">
      <c r="A128" t="s">
        <v>37</v>
      </c>
      <c r="B128" s="22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  <c r="N128">
        <v>15</v>
      </c>
    </row>
    <row r="129" spans="1:14" ht="15" customHeight="1" x14ac:dyDescent="0.2">
      <c r="A129" t="s">
        <v>38</v>
      </c>
      <c r="B129" s="22">
        <v>0</v>
      </c>
      <c r="C129" s="22">
        <v>0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  <c r="N129">
        <v>15</v>
      </c>
    </row>
    <row r="130" spans="1:14" ht="15" customHeight="1" x14ac:dyDescent="0.2">
      <c r="A130" t="s">
        <v>39</v>
      </c>
      <c r="B130" s="22">
        <v>0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>
        <f t="shared" si="4"/>
        <v>0</v>
      </c>
      <c r="K130">
        <f t="shared" si="5"/>
        <v>0</v>
      </c>
      <c r="L130">
        <f t="shared" si="6"/>
        <v>0</v>
      </c>
      <c r="M130">
        <f t="shared" si="7"/>
        <v>0</v>
      </c>
      <c r="N130">
        <v>15</v>
      </c>
    </row>
    <row r="131" spans="1:14" ht="15" customHeight="1" x14ac:dyDescent="0.2">
      <c r="A131" t="s">
        <v>40</v>
      </c>
      <c r="B131" s="22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  <c r="N131">
        <v>15</v>
      </c>
    </row>
    <row r="132" spans="1:14" ht="15" customHeight="1" x14ac:dyDescent="0.2">
      <c r="A132" t="s">
        <v>41</v>
      </c>
      <c r="B132" s="22">
        <v>0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  <c r="N132">
        <v>15</v>
      </c>
    </row>
    <row r="133" spans="1:14" ht="15" customHeight="1" x14ac:dyDescent="0.2">
      <c r="A133" t="s">
        <v>42</v>
      </c>
      <c r="B133" s="22">
        <v>0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>
        <f t="shared" si="4"/>
        <v>0</v>
      </c>
      <c r="K133">
        <f t="shared" si="5"/>
        <v>0</v>
      </c>
      <c r="L133">
        <f t="shared" si="6"/>
        <v>0</v>
      </c>
      <c r="M133">
        <f t="shared" si="7"/>
        <v>0</v>
      </c>
      <c r="N133">
        <v>15</v>
      </c>
    </row>
    <row r="134" spans="1:14" ht="15" customHeight="1" x14ac:dyDescent="0.2">
      <c r="A134" t="s">
        <v>43</v>
      </c>
      <c r="B134" s="22">
        <v>0</v>
      </c>
      <c r="C134" s="22">
        <v>0</v>
      </c>
      <c r="D134" s="22">
        <v>2</v>
      </c>
      <c r="E134" s="22">
        <v>1</v>
      </c>
      <c r="F134" s="22">
        <v>0</v>
      </c>
      <c r="G134" s="22">
        <v>0</v>
      </c>
      <c r="H134" s="22">
        <v>0</v>
      </c>
      <c r="I134" s="22">
        <v>0</v>
      </c>
      <c r="J134">
        <f t="shared" si="4"/>
        <v>2</v>
      </c>
      <c r="K134">
        <f t="shared" si="5"/>
        <v>0</v>
      </c>
      <c r="L134">
        <f t="shared" si="6"/>
        <v>1</v>
      </c>
      <c r="M134">
        <f t="shared" si="7"/>
        <v>0</v>
      </c>
      <c r="N134">
        <v>15</v>
      </c>
    </row>
    <row r="135" spans="1:14" ht="15" customHeight="1" x14ac:dyDescent="0.2">
      <c r="A135" t="s">
        <v>44</v>
      </c>
      <c r="B135" s="22">
        <v>0</v>
      </c>
      <c r="C135" s="22">
        <v>0</v>
      </c>
      <c r="D135" s="22">
        <v>0</v>
      </c>
      <c r="E135" s="22">
        <v>0</v>
      </c>
      <c r="F135" s="22">
        <v>0</v>
      </c>
      <c r="G135" s="22">
        <v>0</v>
      </c>
      <c r="H135" s="22">
        <v>0</v>
      </c>
      <c r="I135" s="22">
        <v>0</v>
      </c>
      <c r="J135">
        <f t="shared" si="4"/>
        <v>0</v>
      </c>
      <c r="K135">
        <f t="shared" si="5"/>
        <v>0</v>
      </c>
      <c r="L135">
        <f t="shared" si="6"/>
        <v>0</v>
      </c>
      <c r="M135">
        <f t="shared" si="7"/>
        <v>0</v>
      </c>
      <c r="N135">
        <v>15</v>
      </c>
    </row>
    <row r="136" spans="1:14" ht="15" customHeight="1" x14ac:dyDescent="0.2">
      <c r="A136" t="s">
        <v>45</v>
      </c>
      <c r="B136" s="22">
        <v>0</v>
      </c>
      <c r="C136" s="22">
        <v>0</v>
      </c>
      <c r="D136" s="22">
        <v>0</v>
      </c>
      <c r="E136" s="22">
        <v>1</v>
      </c>
      <c r="F136" s="22">
        <v>0</v>
      </c>
      <c r="G136" s="22">
        <v>0</v>
      </c>
      <c r="H136" s="22">
        <v>1</v>
      </c>
      <c r="I136" s="22">
        <v>0</v>
      </c>
      <c r="J136">
        <f t="shared" si="4"/>
        <v>0</v>
      </c>
      <c r="K136">
        <f t="shared" si="5"/>
        <v>1</v>
      </c>
      <c r="L136">
        <f t="shared" si="6"/>
        <v>1</v>
      </c>
      <c r="M136">
        <f t="shared" si="7"/>
        <v>0</v>
      </c>
      <c r="N136">
        <v>15</v>
      </c>
    </row>
    <row r="137" spans="1:14" ht="15" customHeight="1" x14ac:dyDescent="0.2">
      <c r="A137" t="s">
        <v>46</v>
      </c>
      <c r="B137" s="22">
        <v>0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  <c r="N137">
        <v>15</v>
      </c>
    </row>
    <row r="138" spans="1:14" ht="15" customHeight="1" x14ac:dyDescent="0.2">
      <c r="A138" t="s">
        <v>47</v>
      </c>
      <c r="B138" s="22">
        <v>0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2">
        <v>1</v>
      </c>
      <c r="I138" s="22">
        <v>0</v>
      </c>
      <c r="J138">
        <f t="shared" si="4"/>
        <v>0</v>
      </c>
      <c r="K138">
        <f t="shared" si="5"/>
        <v>1</v>
      </c>
      <c r="L138">
        <f t="shared" si="6"/>
        <v>0</v>
      </c>
      <c r="M138">
        <f t="shared" si="7"/>
        <v>0</v>
      </c>
      <c r="N138">
        <v>15</v>
      </c>
    </row>
    <row r="139" spans="1:14" ht="15" customHeight="1" x14ac:dyDescent="0.2">
      <c r="A139" t="s">
        <v>48</v>
      </c>
      <c r="B139" s="22">
        <v>0</v>
      </c>
      <c r="C139" s="22">
        <v>0</v>
      </c>
      <c r="D139" s="22">
        <v>1</v>
      </c>
      <c r="E139" s="22">
        <v>0</v>
      </c>
      <c r="F139" s="22">
        <v>0</v>
      </c>
      <c r="G139" s="22">
        <v>0</v>
      </c>
      <c r="H139" s="22">
        <v>1</v>
      </c>
      <c r="I139" s="22">
        <v>0</v>
      </c>
      <c r="J139">
        <f t="shared" ref="J139:J201" si="8">SUM(D139,F139)</f>
        <v>1</v>
      </c>
      <c r="K139">
        <f t="shared" ref="K139:K201" si="9">SUM(B139,H139)</f>
        <v>1</v>
      </c>
      <c r="L139">
        <f t="shared" ref="L139:L201" si="10">SUM(E139,G139)</f>
        <v>0</v>
      </c>
      <c r="M139">
        <f t="shared" ref="M139:M201" si="11">SUM(C139,I139)</f>
        <v>0</v>
      </c>
      <c r="N139">
        <v>15</v>
      </c>
    </row>
    <row r="140" spans="1:14" ht="15" customHeight="1" x14ac:dyDescent="0.2">
      <c r="A140" t="s">
        <v>49</v>
      </c>
      <c r="B140" s="22">
        <v>0</v>
      </c>
      <c r="C140" s="22">
        <v>0</v>
      </c>
      <c r="D140" s="22">
        <v>1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>
        <f t="shared" si="8"/>
        <v>1</v>
      </c>
      <c r="K140">
        <f t="shared" si="9"/>
        <v>0</v>
      </c>
      <c r="L140">
        <f t="shared" si="10"/>
        <v>0</v>
      </c>
      <c r="M140">
        <f t="shared" si="11"/>
        <v>0</v>
      </c>
      <c r="N140">
        <v>15</v>
      </c>
    </row>
    <row r="141" spans="1:14" ht="15" customHeight="1" x14ac:dyDescent="0.2">
      <c r="A141" t="s">
        <v>50</v>
      </c>
      <c r="B141" s="22">
        <v>0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  <c r="N141">
        <v>15</v>
      </c>
    </row>
    <row r="142" spans="1:14" ht="15" customHeight="1" x14ac:dyDescent="0.2">
      <c r="A142" t="s">
        <v>51</v>
      </c>
      <c r="B142" s="22">
        <v>0</v>
      </c>
      <c r="C142" s="22">
        <v>0</v>
      </c>
      <c r="D142" s="22">
        <v>1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>
        <f t="shared" si="8"/>
        <v>1</v>
      </c>
      <c r="K142">
        <f t="shared" si="9"/>
        <v>0</v>
      </c>
      <c r="L142">
        <f t="shared" si="10"/>
        <v>0</v>
      </c>
      <c r="M142">
        <f t="shared" si="11"/>
        <v>0</v>
      </c>
      <c r="N142">
        <v>15</v>
      </c>
    </row>
    <row r="143" spans="1:14" ht="15" customHeight="1" x14ac:dyDescent="0.2">
      <c r="A143" t="s">
        <v>52</v>
      </c>
      <c r="B143" s="22">
        <v>0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>
        <f t="shared" si="8"/>
        <v>0</v>
      </c>
      <c r="K143">
        <f t="shared" si="9"/>
        <v>0</v>
      </c>
      <c r="L143">
        <f t="shared" si="10"/>
        <v>0</v>
      </c>
      <c r="M143">
        <f t="shared" si="11"/>
        <v>0</v>
      </c>
      <c r="N143">
        <v>15</v>
      </c>
    </row>
    <row r="144" spans="1:14" ht="15" customHeight="1" x14ac:dyDescent="0.2">
      <c r="A144" t="s">
        <v>53</v>
      </c>
      <c r="B144" s="22">
        <v>0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  <c r="N144">
        <v>15</v>
      </c>
    </row>
    <row r="145" spans="1:14" ht="15" customHeight="1" x14ac:dyDescent="0.2">
      <c r="A145" t="s">
        <v>54</v>
      </c>
      <c r="B145" s="22">
        <v>0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1</v>
      </c>
      <c r="I145" s="22">
        <v>0</v>
      </c>
      <c r="J145">
        <f t="shared" si="8"/>
        <v>0</v>
      </c>
      <c r="K145">
        <f t="shared" si="9"/>
        <v>1</v>
      </c>
      <c r="L145">
        <f t="shared" si="10"/>
        <v>0</v>
      </c>
      <c r="M145">
        <f t="shared" si="11"/>
        <v>0</v>
      </c>
      <c r="N145">
        <v>15</v>
      </c>
    </row>
    <row r="146" spans="1:14" ht="15" customHeight="1" x14ac:dyDescent="0.2">
      <c r="A146" t="s">
        <v>55</v>
      </c>
      <c r="B146" s="22">
        <v>1</v>
      </c>
      <c r="C146" s="22">
        <v>0</v>
      </c>
      <c r="D146" s="22">
        <v>0</v>
      </c>
      <c r="E146" s="22">
        <v>1</v>
      </c>
      <c r="F146" s="22">
        <v>0</v>
      </c>
      <c r="G146" s="22">
        <v>0</v>
      </c>
      <c r="H146" s="22">
        <v>0</v>
      </c>
      <c r="I146" s="22">
        <v>0</v>
      </c>
      <c r="J146">
        <f t="shared" si="8"/>
        <v>0</v>
      </c>
      <c r="K146">
        <f t="shared" si="9"/>
        <v>1</v>
      </c>
      <c r="L146">
        <f t="shared" si="10"/>
        <v>1</v>
      </c>
      <c r="M146">
        <f t="shared" si="11"/>
        <v>0</v>
      </c>
      <c r="N146">
        <v>15</v>
      </c>
    </row>
    <row r="147" spans="1:14" ht="15" customHeight="1" x14ac:dyDescent="0.2">
      <c r="A147" t="s">
        <v>56</v>
      </c>
      <c r="B147" s="22">
        <v>0</v>
      </c>
      <c r="C147" s="22">
        <v>0</v>
      </c>
      <c r="D147" s="22">
        <v>0</v>
      </c>
      <c r="E147" s="22">
        <v>0</v>
      </c>
      <c r="F147" s="22">
        <v>0</v>
      </c>
      <c r="G147" s="22">
        <v>0</v>
      </c>
      <c r="H147" s="22">
        <v>0</v>
      </c>
      <c r="I147" s="22">
        <v>0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  <c r="N147">
        <v>15</v>
      </c>
    </row>
    <row r="148" spans="1:14" ht="15" customHeight="1" x14ac:dyDescent="0.2">
      <c r="A148" t="s">
        <v>57</v>
      </c>
      <c r="B148" s="22">
        <v>0</v>
      </c>
      <c r="C148" s="22">
        <v>0</v>
      </c>
      <c r="D148" s="22">
        <v>0</v>
      </c>
      <c r="E148" s="22">
        <v>3</v>
      </c>
      <c r="F148" s="22">
        <v>0</v>
      </c>
      <c r="G148" s="22">
        <v>0</v>
      </c>
      <c r="H148" s="22">
        <v>1</v>
      </c>
      <c r="I148" s="22">
        <v>1</v>
      </c>
      <c r="J148">
        <f t="shared" si="8"/>
        <v>0</v>
      </c>
      <c r="K148">
        <f t="shared" si="9"/>
        <v>1</v>
      </c>
      <c r="L148">
        <f t="shared" si="10"/>
        <v>3</v>
      </c>
      <c r="M148">
        <f t="shared" si="11"/>
        <v>1</v>
      </c>
      <c r="N148">
        <v>15</v>
      </c>
    </row>
    <row r="149" spans="1:14" ht="15" customHeight="1" x14ac:dyDescent="0.2">
      <c r="A149" t="s">
        <v>58</v>
      </c>
      <c r="B149" s="22">
        <v>2</v>
      </c>
      <c r="C149" s="22">
        <v>0</v>
      </c>
      <c r="D149" s="22">
        <v>1</v>
      </c>
      <c r="E149" s="22">
        <v>1</v>
      </c>
      <c r="F149" s="22">
        <v>0</v>
      </c>
      <c r="G149" s="22">
        <v>0</v>
      </c>
      <c r="H149" s="22">
        <v>0</v>
      </c>
      <c r="I149" s="22">
        <v>0</v>
      </c>
      <c r="J149">
        <f t="shared" si="8"/>
        <v>1</v>
      </c>
      <c r="K149">
        <f t="shared" si="9"/>
        <v>2</v>
      </c>
      <c r="L149">
        <f t="shared" si="10"/>
        <v>1</v>
      </c>
      <c r="M149">
        <f t="shared" si="11"/>
        <v>0</v>
      </c>
      <c r="N149">
        <v>15</v>
      </c>
    </row>
    <row r="150" spans="1:14" ht="15" customHeight="1" x14ac:dyDescent="0.2">
      <c r="A150" t="s">
        <v>59</v>
      </c>
      <c r="B150" s="22">
        <v>0</v>
      </c>
      <c r="C150" s="22">
        <v>0</v>
      </c>
      <c r="D150" s="22">
        <v>1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>
        <f t="shared" si="8"/>
        <v>1</v>
      </c>
      <c r="K150">
        <f t="shared" si="9"/>
        <v>0</v>
      </c>
      <c r="L150">
        <f t="shared" si="10"/>
        <v>0</v>
      </c>
      <c r="M150">
        <f t="shared" si="11"/>
        <v>0</v>
      </c>
      <c r="N150">
        <v>15</v>
      </c>
    </row>
    <row r="151" spans="1:14" ht="15" customHeight="1" x14ac:dyDescent="0.2">
      <c r="A151" t="s">
        <v>60</v>
      </c>
      <c r="B151" s="22">
        <v>0</v>
      </c>
      <c r="C151" s="22">
        <v>0</v>
      </c>
      <c r="D151" s="22">
        <v>0</v>
      </c>
      <c r="E151" s="22">
        <v>0</v>
      </c>
      <c r="F151" s="22">
        <v>0</v>
      </c>
      <c r="G151" s="22">
        <v>0</v>
      </c>
      <c r="H151" s="22">
        <v>0</v>
      </c>
      <c r="I151" s="22">
        <v>0</v>
      </c>
      <c r="J151">
        <f t="shared" si="8"/>
        <v>0</v>
      </c>
      <c r="K151">
        <f t="shared" si="9"/>
        <v>0</v>
      </c>
      <c r="L151">
        <f t="shared" si="10"/>
        <v>0</v>
      </c>
      <c r="M151">
        <f t="shared" si="11"/>
        <v>0</v>
      </c>
      <c r="N151">
        <v>15</v>
      </c>
    </row>
    <row r="152" spans="1:14" ht="15" customHeight="1" x14ac:dyDescent="0.2">
      <c r="A152" t="s">
        <v>61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>
        <f t="shared" si="8"/>
        <v>0</v>
      </c>
      <c r="K152">
        <f t="shared" si="9"/>
        <v>0</v>
      </c>
      <c r="L152">
        <f t="shared" si="10"/>
        <v>0</v>
      </c>
      <c r="M152">
        <f t="shared" si="11"/>
        <v>0</v>
      </c>
      <c r="N152">
        <v>15</v>
      </c>
    </row>
    <row r="153" spans="1:14" ht="15" customHeight="1" x14ac:dyDescent="0.2">
      <c r="A153" t="s">
        <v>62</v>
      </c>
      <c r="B153" s="22">
        <v>0</v>
      </c>
      <c r="C153" s="22">
        <v>0</v>
      </c>
      <c r="D153" s="22">
        <v>1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>
        <f t="shared" si="8"/>
        <v>1</v>
      </c>
      <c r="K153">
        <f t="shared" si="9"/>
        <v>0</v>
      </c>
      <c r="L153">
        <f t="shared" si="10"/>
        <v>0</v>
      </c>
      <c r="M153">
        <f t="shared" si="11"/>
        <v>0</v>
      </c>
      <c r="N153">
        <v>15</v>
      </c>
    </row>
    <row r="154" spans="1:14" ht="15" customHeight="1" x14ac:dyDescent="0.2">
      <c r="A154" t="s">
        <v>63</v>
      </c>
      <c r="B154" s="22">
        <v>0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>
        <f t="shared" si="8"/>
        <v>0</v>
      </c>
      <c r="K154">
        <f t="shared" si="9"/>
        <v>0</v>
      </c>
      <c r="L154">
        <f t="shared" si="10"/>
        <v>0</v>
      </c>
      <c r="M154">
        <f t="shared" si="11"/>
        <v>0</v>
      </c>
      <c r="N154">
        <v>15</v>
      </c>
    </row>
    <row r="155" spans="1:14" ht="15" customHeight="1" x14ac:dyDescent="0.2">
      <c r="A155" t="s">
        <v>64</v>
      </c>
      <c r="B155" s="22">
        <v>0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1</v>
      </c>
      <c r="I155" s="22">
        <v>0</v>
      </c>
      <c r="J155">
        <f t="shared" si="8"/>
        <v>0</v>
      </c>
      <c r="K155">
        <f t="shared" si="9"/>
        <v>1</v>
      </c>
      <c r="L155">
        <f t="shared" si="10"/>
        <v>0</v>
      </c>
      <c r="M155">
        <f t="shared" si="11"/>
        <v>0</v>
      </c>
      <c r="N155">
        <v>15</v>
      </c>
    </row>
    <row r="156" spans="1:14" ht="15" customHeight="1" x14ac:dyDescent="0.2">
      <c r="A156" t="s">
        <v>65</v>
      </c>
      <c r="B156" s="22">
        <v>1</v>
      </c>
      <c r="C156" s="22">
        <v>0</v>
      </c>
      <c r="D156" s="22">
        <v>0</v>
      </c>
      <c r="E156" s="22">
        <v>2</v>
      </c>
      <c r="F156" s="22">
        <v>0</v>
      </c>
      <c r="G156" s="22">
        <v>0</v>
      </c>
      <c r="H156" s="22">
        <v>3</v>
      </c>
      <c r="I156" s="22">
        <v>1</v>
      </c>
      <c r="J156">
        <f t="shared" si="8"/>
        <v>0</v>
      </c>
      <c r="K156">
        <f t="shared" si="9"/>
        <v>4</v>
      </c>
      <c r="L156">
        <f t="shared" si="10"/>
        <v>2</v>
      </c>
      <c r="M156">
        <f t="shared" si="11"/>
        <v>1</v>
      </c>
      <c r="N156">
        <v>15</v>
      </c>
    </row>
    <row r="157" spans="1:14" ht="15" customHeight="1" x14ac:dyDescent="0.2">
      <c r="A157" t="s">
        <v>66</v>
      </c>
      <c r="B157" s="22">
        <v>0</v>
      </c>
      <c r="C157" s="22">
        <v>0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  <c r="N157">
        <v>15</v>
      </c>
    </row>
    <row r="158" spans="1:14" ht="15" customHeight="1" x14ac:dyDescent="0.2">
      <c r="A158" t="s">
        <v>67</v>
      </c>
      <c r="B158" s="22">
        <v>0</v>
      </c>
      <c r="C158" s="22">
        <v>0</v>
      </c>
      <c r="D158" s="22">
        <v>0</v>
      </c>
      <c r="E158" s="22">
        <v>0</v>
      </c>
      <c r="F158" s="22">
        <v>0</v>
      </c>
      <c r="G158" s="22">
        <v>0</v>
      </c>
      <c r="H158" s="22">
        <v>0</v>
      </c>
      <c r="I158" s="22">
        <v>0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0</v>
      </c>
      <c r="N158">
        <v>15</v>
      </c>
    </row>
    <row r="159" spans="1:14" ht="15" customHeight="1" x14ac:dyDescent="0.2">
      <c r="A159" t="s">
        <v>68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>
        <f t="shared" si="8"/>
        <v>0</v>
      </c>
      <c r="K159">
        <f t="shared" si="9"/>
        <v>0</v>
      </c>
      <c r="L159">
        <f t="shared" si="10"/>
        <v>0</v>
      </c>
      <c r="M159">
        <f t="shared" si="11"/>
        <v>0</v>
      </c>
      <c r="N159">
        <v>15</v>
      </c>
    </row>
    <row r="160" spans="1:14" ht="15" customHeight="1" x14ac:dyDescent="0.2">
      <c r="A160" t="s">
        <v>69</v>
      </c>
      <c r="B160" s="22">
        <v>0</v>
      </c>
      <c r="C160" s="22">
        <v>0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>
        <f t="shared" si="8"/>
        <v>0</v>
      </c>
      <c r="K160">
        <f t="shared" si="9"/>
        <v>0</v>
      </c>
      <c r="L160">
        <f t="shared" si="10"/>
        <v>0</v>
      </c>
      <c r="M160">
        <f t="shared" si="11"/>
        <v>0</v>
      </c>
      <c r="N160">
        <v>15</v>
      </c>
    </row>
    <row r="161" spans="1:14" ht="15" customHeight="1" x14ac:dyDescent="0.2">
      <c r="A161" t="s">
        <v>70</v>
      </c>
      <c r="B161" s="22">
        <v>0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  <c r="N161">
        <v>15</v>
      </c>
    </row>
    <row r="162" spans="1:14" ht="15" customHeight="1" x14ac:dyDescent="0.2">
      <c r="A162" t="s">
        <v>71</v>
      </c>
      <c r="B162" s="22">
        <v>0</v>
      </c>
      <c r="C162" s="22">
        <v>1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>
        <f t="shared" si="8"/>
        <v>0</v>
      </c>
      <c r="K162">
        <f t="shared" si="9"/>
        <v>0</v>
      </c>
      <c r="L162">
        <f t="shared" si="10"/>
        <v>0</v>
      </c>
      <c r="M162">
        <f t="shared" si="11"/>
        <v>1</v>
      </c>
      <c r="N162">
        <v>15</v>
      </c>
    </row>
    <row r="163" spans="1:14" ht="15" customHeight="1" x14ac:dyDescent="0.2">
      <c r="A163" t="s">
        <v>72</v>
      </c>
      <c r="B163" s="22">
        <v>0</v>
      </c>
      <c r="C163" s="22">
        <v>0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>
        <f t="shared" si="8"/>
        <v>0</v>
      </c>
      <c r="K163">
        <f t="shared" si="9"/>
        <v>0</v>
      </c>
      <c r="L163">
        <f t="shared" si="10"/>
        <v>0</v>
      </c>
      <c r="M163">
        <f t="shared" si="11"/>
        <v>0</v>
      </c>
      <c r="N163">
        <v>15</v>
      </c>
    </row>
    <row r="164" spans="1:14" ht="15" customHeight="1" x14ac:dyDescent="0.2">
      <c r="A164" t="s">
        <v>73</v>
      </c>
      <c r="B164" s="22">
        <v>0</v>
      </c>
      <c r="C164" s="22">
        <v>0</v>
      </c>
      <c r="D164" s="22">
        <v>0</v>
      </c>
      <c r="E164" s="22">
        <v>0</v>
      </c>
      <c r="F164" s="22">
        <v>1</v>
      </c>
      <c r="G164" s="22">
        <v>0</v>
      </c>
      <c r="H164" s="22">
        <v>2</v>
      </c>
      <c r="I164" s="22">
        <v>0</v>
      </c>
      <c r="J164">
        <f t="shared" si="8"/>
        <v>1</v>
      </c>
      <c r="K164">
        <f t="shared" si="9"/>
        <v>2</v>
      </c>
      <c r="L164">
        <f t="shared" si="10"/>
        <v>0</v>
      </c>
      <c r="M164">
        <f t="shared" si="11"/>
        <v>0</v>
      </c>
      <c r="N164">
        <v>15</v>
      </c>
    </row>
    <row r="165" spans="1:14" ht="15" customHeight="1" x14ac:dyDescent="0.2">
      <c r="A165" t="s">
        <v>74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 s="22">
        <v>1</v>
      </c>
      <c r="I165" s="22">
        <v>0</v>
      </c>
      <c r="J165">
        <f t="shared" si="8"/>
        <v>0</v>
      </c>
      <c r="K165">
        <f t="shared" si="9"/>
        <v>1</v>
      </c>
      <c r="L165">
        <f t="shared" si="10"/>
        <v>0</v>
      </c>
      <c r="M165">
        <f t="shared" si="11"/>
        <v>0</v>
      </c>
      <c r="N165">
        <v>15</v>
      </c>
    </row>
    <row r="166" spans="1:14" ht="15" customHeight="1" x14ac:dyDescent="0.2">
      <c r="A166" t="s">
        <v>75</v>
      </c>
      <c r="B166" s="22">
        <v>0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  <c r="N166">
        <v>15</v>
      </c>
    </row>
    <row r="167" spans="1:14" ht="15" customHeight="1" x14ac:dyDescent="0.2">
      <c r="A167" t="s">
        <v>76</v>
      </c>
      <c r="B167" s="22">
        <v>0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>
        <f t="shared" si="8"/>
        <v>0</v>
      </c>
      <c r="K167">
        <f t="shared" si="9"/>
        <v>0</v>
      </c>
      <c r="L167">
        <f t="shared" si="10"/>
        <v>0</v>
      </c>
      <c r="M167">
        <f t="shared" si="11"/>
        <v>0</v>
      </c>
      <c r="N167">
        <v>15</v>
      </c>
    </row>
    <row r="168" spans="1:14" ht="15" customHeight="1" x14ac:dyDescent="0.2">
      <c r="A168" t="s">
        <v>77</v>
      </c>
      <c r="B168" s="22">
        <v>0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  <c r="N168">
        <v>15</v>
      </c>
    </row>
    <row r="169" spans="1:14" ht="15" customHeight="1" x14ac:dyDescent="0.2">
      <c r="A169" t="s">
        <v>78</v>
      </c>
      <c r="B169" s="22">
        <v>0</v>
      </c>
      <c r="C169" s="22">
        <v>0</v>
      </c>
      <c r="D169" s="22">
        <v>0</v>
      </c>
      <c r="E169" s="22">
        <v>0</v>
      </c>
      <c r="F169" s="22">
        <v>0</v>
      </c>
      <c r="G169" s="22">
        <v>0</v>
      </c>
      <c r="H169" s="22">
        <v>1</v>
      </c>
      <c r="I169" s="22">
        <v>0</v>
      </c>
      <c r="J169">
        <f t="shared" si="8"/>
        <v>0</v>
      </c>
      <c r="K169">
        <f t="shared" si="9"/>
        <v>1</v>
      </c>
      <c r="L169">
        <f t="shared" si="10"/>
        <v>0</v>
      </c>
      <c r="M169">
        <f t="shared" si="11"/>
        <v>0</v>
      </c>
      <c r="N169">
        <v>15</v>
      </c>
    </row>
    <row r="170" spans="1:14" ht="15" customHeight="1" x14ac:dyDescent="0.2">
      <c r="A170" t="s">
        <v>79</v>
      </c>
      <c r="B170" s="22">
        <v>0</v>
      </c>
      <c r="C170" s="22">
        <v>0</v>
      </c>
      <c r="D170" s="22">
        <v>1</v>
      </c>
      <c r="E170" s="22">
        <v>0</v>
      </c>
      <c r="F170" s="22">
        <v>0</v>
      </c>
      <c r="G170" s="22">
        <v>0</v>
      </c>
      <c r="H170" s="22">
        <v>2</v>
      </c>
      <c r="I170" s="22">
        <v>0</v>
      </c>
      <c r="J170">
        <f t="shared" si="8"/>
        <v>1</v>
      </c>
      <c r="K170">
        <f t="shared" si="9"/>
        <v>2</v>
      </c>
      <c r="L170">
        <f t="shared" si="10"/>
        <v>0</v>
      </c>
      <c r="M170">
        <f t="shared" si="11"/>
        <v>0</v>
      </c>
      <c r="N170">
        <v>15</v>
      </c>
    </row>
    <row r="171" spans="1:14" ht="15" customHeight="1" x14ac:dyDescent="0.2">
      <c r="A171" t="s">
        <v>80</v>
      </c>
      <c r="B171" s="22">
        <v>0</v>
      </c>
      <c r="C171" s="22">
        <v>0</v>
      </c>
      <c r="D171" s="22">
        <v>0</v>
      </c>
      <c r="E171" s="22">
        <v>1</v>
      </c>
      <c r="F171" s="22">
        <v>0</v>
      </c>
      <c r="G171" s="22">
        <v>0</v>
      </c>
      <c r="H171" s="22">
        <v>0</v>
      </c>
      <c r="I171" s="22">
        <v>0</v>
      </c>
      <c r="J171">
        <f t="shared" si="8"/>
        <v>0</v>
      </c>
      <c r="K171">
        <f t="shared" si="9"/>
        <v>0</v>
      </c>
      <c r="L171">
        <f t="shared" si="10"/>
        <v>1</v>
      </c>
      <c r="M171">
        <f t="shared" si="11"/>
        <v>0</v>
      </c>
      <c r="N171">
        <v>15</v>
      </c>
    </row>
    <row r="172" spans="1:14" ht="15" customHeight="1" x14ac:dyDescent="0.2">
      <c r="A172" t="s">
        <v>81</v>
      </c>
      <c r="B172" s="22">
        <v>0</v>
      </c>
      <c r="C172" s="22">
        <v>0</v>
      </c>
      <c r="D172" s="22">
        <v>1</v>
      </c>
      <c r="E172" s="22">
        <v>1</v>
      </c>
      <c r="F172" s="22">
        <v>0</v>
      </c>
      <c r="G172" s="22">
        <v>0</v>
      </c>
      <c r="H172" s="22">
        <v>0</v>
      </c>
      <c r="I172" s="22">
        <v>0</v>
      </c>
      <c r="J172">
        <f t="shared" si="8"/>
        <v>1</v>
      </c>
      <c r="K172">
        <f t="shared" si="9"/>
        <v>0</v>
      </c>
      <c r="L172">
        <f t="shared" si="10"/>
        <v>1</v>
      </c>
      <c r="M172">
        <f t="shared" si="11"/>
        <v>0</v>
      </c>
      <c r="N172">
        <v>15</v>
      </c>
    </row>
    <row r="173" spans="1:14" ht="15" customHeight="1" x14ac:dyDescent="0.2">
      <c r="A173" t="s">
        <v>82</v>
      </c>
      <c r="B173" s="22">
        <v>0</v>
      </c>
      <c r="C173" s="22">
        <v>0</v>
      </c>
      <c r="D173" s="22">
        <v>0</v>
      </c>
      <c r="E173" s="22">
        <v>0</v>
      </c>
      <c r="F173" s="22">
        <v>0</v>
      </c>
      <c r="G173" s="22">
        <v>0</v>
      </c>
      <c r="H173" s="22">
        <v>0</v>
      </c>
      <c r="I173" s="22">
        <v>0</v>
      </c>
      <c r="J173">
        <f t="shared" si="8"/>
        <v>0</v>
      </c>
      <c r="K173">
        <f t="shared" si="9"/>
        <v>0</v>
      </c>
      <c r="L173">
        <f t="shared" si="10"/>
        <v>0</v>
      </c>
      <c r="M173">
        <f t="shared" si="11"/>
        <v>0</v>
      </c>
      <c r="N173">
        <v>15</v>
      </c>
    </row>
    <row r="174" spans="1:14" ht="15" customHeight="1" x14ac:dyDescent="0.2">
      <c r="A174" t="s">
        <v>83</v>
      </c>
      <c r="B174" s="22">
        <v>0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>
        <f t="shared" si="8"/>
        <v>0</v>
      </c>
      <c r="K174">
        <f t="shared" si="9"/>
        <v>0</v>
      </c>
      <c r="L174">
        <f t="shared" si="10"/>
        <v>0</v>
      </c>
      <c r="M174">
        <f t="shared" si="11"/>
        <v>0</v>
      </c>
      <c r="N174">
        <v>15</v>
      </c>
    </row>
    <row r="175" spans="1:14" ht="15" customHeight="1" x14ac:dyDescent="0.2">
      <c r="A175" t="s">
        <v>84</v>
      </c>
      <c r="B175" s="22">
        <v>0</v>
      </c>
      <c r="C175" s="22">
        <v>0</v>
      </c>
      <c r="D175" s="22">
        <v>2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>
        <f t="shared" si="8"/>
        <v>2</v>
      </c>
      <c r="K175">
        <f t="shared" si="9"/>
        <v>0</v>
      </c>
      <c r="L175">
        <f t="shared" si="10"/>
        <v>0</v>
      </c>
      <c r="M175">
        <f t="shared" si="11"/>
        <v>0</v>
      </c>
      <c r="N175">
        <v>15</v>
      </c>
    </row>
    <row r="176" spans="1:14" ht="15" customHeight="1" x14ac:dyDescent="0.2">
      <c r="A176" t="s">
        <v>85</v>
      </c>
      <c r="B176" s="22">
        <v>0</v>
      </c>
      <c r="C176" s="22">
        <v>0</v>
      </c>
      <c r="D176" s="22">
        <v>0</v>
      </c>
      <c r="E176" s="22">
        <v>2</v>
      </c>
      <c r="F176" s="22">
        <v>0</v>
      </c>
      <c r="G176" s="22">
        <v>0</v>
      </c>
      <c r="H176" s="22">
        <v>1</v>
      </c>
      <c r="I176" s="22">
        <v>0</v>
      </c>
      <c r="J176">
        <f t="shared" si="8"/>
        <v>0</v>
      </c>
      <c r="K176">
        <f t="shared" si="9"/>
        <v>1</v>
      </c>
      <c r="L176">
        <f t="shared" si="10"/>
        <v>2</v>
      </c>
      <c r="M176">
        <f t="shared" si="11"/>
        <v>0</v>
      </c>
      <c r="N176">
        <v>15</v>
      </c>
    </row>
    <row r="177" spans="1:14" ht="15" customHeight="1" x14ac:dyDescent="0.2">
      <c r="A177" t="s">
        <v>86</v>
      </c>
      <c r="B177" s="22">
        <v>0</v>
      </c>
      <c r="C177" s="22">
        <v>0</v>
      </c>
      <c r="D177" s="22">
        <v>0</v>
      </c>
      <c r="E177" s="22">
        <v>1</v>
      </c>
      <c r="F177" s="22">
        <v>0</v>
      </c>
      <c r="G177" s="22">
        <v>0</v>
      </c>
      <c r="H177" s="22">
        <v>0</v>
      </c>
      <c r="I177" s="22">
        <v>0</v>
      </c>
      <c r="J177">
        <f t="shared" si="8"/>
        <v>0</v>
      </c>
      <c r="K177">
        <f t="shared" si="9"/>
        <v>0</v>
      </c>
      <c r="L177">
        <f t="shared" si="10"/>
        <v>1</v>
      </c>
      <c r="M177">
        <f t="shared" si="11"/>
        <v>0</v>
      </c>
      <c r="N177">
        <v>15</v>
      </c>
    </row>
    <row r="178" spans="1:14" ht="15" customHeight="1" x14ac:dyDescent="0.2">
      <c r="A178" t="s">
        <v>87</v>
      </c>
      <c r="B178" s="22">
        <v>0</v>
      </c>
      <c r="C178" s="22">
        <v>0</v>
      </c>
      <c r="D178" s="22">
        <v>0</v>
      </c>
      <c r="E178" s="22">
        <v>0</v>
      </c>
      <c r="F178" s="22">
        <v>0</v>
      </c>
      <c r="G178" s="22">
        <v>0</v>
      </c>
      <c r="H178" s="22">
        <v>1</v>
      </c>
      <c r="I178" s="22">
        <v>0</v>
      </c>
      <c r="J178">
        <f t="shared" si="8"/>
        <v>0</v>
      </c>
      <c r="K178">
        <f t="shared" si="9"/>
        <v>1</v>
      </c>
      <c r="L178">
        <f t="shared" si="10"/>
        <v>0</v>
      </c>
      <c r="M178">
        <f t="shared" si="11"/>
        <v>0</v>
      </c>
      <c r="N178">
        <v>15</v>
      </c>
    </row>
    <row r="179" spans="1:14" ht="15" customHeight="1" x14ac:dyDescent="0.2">
      <c r="A179" t="s">
        <v>88</v>
      </c>
      <c r="B179" s="22">
        <v>0</v>
      </c>
      <c r="C179" s="22">
        <v>0</v>
      </c>
      <c r="D179" s="22">
        <v>0</v>
      </c>
      <c r="E179" s="22">
        <v>0</v>
      </c>
      <c r="F179" s="22">
        <v>1</v>
      </c>
      <c r="G179" s="22">
        <v>0</v>
      </c>
      <c r="H179" s="22">
        <v>0</v>
      </c>
      <c r="I179" s="22">
        <v>0</v>
      </c>
      <c r="J179">
        <f t="shared" si="8"/>
        <v>1</v>
      </c>
      <c r="K179">
        <f t="shared" si="9"/>
        <v>0</v>
      </c>
      <c r="L179">
        <f t="shared" si="10"/>
        <v>0</v>
      </c>
      <c r="M179">
        <f t="shared" si="11"/>
        <v>0</v>
      </c>
      <c r="N179">
        <v>15</v>
      </c>
    </row>
    <row r="180" spans="1:14" ht="15" customHeight="1" x14ac:dyDescent="0.2">
      <c r="A180" t="s">
        <v>89</v>
      </c>
      <c r="B180" s="22">
        <v>0</v>
      </c>
      <c r="C180" s="22">
        <v>0</v>
      </c>
      <c r="D180" s="22">
        <v>0</v>
      </c>
      <c r="E180" s="22">
        <v>0</v>
      </c>
      <c r="F180" s="22">
        <v>1</v>
      </c>
      <c r="G180" s="22">
        <v>0</v>
      </c>
      <c r="H180" s="22">
        <v>0</v>
      </c>
      <c r="I180" s="22">
        <v>0</v>
      </c>
      <c r="J180">
        <f t="shared" si="8"/>
        <v>1</v>
      </c>
      <c r="K180">
        <f t="shared" si="9"/>
        <v>0</v>
      </c>
      <c r="L180">
        <f t="shared" si="10"/>
        <v>0</v>
      </c>
      <c r="M180">
        <f t="shared" si="11"/>
        <v>0</v>
      </c>
      <c r="N180">
        <v>15</v>
      </c>
    </row>
    <row r="181" spans="1:14" ht="15" customHeight="1" x14ac:dyDescent="0.2">
      <c r="A181" t="s">
        <v>90</v>
      </c>
      <c r="B181" s="22">
        <v>0</v>
      </c>
      <c r="C181" s="22">
        <v>0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  <c r="N181">
        <v>15</v>
      </c>
    </row>
    <row r="182" spans="1:14" ht="15" customHeight="1" x14ac:dyDescent="0.2">
      <c r="A182" t="s">
        <v>91</v>
      </c>
      <c r="B182" s="22">
        <v>0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  <c r="N182">
        <v>15</v>
      </c>
    </row>
    <row r="183" spans="1:14" ht="15" customHeight="1" x14ac:dyDescent="0.2">
      <c r="A183" t="s">
        <v>92</v>
      </c>
      <c r="B183" s="22">
        <v>0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>
        <f t="shared" si="8"/>
        <v>0</v>
      </c>
      <c r="K183">
        <f t="shared" si="9"/>
        <v>0</v>
      </c>
      <c r="L183">
        <f t="shared" si="10"/>
        <v>0</v>
      </c>
      <c r="M183">
        <f t="shared" si="11"/>
        <v>0</v>
      </c>
      <c r="N183">
        <v>15</v>
      </c>
    </row>
    <row r="184" spans="1:14" ht="15" customHeight="1" x14ac:dyDescent="0.2">
      <c r="A184" t="s">
        <v>93</v>
      </c>
      <c r="B184" s="22">
        <v>0</v>
      </c>
      <c r="C184" s="22">
        <v>0</v>
      </c>
      <c r="D184" s="22">
        <v>0</v>
      </c>
      <c r="E184" s="22">
        <v>1</v>
      </c>
      <c r="F184" s="22">
        <v>0</v>
      </c>
      <c r="G184" s="22">
        <v>0</v>
      </c>
      <c r="H184" s="22">
        <v>0</v>
      </c>
      <c r="I184" s="22">
        <v>0</v>
      </c>
      <c r="J184">
        <f t="shared" si="8"/>
        <v>0</v>
      </c>
      <c r="K184">
        <f t="shared" si="9"/>
        <v>0</v>
      </c>
      <c r="L184">
        <f t="shared" si="10"/>
        <v>1</v>
      </c>
      <c r="M184">
        <f t="shared" si="11"/>
        <v>0</v>
      </c>
      <c r="N184">
        <v>15</v>
      </c>
    </row>
    <row r="185" spans="1:14" ht="15" customHeight="1" x14ac:dyDescent="0.2">
      <c r="A185" t="s">
        <v>94</v>
      </c>
      <c r="B185" s="22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  <c r="N185">
        <v>15</v>
      </c>
    </row>
    <row r="186" spans="1:14" ht="15" customHeight="1" x14ac:dyDescent="0.2">
      <c r="A186" t="s">
        <v>95</v>
      </c>
      <c r="B186" s="22">
        <v>0</v>
      </c>
      <c r="C186" s="22">
        <v>0</v>
      </c>
      <c r="D186" s="22">
        <v>0</v>
      </c>
      <c r="E186" s="22">
        <v>1</v>
      </c>
      <c r="F186" s="22">
        <v>0</v>
      </c>
      <c r="G186" s="22">
        <v>0</v>
      </c>
      <c r="H186" s="22">
        <v>1</v>
      </c>
      <c r="I186" s="22">
        <v>0</v>
      </c>
      <c r="J186">
        <f t="shared" si="8"/>
        <v>0</v>
      </c>
      <c r="K186">
        <f t="shared" si="9"/>
        <v>1</v>
      </c>
      <c r="L186">
        <f t="shared" si="10"/>
        <v>1</v>
      </c>
      <c r="M186">
        <f t="shared" si="11"/>
        <v>0</v>
      </c>
      <c r="N186">
        <v>15</v>
      </c>
    </row>
    <row r="187" spans="1:14" ht="15" customHeight="1" x14ac:dyDescent="0.2">
      <c r="A187" t="s">
        <v>96</v>
      </c>
      <c r="B187" s="22">
        <v>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1</v>
      </c>
      <c r="I187" s="22">
        <v>0</v>
      </c>
      <c r="J187">
        <f t="shared" si="8"/>
        <v>0</v>
      </c>
      <c r="K187">
        <f t="shared" si="9"/>
        <v>1</v>
      </c>
      <c r="L187">
        <f t="shared" si="10"/>
        <v>0</v>
      </c>
      <c r="M187">
        <f t="shared" si="11"/>
        <v>0</v>
      </c>
      <c r="N187">
        <v>15</v>
      </c>
    </row>
    <row r="188" spans="1:14" ht="15" customHeight="1" x14ac:dyDescent="0.2">
      <c r="A188" t="s">
        <v>97</v>
      </c>
      <c r="B188" s="22">
        <v>0</v>
      </c>
      <c r="C188" s="22">
        <v>0</v>
      </c>
      <c r="D188" s="22">
        <v>0</v>
      </c>
      <c r="E188" s="22">
        <v>0</v>
      </c>
      <c r="F188" s="22">
        <v>0</v>
      </c>
      <c r="G188" s="22">
        <v>0</v>
      </c>
      <c r="H188" s="22">
        <v>1</v>
      </c>
      <c r="I188" s="22">
        <v>0</v>
      </c>
      <c r="J188">
        <f t="shared" si="8"/>
        <v>0</v>
      </c>
      <c r="K188">
        <f t="shared" si="9"/>
        <v>1</v>
      </c>
      <c r="L188">
        <f t="shared" si="10"/>
        <v>0</v>
      </c>
      <c r="M188">
        <f t="shared" si="11"/>
        <v>0</v>
      </c>
      <c r="N188">
        <v>15</v>
      </c>
    </row>
    <row r="189" spans="1:14" ht="15" customHeight="1" x14ac:dyDescent="0.2">
      <c r="A189" t="s">
        <v>98</v>
      </c>
      <c r="B189" s="22">
        <v>0</v>
      </c>
      <c r="C189" s="22">
        <v>0</v>
      </c>
      <c r="D189" s="22">
        <v>0</v>
      </c>
      <c r="E189" s="22">
        <v>1</v>
      </c>
      <c r="F189" s="22">
        <v>0</v>
      </c>
      <c r="G189" s="22">
        <v>0</v>
      </c>
      <c r="H189" s="22">
        <v>1</v>
      </c>
      <c r="I189" s="22">
        <v>0</v>
      </c>
      <c r="J189">
        <f t="shared" si="8"/>
        <v>0</v>
      </c>
      <c r="K189">
        <f t="shared" si="9"/>
        <v>1</v>
      </c>
      <c r="L189">
        <f t="shared" si="10"/>
        <v>1</v>
      </c>
      <c r="M189">
        <f t="shared" si="11"/>
        <v>0</v>
      </c>
      <c r="N189">
        <v>15</v>
      </c>
    </row>
    <row r="190" spans="1:14" ht="15" customHeight="1" x14ac:dyDescent="0.2">
      <c r="A190" t="s">
        <v>99</v>
      </c>
      <c r="B190" s="22">
        <v>0</v>
      </c>
      <c r="C190" s="22">
        <v>0</v>
      </c>
      <c r="D190" s="22">
        <v>0</v>
      </c>
      <c r="E190" s="22">
        <v>0</v>
      </c>
      <c r="F190" s="22">
        <v>1</v>
      </c>
      <c r="G190" s="22">
        <v>0</v>
      </c>
      <c r="H190" s="22">
        <v>1</v>
      </c>
      <c r="I190" s="22">
        <v>0</v>
      </c>
      <c r="J190">
        <f t="shared" si="8"/>
        <v>1</v>
      </c>
      <c r="K190">
        <f t="shared" si="9"/>
        <v>1</v>
      </c>
      <c r="L190">
        <f t="shared" si="10"/>
        <v>0</v>
      </c>
      <c r="M190">
        <f t="shared" si="11"/>
        <v>0</v>
      </c>
      <c r="N190">
        <v>15</v>
      </c>
    </row>
    <row r="191" spans="1:14" ht="15" customHeight="1" x14ac:dyDescent="0.2">
      <c r="A191" t="s">
        <v>100</v>
      </c>
      <c r="B191" s="22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  <c r="N191">
        <v>15</v>
      </c>
    </row>
    <row r="192" spans="1:14" ht="15" customHeight="1" x14ac:dyDescent="0.2">
      <c r="A192" t="s">
        <v>101</v>
      </c>
      <c r="B192" s="22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  <c r="N192">
        <v>15</v>
      </c>
    </row>
    <row r="193" spans="1:14" ht="15" customHeight="1" x14ac:dyDescent="0.2">
      <c r="A193" t="s">
        <v>102</v>
      </c>
      <c r="B193" s="22">
        <v>0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  <c r="N193">
        <v>15</v>
      </c>
    </row>
    <row r="194" spans="1:14" ht="15" customHeight="1" x14ac:dyDescent="0.2">
      <c r="A194" t="s">
        <v>103</v>
      </c>
      <c r="B194" s="22">
        <v>0</v>
      </c>
      <c r="C194" s="22">
        <v>0</v>
      </c>
      <c r="D194" s="22">
        <v>0</v>
      </c>
      <c r="E194" s="22">
        <v>1</v>
      </c>
      <c r="F194" s="22">
        <v>0</v>
      </c>
      <c r="G194" s="22">
        <v>0</v>
      </c>
      <c r="H194" s="22">
        <v>0</v>
      </c>
      <c r="I194" s="22">
        <v>0</v>
      </c>
      <c r="J194">
        <f t="shared" si="8"/>
        <v>0</v>
      </c>
      <c r="K194">
        <f t="shared" si="9"/>
        <v>0</v>
      </c>
      <c r="L194">
        <f t="shared" si="10"/>
        <v>1</v>
      </c>
      <c r="M194">
        <f t="shared" si="11"/>
        <v>0</v>
      </c>
      <c r="N194">
        <v>15</v>
      </c>
    </row>
    <row r="195" spans="1:14" ht="15" customHeight="1" x14ac:dyDescent="0.2">
      <c r="A195" t="s">
        <v>104</v>
      </c>
      <c r="B195" s="22">
        <v>0</v>
      </c>
      <c r="C195" s="22">
        <v>0</v>
      </c>
      <c r="D195" s="22">
        <v>0</v>
      </c>
      <c r="E195" s="22">
        <v>1</v>
      </c>
      <c r="F195" s="22">
        <v>0</v>
      </c>
      <c r="G195" s="22">
        <v>0</v>
      </c>
      <c r="H195" s="22">
        <v>0</v>
      </c>
      <c r="I195" s="22">
        <v>0</v>
      </c>
      <c r="J195">
        <f t="shared" si="8"/>
        <v>0</v>
      </c>
      <c r="K195">
        <f t="shared" si="9"/>
        <v>0</v>
      </c>
      <c r="L195">
        <f t="shared" si="10"/>
        <v>1</v>
      </c>
      <c r="M195">
        <f t="shared" si="11"/>
        <v>0</v>
      </c>
      <c r="N195">
        <v>15</v>
      </c>
    </row>
    <row r="196" spans="1:14" ht="15" customHeight="1" x14ac:dyDescent="0.2">
      <c r="A196" t="s">
        <v>105</v>
      </c>
      <c r="B196" s="22">
        <v>0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  <c r="N196">
        <v>15</v>
      </c>
    </row>
    <row r="197" spans="1:14" ht="15" customHeight="1" x14ac:dyDescent="0.2">
      <c r="A197" t="s">
        <v>106</v>
      </c>
      <c r="B197" s="22">
        <v>0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  <c r="N197">
        <v>15</v>
      </c>
    </row>
    <row r="198" spans="1:14" ht="15" customHeight="1" x14ac:dyDescent="0.2">
      <c r="A198" t="s">
        <v>107</v>
      </c>
      <c r="B198" s="22">
        <v>0</v>
      </c>
      <c r="C198" s="22">
        <v>0</v>
      </c>
      <c r="D198" s="22">
        <v>1</v>
      </c>
      <c r="E198" s="22">
        <v>0</v>
      </c>
      <c r="F198" s="22">
        <v>0</v>
      </c>
      <c r="G198" s="22">
        <v>0</v>
      </c>
      <c r="H198" s="22">
        <v>1</v>
      </c>
      <c r="I198" s="22">
        <v>1</v>
      </c>
      <c r="J198">
        <f t="shared" si="8"/>
        <v>1</v>
      </c>
      <c r="K198">
        <f t="shared" si="9"/>
        <v>1</v>
      </c>
      <c r="L198">
        <f t="shared" si="10"/>
        <v>0</v>
      </c>
      <c r="M198">
        <f t="shared" si="11"/>
        <v>1</v>
      </c>
      <c r="N198">
        <v>15</v>
      </c>
    </row>
    <row r="199" spans="1:14" ht="15" customHeight="1" x14ac:dyDescent="0.2">
      <c r="A199" t="s">
        <v>108</v>
      </c>
      <c r="B199" s="22">
        <v>0</v>
      </c>
      <c r="C199" s="22">
        <v>0</v>
      </c>
      <c r="D199" s="22">
        <v>0</v>
      </c>
      <c r="E199" s="22">
        <v>0</v>
      </c>
      <c r="F199" s="22">
        <v>0</v>
      </c>
      <c r="G199" s="22">
        <v>0</v>
      </c>
      <c r="H199" s="22">
        <v>0</v>
      </c>
      <c r="I199" s="22">
        <v>0</v>
      </c>
      <c r="J199">
        <f t="shared" si="8"/>
        <v>0</v>
      </c>
      <c r="K199">
        <f t="shared" si="9"/>
        <v>0</v>
      </c>
      <c r="L199">
        <f t="shared" si="10"/>
        <v>0</v>
      </c>
      <c r="M199">
        <f t="shared" si="11"/>
        <v>0</v>
      </c>
      <c r="N199">
        <v>15</v>
      </c>
    </row>
    <row r="200" spans="1:14" ht="15" customHeight="1" x14ac:dyDescent="0.2">
      <c r="A200" t="s">
        <v>109</v>
      </c>
      <c r="B200" s="22">
        <v>0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1</v>
      </c>
      <c r="I200" s="22">
        <v>0</v>
      </c>
      <c r="J200">
        <f t="shared" si="8"/>
        <v>0</v>
      </c>
      <c r="K200">
        <f t="shared" si="9"/>
        <v>1</v>
      </c>
      <c r="L200">
        <f t="shared" si="10"/>
        <v>0</v>
      </c>
      <c r="M200">
        <f t="shared" si="11"/>
        <v>0</v>
      </c>
      <c r="N200">
        <v>15</v>
      </c>
    </row>
    <row r="201" spans="1:14" ht="15" customHeight="1" x14ac:dyDescent="0.2">
      <c r="A201" t="s">
        <v>110</v>
      </c>
      <c r="B201" s="22">
        <v>0</v>
      </c>
      <c r="C201" s="22">
        <v>0</v>
      </c>
      <c r="D201" s="22">
        <v>1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>
        <f t="shared" si="8"/>
        <v>1</v>
      </c>
      <c r="K201">
        <f t="shared" si="9"/>
        <v>0</v>
      </c>
      <c r="L201">
        <f t="shared" si="10"/>
        <v>0</v>
      </c>
      <c r="M201">
        <f t="shared" si="11"/>
        <v>0</v>
      </c>
      <c r="N201">
        <v>15</v>
      </c>
    </row>
    <row r="202" spans="1:14" ht="15" customHeight="1" x14ac:dyDescent="0.2">
      <c r="B202">
        <f t="shared" ref="B202:N202" si="12">SUM(B10:B201)</f>
        <v>7</v>
      </c>
      <c r="C202">
        <f t="shared" si="12"/>
        <v>5</v>
      </c>
      <c r="D202">
        <f t="shared" si="12"/>
        <v>24</v>
      </c>
      <c r="E202">
        <f t="shared" si="12"/>
        <v>39</v>
      </c>
      <c r="F202">
        <f t="shared" si="12"/>
        <v>12</v>
      </c>
      <c r="G202">
        <f t="shared" si="12"/>
        <v>4</v>
      </c>
      <c r="H202">
        <f t="shared" si="12"/>
        <v>37</v>
      </c>
      <c r="I202">
        <f t="shared" si="12"/>
        <v>4</v>
      </c>
      <c r="J202">
        <f t="shared" si="12"/>
        <v>36</v>
      </c>
      <c r="K202">
        <f t="shared" si="12"/>
        <v>44</v>
      </c>
      <c r="L202">
        <f t="shared" si="12"/>
        <v>43</v>
      </c>
      <c r="M202">
        <f t="shared" si="12"/>
        <v>9</v>
      </c>
      <c r="N202" s="80">
        <f t="shared" si="12"/>
        <v>2880</v>
      </c>
    </row>
    <row r="204" spans="1:14" ht="15" customHeight="1" x14ac:dyDescent="0.2">
      <c r="K204" s="88" t="s">
        <v>212</v>
      </c>
      <c r="L204" s="6">
        <f>SUM(L38:L89,L134:L185)</f>
        <v>25</v>
      </c>
      <c r="N204" s="28">
        <f>SUM(N38:N89,N134:N185)/60</f>
        <v>26</v>
      </c>
    </row>
    <row r="205" spans="1:14" ht="15" customHeight="1" x14ac:dyDescent="0.2">
      <c r="K205" s="88" t="s">
        <v>213</v>
      </c>
      <c r="L205" s="6">
        <f>L202-L204</f>
        <v>18</v>
      </c>
      <c r="N205" s="28">
        <f>48-N204</f>
        <v>22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pane xSplit="1" ySplit="9" topLeftCell="B190" activePane="bottomRight" state="frozen"/>
      <selection pane="topRight" activeCell="B1" sqref="B1"/>
      <selection pane="bottomLeft" activeCell="A10" sqref="A10"/>
      <selection pane="bottomRight" activeCell="K204" sqref="K204:L205"/>
    </sheetView>
  </sheetViews>
  <sheetFormatPr defaultColWidth="12.140625" defaultRowHeight="15" customHeight="1" x14ac:dyDescent="0.2"/>
  <cols>
    <col min="1" max="1" width="12.140625" bestFit="1" customWidth="1"/>
    <col min="2" max="5" width="10.85546875" customWidth="1"/>
    <col min="6" max="9" width="10.42578125" customWidth="1"/>
    <col min="10" max="10" width="10.7109375" customWidth="1"/>
  </cols>
  <sheetData>
    <row r="1" spans="1:13" ht="15" customHeight="1" x14ac:dyDescent="0.3">
      <c r="A1" s="111" t="s">
        <v>0</v>
      </c>
      <c r="B1" s="111"/>
      <c r="C1" s="112" t="s">
        <v>176</v>
      </c>
      <c r="D1" s="112"/>
      <c r="E1" s="112"/>
      <c r="F1" s="112"/>
      <c r="G1" s="112"/>
      <c r="H1" s="112"/>
      <c r="I1" s="112"/>
    </row>
    <row r="2" spans="1:13" ht="15" customHeight="1" x14ac:dyDescent="0.3">
      <c r="A2" s="111" t="s">
        <v>2</v>
      </c>
      <c r="B2" s="111"/>
      <c r="C2" s="112" t="s">
        <v>175</v>
      </c>
      <c r="D2" s="112"/>
      <c r="E2" s="112"/>
      <c r="F2" s="112"/>
      <c r="G2" s="112"/>
      <c r="H2" s="112"/>
      <c r="I2" s="112"/>
    </row>
    <row r="3" spans="1:13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</row>
    <row r="4" spans="1:13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</row>
    <row r="7" spans="1:13" s="1" customFormat="1" ht="31.5" customHeight="1" x14ac:dyDescent="0.3">
      <c r="A7" s="2" t="s">
        <v>8</v>
      </c>
      <c r="B7" s="3" t="s">
        <v>177</v>
      </c>
      <c r="C7" s="3" t="s">
        <v>9</v>
      </c>
      <c r="D7" s="3" t="s">
        <v>178</v>
      </c>
      <c r="E7" s="3" t="s">
        <v>11</v>
      </c>
      <c r="F7" s="3" t="s">
        <v>177</v>
      </c>
      <c r="G7" s="3" t="s">
        <v>9</v>
      </c>
      <c r="H7" s="3" t="s">
        <v>178</v>
      </c>
      <c r="I7" s="3" t="s">
        <v>11</v>
      </c>
    </row>
    <row r="8" spans="1:13" s="1" customFormat="1" ht="15" customHeight="1" x14ac:dyDescent="0.3">
      <c r="A8" s="2" t="s">
        <v>13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15</v>
      </c>
      <c r="G8" s="3" t="s">
        <v>15</v>
      </c>
      <c r="H8" s="3" t="s">
        <v>15</v>
      </c>
      <c r="I8" s="3" t="s">
        <v>15</v>
      </c>
    </row>
    <row r="9" spans="1:13" s="1" customFormat="1" ht="30" customHeight="1" x14ac:dyDescent="0.2">
      <c r="B9" s="16" t="s">
        <v>120</v>
      </c>
      <c r="C9" s="17" t="s">
        <v>111</v>
      </c>
      <c r="D9" s="16" t="s">
        <v>121</v>
      </c>
      <c r="E9" s="17" t="s">
        <v>113</v>
      </c>
      <c r="F9" s="16" t="s">
        <v>121</v>
      </c>
      <c r="G9" s="17" t="s">
        <v>113</v>
      </c>
      <c r="H9" s="16" t="s">
        <v>120</v>
      </c>
      <c r="I9" s="17" t="s">
        <v>111</v>
      </c>
      <c r="J9" s="17" t="s">
        <v>113</v>
      </c>
      <c r="K9" s="17" t="s">
        <v>111</v>
      </c>
      <c r="L9" s="92" t="s">
        <v>121</v>
      </c>
      <c r="M9" s="16" t="s">
        <v>120</v>
      </c>
    </row>
    <row r="10" spans="1:13" ht="15" customHeight="1" x14ac:dyDescent="0.2">
      <c r="A10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>
        <f>SUM(E10,G10)</f>
        <v>0</v>
      </c>
      <c r="K10">
        <f>SUM(C10,I10)</f>
        <v>0</v>
      </c>
      <c r="L10">
        <f>SUM(D10,F10)</f>
        <v>0</v>
      </c>
      <c r="M10">
        <f>SUM(B10,H10)</f>
        <v>0</v>
      </c>
    </row>
    <row r="11" spans="1:13" ht="15" customHeight="1" x14ac:dyDescent="0.2">
      <c r="A11" t="s">
        <v>16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>
        <f t="shared" ref="J11:J74" si="0">SUM(E11,G11)</f>
        <v>0</v>
      </c>
      <c r="K11">
        <f t="shared" ref="K11:K74" si="1">SUM(C11,I11)</f>
        <v>0</v>
      </c>
      <c r="L11">
        <f t="shared" ref="L11:L74" si="2">SUM(D11,F11)</f>
        <v>0</v>
      </c>
      <c r="M11">
        <f t="shared" ref="M11:M74" si="3">SUM(B11,H11)</f>
        <v>0</v>
      </c>
    </row>
    <row r="12" spans="1:13" ht="15" customHeight="1" x14ac:dyDescent="0.2">
      <c r="A12" t="s">
        <v>17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">
      <c r="A13" t="s">
        <v>18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">
      <c r="A14" t="s">
        <v>19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">
      <c r="A15" t="s">
        <v>20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">
      <c r="A16" t="s">
        <v>21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">
      <c r="A17" t="s">
        <v>22</v>
      </c>
      <c r="B17" s="22">
        <v>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</row>
    <row r="18" spans="1:13" ht="15" customHeight="1" x14ac:dyDescent="0.2">
      <c r="A18" t="s">
        <v>23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">
      <c r="A19" t="s">
        <v>24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 ht="15" customHeight="1" x14ac:dyDescent="0.2">
      <c r="A20" t="s">
        <v>25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 ht="15" customHeight="1" x14ac:dyDescent="0.2">
      <c r="A21" t="s">
        <v>26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">
      <c r="A22" t="s">
        <v>27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">
      <c r="A23" t="s">
        <v>28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">
      <c r="A24" t="s">
        <v>29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">
      <c r="A25" t="s">
        <v>30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ht="15" customHeight="1" x14ac:dyDescent="0.2">
      <c r="A26" t="s">
        <v>31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">
      <c r="A27" t="s">
        <v>32</v>
      </c>
      <c r="B27" s="22">
        <v>0</v>
      </c>
      <c r="C27" s="22">
        <v>0</v>
      </c>
      <c r="D27" s="22">
        <v>2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>
        <f t="shared" si="0"/>
        <v>0</v>
      </c>
      <c r="K27">
        <f t="shared" si="1"/>
        <v>0</v>
      </c>
      <c r="L27">
        <f t="shared" si="2"/>
        <v>2</v>
      </c>
      <c r="M27">
        <f t="shared" si="3"/>
        <v>0</v>
      </c>
    </row>
    <row r="28" spans="1:13" ht="15" customHeight="1" x14ac:dyDescent="0.2">
      <c r="A28" t="s">
        <v>33</v>
      </c>
      <c r="B28" s="22">
        <v>0</v>
      </c>
      <c r="C28" s="22">
        <v>0</v>
      </c>
      <c r="D28" s="22">
        <v>1</v>
      </c>
      <c r="E28" s="22">
        <v>0</v>
      </c>
      <c r="F28" s="22">
        <v>0</v>
      </c>
      <c r="G28" s="22">
        <v>0</v>
      </c>
      <c r="H28" s="22">
        <v>1</v>
      </c>
      <c r="I28" s="22">
        <v>0</v>
      </c>
      <c r="J28">
        <f t="shared" si="0"/>
        <v>0</v>
      </c>
      <c r="K28">
        <f t="shared" si="1"/>
        <v>0</v>
      </c>
      <c r="L28">
        <f t="shared" si="2"/>
        <v>1</v>
      </c>
      <c r="M28">
        <f t="shared" si="3"/>
        <v>1</v>
      </c>
    </row>
    <row r="29" spans="1:13" ht="15" customHeight="1" x14ac:dyDescent="0.2">
      <c r="A29" t="s">
        <v>34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">
      <c r="A30" t="s">
        <v>35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1</v>
      </c>
      <c r="H30" s="22">
        <v>0</v>
      </c>
      <c r="I30" s="22">
        <v>0</v>
      </c>
      <c r="J30">
        <f t="shared" si="0"/>
        <v>1</v>
      </c>
      <c r="K30">
        <f t="shared" si="1"/>
        <v>0</v>
      </c>
      <c r="L30">
        <f t="shared" si="2"/>
        <v>0</v>
      </c>
      <c r="M30">
        <f t="shared" si="3"/>
        <v>0</v>
      </c>
    </row>
    <row r="31" spans="1:13" ht="15" customHeight="1" x14ac:dyDescent="0.2">
      <c r="A31" t="s">
        <v>36</v>
      </c>
      <c r="B31" s="22">
        <v>0</v>
      </c>
      <c r="C31" s="22">
        <v>0</v>
      </c>
      <c r="D31" s="22">
        <v>2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>
        <f t="shared" si="0"/>
        <v>0</v>
      </c>
      <c r="K31">
        <f t="shared" si="1"/>
        <v>0</v>
      </c>
      <c r="L31">
        <f t="shared" si="2"/>
        <v>2</v>
      </c>
      <c r="M31">
        <f t="shared" si="3"/>
        <v>0</v>
      </c>
    </row>
    <row r="32" spans="1:13" ht="15" customHeight="1" x14ac:dyDescent="0.2">
      <c r="A32" t="s">
        <v>37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</row>
    <row r="33" spans="1:13" ht="15" customHeight="1" x14ac:dyDescent="0.2">
      <c r="A33" t="s">
        <v>38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>
        <f t="shared" si="0"/>
        <v>0</v>
      </c>
      <c r="K33">
        <f t="shared" si="1"/>
        <v>0</v>
      </c>
      <c r="L33">
        <f t="shared" si="2"/>
        <v>0</v>
      </c>
      <c r="M33">
        <f t="shared" si="3"/>
        <v>0</v>
      </c>
    </row>
    <row r="34" spans="1:13" ht="15" customHeight="1" x14ac:dyDescent="0.2">
      <c r="A34" t="s">
        <v>39</v>
      </c>
      <c r="B34" s="22">
        <v>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>
        <f t="shared" si="0"/>
        <v>0</v>
      </c>
      <c r="K34">
        <f t="shared" si="1"/>
        <v>0</v>
      </c>
      <c r="L34">
        <f t="shared" si="2"/>
        <v>0</v>
      </c>
      <c r="M34">
        <f t="shared" si="3"/>
        <v>0</v>
      </c>
    </row>
    <row r="35" spans="1:13" ht="15" customHeight="1" x14ac:dyDescent="0.2">
      <c r="A35" t="s">
        <v>40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>
        <f t="shared" si="0"/>
        <v>0</v>
      </c>
      <c r="K35">
        <f t="shared" si="1"/>
        <v>0</v>
      </c>
      <c r="L35">
        <f t="shared" si="2"/>
        <v>0</v>
      </c>
      <c r="M35">
        <f t="shared" si="3"/>
        <v>0</v>
      </c>
    </row>
    <row r="36" spans="1:13" ht="15" customHeight="1" x14ac:dyDescent="0.2">
      <c r="A36" t="s">
        <v>41</v>
      </c>
      <c r="B36" s="22">
        <v>0</v>
      </c>
      <c r="C36" s="22">
        <v>0</v>
      </c>
      <c r="D36" s="22">
        <v>1</v>
      </c>
      <c r="E36" s="22">
        <v>0</v>
      </c>
      <c r="F36" s="22">
        <v>2</v>
      </c>
      <c r="G36" s="22">
        <v>0</v>
      </c>
      <c r="H36" s="22">
        <v>1</v>
      </c>
      <c r="I36" s="22">
        <v>0</v>
      </c>
      <c r="J36">
        <f t="shared" si="0"/>
        <v>0</v>
      </c>
      <c r="K36">
        <f t="shared" si="1"/>
        <v>0</v>
      </c>
      <c r="L36">
        <f t="shared" si="2"/>
        <v>3</v>
      </c>
      <c r="M36">
        <f t="shared" si="3"/>
        <v>1</v>
      </c>
    </row>
    <row r="37" spans="1:13" ht="15" customHeight="1" x14ac:dyDescent="0.2">
      <c r="A37" t="s">
        <v>42</v>
      </c>
      <c r="B37" s="22">
        <v>0</v>
      </c>
      <c r="C37" s="22">
        <v>1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>
        <f t="shared" si="0"/>
        <v>0</v>
      </c>
      <c r="K37">
        <f t="shared" si="1"/>
        <v>1</v>
      </c>
      <c r="L37">
        <f t="shared" si="2"/>
        <v>0</v>
      </c>
      <c r="M37">
        <f t="shared" si="3"/>
        <v>0</v>
      </c>
    </row>
    <row r="38" spans="1:13" ht="15" customHeight="1" x14ac:dyDescent="0.2">
      <c r="A38" t="s">
        <v>43</v>
      </c>
      <c r="B38" s="22">
        <v>0</v>
      </c>
      <c r="C38" s="22">
        <v>0</v>
      </c>
      <c r="D38" s="22">
        <v>0</v>
      </c>
      <c r="E38" s="22">
        <v>0</v>
      </c>
      <c r="F38" s="22">
        <v>0</v>
      </c>
      <c r="G38" s="22">
        <v>1</v>
      </c>
      <c r="H38" s="22">
        <v>0</v>
      </c>
      <c r="I38" s="22">
        <v>0</v>
      </c>
      <c r="J38">
        <f t="shared" si="0"/>
        <v>1</v>
      </c>
      <c r="K38">
        <f t="shared" si="1"/>
        <v>0</v>
      </c>
      <c r="L38">
        <f t="shared" si="2"/>
        <v>0</v>
      </c>
      <c r="M38">
        <f t="shared" si="3"/>
        <v>0</v>
      </c>
    </row>
    <row r="39" spans="1:13" ht="15" customHeight="1" x14ac:dyDescent="0.2">
      <c r="A39" t="s">
        <v>44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0</v>
      </c>
    </row>
    <row r="40" spans="1:13" ht="15" customHeight="1" x14ac:dyDescent="0.2">
      <c r="A40" t="s">
        <v>45</v>
      </c>
      <c r="B40" s="22">
        <v>0</v>
      </c>
      <c r="C40" s="22">
        <v>0</v>
      </c>
      <c r="D40" s="22">
        <v>1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>
        <f t="shared" si="0"/>
        <v>0</v>
      </c>
      <c r="K40">
        <f t="shared" si="1"/>
        <v>0</v>
      </c>
      <c r="L40">
        <f t="shared" si="2"/>
        <v>1</v>
      </c>
      <c r="M40">
        <f t="shared" si="3"/>
        <v>0</v>
      </c>
    </row>
    <row r="41" spans="1:13" ht="15" customHeight="1" x14ac:dyDescent="0.2">
      <c r="A41" t="s">
        <v>46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>
        <f t="shared" si="0"/>
        <v>0</v>
      </c>
      <c r="K41">
        <f t="shared" si="1"/>
        <v>0</v>
      </c>
      <c r="L41">
        <f t="shared" si="2"/>
        <v>0</v>
      </c>
      <c r="M41">
        <f t="shared" si="3"/>
        <v>0</v>
      </c>
    </row>
    <row r="42" spans="1:13" ht="15" customHeight="1" x14ac:dyDescent="0.2">
      <c r="A42" t="s">
        <v>47</v>
      </c>
      <c r="B42" s="22">
        <v>0</v>
      </c>
      <c r="C42" s="22">
        <v>0</v>
      </c>
      <c r="D42" s="22">
        <v>1</v>
      </c>
      <c r="E42" s="22">
        <v>0</v>
      </c>
      <c r="F42" s="22">
        <v>1</v>
      </c>
      <c r="G42" s="22">
        <v>0</v>
      </c>
      <c r="H42" s="22">
        <v>1</v>
      </c>
      <c r="I42" s="22">
        <v>0</v>
      </c>
      <c r="J42">
        <f t="shared" si="0"/>
        <v>0</v>
      </c>
      <c r="K42">
        <f t="shared" si="1"/>
        <v>0</v>
      </c>
      <c r="L42">
        <f t="shared" si="2"/>
        <v>2</v>
      </c>
      <c r="M42">
        <f t="shared" si="3"/>
        <v>1</v>
      </c>
    </row>
    <row r="43" spans="1:13" ht="15" customHeight="1" x14ac:dyDescent="0.2">
      <c r="A43" t="s">
        <v>48</v>
      </c>
      <c r="B43" s="22">
        <v>0</v>
      </c>
      <c r="C43" s="22">
        <v>0</v>
      </c>
      <c r="D43" s="22">
        <v>0</v>
      </c>
      <c r="E43" s="22">
        <v>0</v>
      </c>
      <c r="F43" s="22">
        <v>1</v>
      </c>
      <c r="G43" s="22">
        <v>0</v>
      </c>
      <c r="H43" s="22">
        <v>1</v>
      </c>
      <c r="I43" s="22">
        <v>0</v>
      </c>
      <c r="J43">
        <f t="shared" si="0"/>
        <v>0</v>
      </c>
      <c r="K43">
        <f t="shared" si="1"/>
        <v>0</v>
      </c>
      <c r="L43">
        <f t="shared" si="2"/>
        <v>1</v>
      </c>
      <c r="M43">
        <f t="shared" si="3"/>
        <v>1</v>
      </c>
    </row>
    <row r="44" spans="1:13" ht="15" customHeight="1" x14ac:dyDescent="0.2">
      <c r="A44" t="s">
        <v>49</v>
      </c>
      <c r="B44" s="22">
        <v>0</v>
      </c>
      <c r="C44" s="22">
        <v>0</v>
      </c>
      <c r="D44" s="22">
        <v>2</v>
      </c>
      <c r="E44" s="22">
        <v>0</v>
      </c>
      <c r="F44" s="22">
        <v>1</v>
      </c>
      <c r="G44" s="22">
        <v>0</v>
      </c>
      <c r="H44" s="22">
        <v>0</v>
      </c>
      <c r="I44" s="22">
        <v>0</v>
      </c>
      <c r="J44">
        <f t="shared" si="0"/>
        <v>0</v>
      </c>
      <c r="K44">
        <f t="shared" si="1"/>
        <v>0</v>
      </c>
      <c r="L44">
        <f t="shared" si="2"/>
        <v>3</v>
      </c>
      <c r="M44">
        <f t="shared" si="3"/>
        <v>0</v>
      </c>
    </row>
    <row r="45" spans="1:13" ht="15" customHeight="1" x14ac:dyDescent="0.2">
      <c r="A45" t="s">
        <v>50</v>
      </c>
      <c r="B45" s="22">
        <v>0</v>
      </c>
      <c r="C45" s="22">
        <v>2</v>
      </c>
      <c r="D45" s="22">
        <v>0</v>
      </c>
      <c r="E45" s="22">
        <v>0</v>
      </c>
      <c r="F45" s="22">
        <v>3</v>
      </c>
      <c r="G45" s="22">
        <v>0</v>
      </c>
      <c r="H45" s="22">
        <v>0</v>
      </c>
      <c r="I45" s="22">
        <v>0</v>
      </c>
      <c r="J45">
        <f t="shared" si="0"/>
        <v>0</v>
      </c>
      <c r="K45">
        <f t="shared" si="1"/>
        <v>2</v>
      </c>
      <c r="L45">
        <f t="shared" si="2"/>
        <v>3</v>
      </c>
      <c r="M45">
        <f t="shared" si="3"/>
        <v>0</v>
      </c>
    </row>
    <row r="46" spans="1:13" ht="15" customHeight="1" x14ac:dyDescent="0.2">
      <c r="A46" t="s">
        <v>51</v>
      </c>
      <c r="B46" s="22">
        <v>0</v>
      </c>
      <c r="C46" s="22">
        <v>0</v>
      </c>
      <c r="D46" s="22">
        <v>0</v>
      </c>
      <c r="E46" s="22">
        <v>0</v>
      </c>
      <c r="F46" s="22">
        <v>1</v>
      </c>
      <c r="G46" s="22">
        <v>0</v>
      </c>
      <c r="H46" s="22">
        <v>0</v>
      </c>
      <c r="I46" s="22">
        <v>0</v>
      </c>
      <c r="J46">
        <f t="shared" si="0"/>
        <v>0</v>
      </c>
      <c r="K46">
        <f t="shared" si="1"/>
        <v>0</v>
      </c>
      <c r="L46">
        <f t="shared" si="2"/>
        <v>1</v>
      </c>
      <c r="M46">
        <f t="shared" si="3"/>
        <v>0</v>
      </c>
    </row>
    <row r="47" spans="1:13" ht="15" customHeight="1" x14ac:dyDescent="0.2">
      <c r="A47" t="s">
        <v>52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">
      <c r="A48" t="s">
        <v>53</v>
      </c>
      <c r="B48" s="22">
        <v>0</v>
      </c>
      <c r="C48" s="22">
        <v>0</v>
      </c>
      <c r="D48" s="22">
        <v>2</v>
      </c>
      <c r="E48" s="22">
        <v>0</v>
      </c>
      <c r="F48" s="22">
        <v>3</v>
      </c>
      <c r="G48" s="22">
        <v>2</v>
      </c>
      <c r="H48" s="22">
        <v>0</v>
      </c>
      <c r="I48" s="22">
        <v>0</v>
      </c>
      <c r="J48">
        <f t="shared" si="0"/>
        <v>2</v>
      </c>
      <c r="K48">
        <f t="shared" si="1"/>
        <v>0</v>
      </c>
      <c r="L48">
        <f t="shared" si="2"/>
        <v>5</v>
      </c>
      <c r="M48">
        <f t="shared" si="3"/>
        <v>0</v>
      </c>
    </row>
    <row r="49" spans="1:13" ht="15" customHeight="1" x14ac:dyDescent="0.2">
      <c r="A49" t="s">
        <v>54</v>
      </c>
      <c r="B49" s="22">
        <v>0</v>
      </c>
      <c r="C49" s="22">
        <v>0</v>
      </c>
      <c r="D49" s="22">
        <v>1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>
        <f t="shared" si="0"/>
        <v>0</v>
      </c>
      <c r="K49">
        <f t="shared" si="1"/>
        <v>0</v>
      </c>
      <c r="L49">
        <f t="shared" si="2"/>
        <v>1</v>
      </c>
      <c r="M49">
        <f t="shared" si="3"/>
        <v>0</v>
      </c>
    </row>
    <row r="50" spans="1:13" ht="15" customHeight="1" x14ac:dyDescent="0.2">
      <c r="A50" t="s">
        <v>55</v>
      </c>
      <c r="B50" s="22">
        <v>0</v>
      </c>
      <c r="C50" s="22">
        <v>0</v>
      </c>
      <c r="D50" s="22">
        <v>0</v>
      </c>
      <c r="E50" s="22">
        <v>0</v>
      </c>
      <c r="F50" s="22">
        <v>2</v>
      </c>
      <c r="G50" s="22">
        <v>0</v>
      </c>
      <c r="H50" s="22">
        <v>0</v>
      </c>
      <c r="I50" s="22">
        <v>0</v>
      </c>
      <c r="J50">
        <f t="shared" si="0"/>
        <v>0</v>
      </c>
      <c r="K50">
        <f t="shared" si="1"/>
        <v>0</v>
      </c>
      <c r="L50">
        <f t="shared" si="2"/>
        <v>2</v>
      </c>
      <c r="M50">
        <f t="shared" si="3"/>
        <v>0</v>
      </c>
    </row>
    <row r="51" spans="1:13" ht="15" customHeight="1" x14ac:dyDescent="0.2">
      <c r="A51" t="s">
        <v>56</v>
      </c>
      <c r="B51" s="22">
        <v>0</v>
      </c>
      <c r="C51" s="22">
        <v>0</v>
      </c>
      <c r="D51" s="22">
        <v>1</v>
      </c>
      <c r="E51" s="22">
        <v>0</v>
      </c>
      <c r="F51" s="22">
        <v>1</v>
      </c>
      <c r="G51" s="22">
        <v>0</v>
      </c>
      <c r="H51" s="22">
        <v>0</v>
      </c>
      <c r="I51" s="22">
        <v>0</v>
      </c>
      <c r="J51">
        <f t="shared" si="0"/>
        <v>0</v>
      </c>
      <c r="K51">
        <f t="shared" si="1"/>
        <v>0</v>
      </c>
      <c r="L51">
        <f t="shared" si="2"/>
        <v>2</v>
      </c>
      <c r="M51">
        <f t="shared" si="3"/>
        <v>0</v>
      </c>
    </row>
    <row r="52" spans="1:13" ht="15" customHeight="1" x14ac:dyDescent="0.2">
      <c r="A52" t="s">
        <v>57</v>
      </c>
      <c r="B52" s="22">
        <v>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">
      <c r="A53" t="s">
        <v>58</v>
      </c>
      <c r="B53" s="22">
        <v>0</v>
      </c>
      <c r="C53" s="22">
        <v>0</v>
      </c>
      <c r="D53" s="22">
        <v>0</v>
      </c>
      <c r="E53" s="22">
        <v>0</v>
      </c>
      <c r="F53" s="22">
        <v>1</v>
      </c>
      <c r="G53" s="22">
        <v>0</v>
      </c>
      <c r="H53" s="22">
        <v>0</v>
      </c>
      <c r="I53" s="22">
        <v>0</v>
      </c>
      <c r="J53">
        <f t="shared" si="0"/>
        <v>0</v>
      </c>
      <c r="K53">
        <f t="shared" si="1"/>
        <v>0</v>
      </c>
      <c r="L53">
        <f t="shared" si="2"/>
        <v>1</v>
      </c>
      <c r="M53">
        <f t="shared" si="3"/>
        <v>0</v>
      </c>
    </row>
    <row r="54" spans="1:13" ht="15" customHeight="1" x14ac:dyDescent="0.2">
      <c r="A54" t="s">
        <v>59</v>
      </c>
      <c r="B54" s="22">
        <v>0</v>
      </c>
      <c r="C54" s="22">
        <v>1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>
        <f t="shared" si="0"/>
        <v>0</v>
      </c>
      <c r="K54">
        <f t="shared" si="1"/>
        <v>1</v>
      </c>
      <c r="L54">
        <f t="shared" si="2"/>
        <v>0</v>
      </c>
      <c r="M54">
        <f t="shared" si="3"/>
        <v>0</v>
      </c>
    </row>
    <row r="55" spans="1:13" ht="15" customHeight="1" x14ac:dyDescent="0.2">
      <c r="A55" t="s">
        <v>60</v>
      </c>
      <c r="B55" s="22">
        <v>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1</v>
      </c>
      <c r="J55">
        <f t="shared" si="0"/>
        <v>0</v>
      </c>
      <c r="K55">
        <f t="shared" si="1"/>
        <v>1</v>
      </c>
      <c r="L55">
        <f t="shared" si="2"/>
        <v>0</v>
      </c>
      <c r="M55">
        <f t="shared" si="3"/>
        <v>0</v>
      </c>
    </row>
    <row r="56" spans="1:13" ht="15" customHeight="1" x14ac:dyDescent="0.2">
      <c r="A56" t="s">
        <v>61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">
      <c r="A57" t="s">
        <v>62</v>
      </c>
      <c r="B57" s="22">
        <v>0</v>
      </c>
      <c r="C57" s="22">
        <v>0</v>
      </c>
      <c r="D57" s="22">
        <v>0</v>
      </c>
      <c r="E57" s="22">
        <v>1</v>
      </c>
      <c r="F57" s="22">
        <v>1</v>
      </c>
      <c r="G57" s="22">
        <v>0</v>
      </c>
      <c r="H57" s="22">
        <v>0</v>
      </c>
      <c r="I57" s="22">
        <v>0</v>
      </c>
      <c r="J57">
        <f t="shared" si="0"/>
        <v>1</v>
      </c>
      <c r="K57">
        <f t="shared" si="1"/>
        <v>0</v>
      </c>
      <c r="L57">
        <f t="shared" si="2"/>
        <v>1</v>
      </c>
      <c r="M57">
        <f t="shared" si="3"/>
        <v>0</v>
      </c>
    </row>
    <row r="58" spans="1:13" ht="15" customHeight="1" x14ac:dyDescent="0.2">
      <c r="A58" t="s">
        <v>63</v>
      </c>
      <c r="B58" s="22">
        <v>0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>
        <f t="shared" si="0"/>
        <v>0</v>
      </c>
      <c r="K58">
        <f t="shared" si="1"/>
        <v>0</v>
      </c>
      <c r="L58">
        <f t="shared" si="2"/>
        <v>0</v>
      </c>
      <c r="M58">
        <f t="shared" si="3"/>
        <v>0</v>
      </c>
    </row>
    <row r="59" spans="1:13" ht="15" customHeight="1" x14ac:dyDescent="0.2">
      <c r="A59" t="s">
        <v>64</v>
      </c>
      <c r="B59" s="22">
        <v>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</row>
    <row r="60" spans="1:13" ht="15" customHeight="1" x14ac:dyDescent="0.2">
      <c r="A60" t="s">
        <v>65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1</v>
      </c>
      <c r="J60">
        <f t="shared" si="0"/>
        <v>0</v>
      </c>
      <c r="K60">
        <f t="shared" si="1"/>
        <v>1</v>
      </c>
      <c r="L60">
        <f t="shared" si="2"/>
        <v>0</v>
      </c>
      <c r="M60">
        <f t="shared" si="3"/>
        <v>0</v>
      </c>
    </row>
    <row r="61" spans="1:13" ht="15" customHeight="1" x14ac:dyDescent="0.2">
      <c r="A61" t="s">
        <v>66</v>
      </c>
      <c r="B61" s="22">
        <v>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ht="15" customHeight="1" x14ac:dyDescent="0.2">
      <c r="A62" t="s">
        <v>67</v>
      </c>
      <c r="B62" s="22">
        <v>1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1</v>
      </c>
    </row>
    <row r="63" spans="1:13" ht="15" customHeight="1" x14ac:dyDescent="0.2">
      <c r="A63" t="s">
        <v>68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ht="15" customHeight="1" x14ac:dyDescent="0.2">
      <c r="A64" t="s">
        <v>69</v>
      </c>
      <c r="B64" s="22">
        <v>0</v>
      </c>
      <c r="C64" s="22">
        <v>0</v>
      </c>
      <c r="D64" s="22">
        <v>2</v>
      </c>
      <c r="E64" s="22">
        <v>0</v>
      </c>
      <c r="F64" s="22">
        <v>1</v>
      </c>
      <c r="G64" s="22">
        <v>0</v>
      </c>
      <c r="H64" s="22">
        <v>0</v>
      </c>
      <c r="I64" s="22">
        <v>0</v>
      </c>
      <c r="J64">
        <f t="shared" si="0"/>
        <v>0</v>
      </c>
      <c r="K64">
        <f t="shared" si="1"/>
        <v>0</v>
      </c>
      <c r="L64">
        <f t="shared" si="2"/>
        <v>3</v>
      </c>
      <c r="M64">
        <f t="shared" si="3"/>
        <v>0</v>
      </c>
    </row>
    <row r="65" spans="1:13" ht="15" customHeight="1" x14ac:dyDescent="0.2">
      <c r="A65" t="s">
        <v>70</v>
      </c>
      <c r="B65" s="22">
        <v>1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>
        <f t="shared" si="0"/>
        <v>0</v>
      </c>
      <c r="K65">
        <f t="shared" si="1"/>
        <v>0</v>
      </c>
      <c r="L65">
        <f t="shared" si="2"/>
        <v>0</v>
      </c>
      <c r="M65">
        <f t="shared" si="3"/>
        <v>1</v>
      </c>
    </row>
    <row r="66" spans="1:13" ht="15" customHeight="1" x14ac:dyDescent="0.2">
      <c r="A66" t="s">
        <v>71</v>
      </c>
      <c r="B66" s="22">
        <v>0</v>
      </c>
      <c r="C66" s="22">
        <v>0</v>
      </c>
      <c r="D66" s="22">
        <v>1</v>
      </c>
      <c r="E66" s="22">
        <v>2</v>
      </c>
      <c r="F66" s="22">
        <v>0</v>
      </c>
      <c r="G66" s="22">
        <v>0</v>
      </c>
      <c r="H66" s="22">
        <v>0</v>
      </c>
      <c r="I66" s="22">
        <v>0</v>
      </c>
      <c r="J66">
        <f t="shared" si="0"/>
        <v>2</v>
      </c>
      <c r="K66">
        <f t="shared" si="1"/>
        <v>0</v>
      </c>
      <c r="L66">
        <f t="shared" si="2"/>
        <v>1</v>
      </c>
      <c r="M66">
        <f t="shared" si="3"/>
        <v>0</v>
      </c>
    </row>
    <row r="67" spans="1:13" ht="15" customHeight="1" x14ac:dyDescent="0.2">
      <c r="A67" t="s">
        <v>72</v>
      </c>
      <c r="B67" s="22">
        <v>0</v>
      </c>
      <c r="C67" s="22">
        <v>0</v>
      </c>
      <c r="D67" s="22">
        <v>0</v>
      </c>
      <c r="E67" s="22">
        <v>0</v>
      </c>
      <c r="F67" s="22">
        <v>3</v>
      </c>
      <c r="G67" s="22">
        <v>0</v>
      </c>
      <c r="H67" s="22">
        <v>0</v>
      </c>
      <c r="I67" s="22">
        <v>0</v>
      </c>
      <c r="J67">
        <f t="shared" si="0"/>
        <v>0</v>
      </c>
      <c r="K67">
        <f t="shared" si="1"/>
        <v>0</v>
      </c>
      <c r="L67">
        <f t="shared" si="2"/>
        <v>3</v>
      </c>
      <c r="M67">
        <f t="shared" si="3"/>
        <v>0</v>
      </c>
    </row>
    <row r="68" spans="1:13" ht="15" customHeight="1" x14ac:dyDescent="0.2">
      <c r="A68" t="s">
        <v>73</v>
      </c>
      <c r="B68" s="22">
        <v>1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1</v>
      </c>
      <c r="J68">
        <f t="shared" si="0"/>
        <v>0</v>
      </c>
      <c r="K68">
        <f t="shared" si="1"/>
        <v>1</v>
      </c>
      <c r="L68">
        <f t="shared" si="2"/>
        <v>0</v>
      </c>
      <c r="M68">
        <f t="shared" si="3"/>
        <v>1</v>
      </c>
    </row>
    <row r="69" spans="1:13" ht="15" customHeight="1" x14ac:dyDescent="0.2">
      <c r="A69" t="s">
        <v>74</v>
      </c>
      <c r="B69" s="22">
        <v>0</v>
      </c>
      <c r="C69" s="22">
        <v>0</v>
      </c>
      <c r="D69" s="22">
        <v>0</v>
      </c>
      <c r="E69" s="22">
        <v>0</v>
      </c>
      <c r="F69" s="22">
        <v>1</v>
      </c>
      <c r="G69" s="22">
        <v>0</v>
      </c>
      <c r="H69" s="22">
        <v>0</v>
      </c>
      <c r="I69" s="22">
        <v>1</v>
      </c>
      <c r="J69">
        <f t="shared" si="0"/>
        <v>0</v>
      </c>
      <c r="K69">
        <f t="shared" si="1"/>
        <v>1</v>
      </c>
      <c r="L69">
        <f t="shared" si="2"/>
        <v>1</v>
      </c>
      <c r="M69">
        <f t="shared" si="3"/>
        <v>0</v>
      </c>
    </row>
    <row r="70" spans="1:13" ht="15" customHeight="1" x14ac:dyDescent="0.2">
      <c r="A70" t="s">
        <v>75</v>
      </c>
      <c r="B70" s="22">
        <v>0</v>
      </c>
      <c r="C70" s="22">
        <v>0</v>
      </c>
      <c r="D70" s="22">
        <v>1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>
        <f t="shared" si="0"/>
        <v>0</v>
      </c>
      <c r="K70">
        <f t="shared" si="1"/>
        <v>0</v>
      </c>
      <c r="L70">
        <f t="shared" si="2"/>
        <v>1</v>
      </c>
      <c r="M70">
        <f t="shared" si="3"/>
        <v>0</v>
      </c>
    </row>
    <row r="71" spans="1:13" ht="15" customHeight="1" x14ac:dyDescent="0.2">
      <c r="A71" t="s">
        <v>76</v>
      </c>
      <c r="B71" s="22">
        <v>0</v>
      </c>
      <c r="C71" s="22">
        <v>0</v>
      </c>
      <c r="D71" s="22">
        <v>1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>
        <f t="shared" si="0"/>
        <v>0</v>
      </c>
      <c r="K71">
        <f t="shared" si="1"/>
        <v>0</v>
      </c>
      <c r="L71">
        <f t="shared" si="2"/>
        <v>1</v>
      </c>
      <c r="M71">
        <f t="shared" si="3"/>
        <v>0</v>
      </c>
    </row>
    <row r="72" spans="1:13" ht="15" customHeight="1" x14ac:dyDescent="0.2">
      <c r="A72" t="s">
        <v>77</v>
      </c>
      <c r="B72" s="22">
        <v>0</v>
      </c>
      <c r="C72" s="22">
        <v>0</v>
      </c>
      <c r="D72" s="22">
        <v>1</v>
      </c>
      <c r="E72" s="22">
        <v>0</v>
      </c>
      <c r="F72" s="22">
        <v>1</v>
      </c>
      <c r="G72" s="22">
        <v>0</v>
      </c>
      <c r="H72" s="22">
        <v>0</v>
      </c>
      <c r="I72" s="22">
        <v>0</v>
      </c>
      <c r="J72">
        <f t="shared" si="0"/>
        <v>0</v>
      </c>
      <c r="K72">
        <f t="shared" si="1"/>
        <v>0</v>
      </c>
      <c r="L72">
        <f t="shared" si="2"/>
        <v>2</v>
      </c>
      <c r="M72">
        <f t="shared" si="3"/>
        <v>0</v>
      </c>
    </row>
    <row r="73" spans="1:13" ht="15" customHeight="1" x14ac:dyDescent="0.2">
      <c r="A73" t="s">
        <v>78</v>
      </c>
      <c r="B73" s="22">
        <v>0</v>
      </c>
      <c r="C73" s="22">
        <v>1</v>
      </c>
      <c r="D73" s="22">
        <v>0</v>
      </c>
      <c r="E73" s="22">
        <v>0</v>
      </c>
      <c r="F73" s="22">
        <v>2</v>
      </c>
      <c r="G73" s="22">
        <v>0</v>
      </c>
      <c r="H73" s="22">
        <v>0</v>
      </c>
      <c r="I73" s="22">
        <v>0</v>
      </c>
      <c r="J73">
        <f t="shared" si="0"/>
        <v>0</v>
      </c>
      <c r="K73">
        <f t="shared" si="1"/>
        <v>1</v>
      </c>
      <c r="L73">
        <f t="shared" si="2"/>
        <v>2</v>
      </c>
      <c r="M73">
        <f t="shared" si="3"/>
        <v>0</v>
      </c>
    </row>
    <row r="74" spans="1:13" ht="15" customHeight="1" x14ac:dyDescent="0.2">
      <c r="A74" t="s">
        <v>79</v>
      </c>
      <c r="B74" s="22">
        <v>0</v>
      </c>
      <c r="C74" s="22">
        <v>0</v>
      </c>
      <c r="D74" s="22">
        <v>1</v>
      </c>
      <c r="E74" s="22">
        <v>0</v>
      </c>
      <c r="F74" s="22">
        <v>0</v>
      </c>
      <c r="G74" s="22">
        <v>1</v>
      </c>
      <c r="H74" s="22">
        <v>0</v>
      </c>
      <c r="I74" s="22">
        <v>0</v>
      </c>
      <c r="J74">
        <f t="shared" si="0"/>
        <v>1</v>
      </c>
      <c r="K74">
        <f t="shared" si="1"/>
        <v>0</v>
      </c>
      <c r="L74">
        <f t="shared" si="2"/>
        <v>1</v>
      </c>
      <c r="M74">
        <f t="shared" si="3"/>
        <v>0</v>
      </c>
    </row>
    <row r="75" spans="1:13" ht="15" customHeight="1" x14ac:dyDescent="0.2">
      <c r="A75" t="s">
        <v>80</v>
      </c>
      <c r="B75" s="22">
        <v>0</v>
      </c>
      <c r="C75" s="22">
        <v>0</v>
      </c>
      <c r="D75" s="22">
        <v>1</v>
      </c>
      <c r="E75" s="22">
        <v>0</v>
      </c>
      <c r="F75" s="22">
        <v>1</v>
      </c>
      <c r="G75" s="22">
        <v>0</v>
      </c>
      <c r="H75" s="22">
        <v>0</v>
      </c>
      <c r="I75" s="22">
        <v>0</v>
      </c>
      <c r="J75">
        <f t="shared" ref="J75:J138" si="4">SUM(E75,G75)</f>
        <v>0</v>
      </c>
      <c r="K75">
        <f t="shared" ref="K75:K138" si="5">SUM(C75,I75)</f>
        <v>0</v>
      </c>
      <c r="L75">
        <f t="shared" ref="L75:L138" si="6">SUM(D75,F75)</f>
        <v>2</v>
      </c>
      <c r="M75">
        <f t="shared" ref="M75:M138" si="7">SUM(B75,H75)</f>
        <v>0</v>
      </c>
    </row>
    <row r="76" spans="1:13" ht="15" customHeight="1" x14ac:dyDescent="0.2">
      <c r="A76" t="s">
        <v>81</v>
      </c>
      <c r="B76" s="22">
        <v>0</v>
      </c>
      <c r="C76" s="22">
        <v>1</v>
      </c>
      <c r="D76" s="22">
        <v>1</v>
      </c>
      <c r="E76" s="22">
        <v>0</v>
      </c>
      <c r="F76" s="22">
        <v>1</v>
      </c>
      <c r="G76" s="22">
        <v>1</v>
      </c>
      <c r="H76" s="22">
        <v>0</v>
      </c>
      <c r="I76" s="22">
        <v>0</v>
      </c>
      <c r="J76">
        <f t="shared" si="4"/>
        <v>1</v>
      </c>
      <c r="K76">
        <f t="shared" si="5"/>
        <v>1</v>
      </c>
      <c r="L76">
        <f t="shared" si="6"/>
        <v>2</v>
      </c>
      <c r="M76">
        <f t="shared" si="7"/>
        <v>0</v>
      </c>
    </row>
    <row r="77" spans="1:13" ht="15" customHeight="1" x14ac:dyDescent="0.2">
      <c r="A77" t="s">
        <v>82</v>
      </c>
      <c r="B77" s="22">
        <v>0</v>
      </c>
      <c r="C77" s="22">
        <v>0</v>
      </c>
      <c r="D77" s="22">
        <v>2</v>
      </c>
      <c r="E77" s="22">
        <v>0</v>
      </c>
      <c r="F77" s="22">
        <v>0</v>
      </c>
      <c r="G77" s="22">
        <v>0</v>
      </c>
      <c r="H77" s="22">
        <v>0</v>
      </c>
      <c r="I77" s="22">
        <v>1</v>
      </c>
      <c r="J77">
        <f t="shared" si="4"/>
        <v>0</v>
      </c>
      <c r="K77">
        <f t="shared" si="5"/>
        <v>1</v>
      </c>
      <c r="L77">
        <f t="shared" si="6"/>
        <v>2</v>
      </c>
      <c r="M77">
        <f t="shared" si="7"/>
        <v>0</v>
      </c>
    </row>
    <row r="78" spans="1:13" ht="15" customHeight="1" x14ac:dyDescent="0.2">
      <c r="A78" t="s">
        <v>83</v>
      </c>
      <c r="B78" s="22">
        <v>2</v>
      </c>
      <c r="C78" s="22">
        <v>1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1</v>
      </c>
      <c r="J78">
        <f t="shared" si="4"/>
        <v>0</v>
      </c>
      <c r="K78">
        <f t="shared" si="5"/>
        <v>2</v>
      </c>
      <c r="L78">
        <f t="shared" si="6"/>
        <v>0</v>
      </c>
      <c r="M78">
        <f t="shared" si="7"/>
        <v>2</v>
      </c>
    </row>
    <row r="79" spans="1:13" ht="15" customHeight="1" x14ac:dyDescent="0.2">
      <c r="A79" t="s">
        <v>84</v>
      </c>
      <c r="B79" s="22">
        <v>0</v>
      </c>
      <c r="C79" s="22">
        <v>0</v>
      </c>
      <c r="D79" s="22">
        <v>1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>
        <f t="shared" si="4"/>
        <v>0</v>
      </c>
      <c r="K79">
        <f t="shared" si="5"/>
        <v>0</v>
      </c>
      <c r="L79">
        <f t="shared" si="6"/>
        <v>1</v>
      </c>
      <c r="M79">
        <f t="shared" si="7"/>
        <v>0</v>
      </c>
    </row>
    <row r="80" spans="1:13" ht="15" customHeight="1" x14ac:dyDescent="0.2">
      <c r="A80" t="s">
        <v>85</v>
      </c>
      <c r="B80" s="22">
        <v>0</v>
      </c>
      <c r="C80" s="22">
        <v>0</v>
      </c>
      <c r="D80" s="22">
        <v>0</v>
      </c>
      <c r="E80" s="22">
        <v>0</v>
      </c>
      <c r="F80" s="22">
        <v>2</v>
      </c>
      <c r="G80" s="22">
        <v>1</v>
      </c>
      <c r="H80" s="22">
        <v>0</v>
      </c>
      <c r="I80" s="22">
        <v>0</v>
      </c>
      <c r="J80">
        <f t="shared" si="4"/>
        <v>1</v>
      </c>
      <c r="K80">
        <f t="shared" si="5"/>
        <v>0</v>
      </c>
      <c r="L80">
        <f t="shared" si="6"/>
        <v>2</v>
      </c>
      <c r="M80">
        <f t="shared" si="7"/>
        <v>0</v>
      </c>
    </row>
    <row r="81" spans="1:13" ht="15" customHeight="1" x14ac:dyDescent="0.2">
      <c r="A81" t="s">
        <v>86</v>
      </c>
      <c r="B81" s="22">
        <v>0</v>
      </c>
      <c r="C81" s="22">
        <v>0</v>
      </c>
      <c r="D81" s="22">
        <v>1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>
        <f t="shared" si="4"/>
        <v>0</v>
      </c>
      <c r="K81">
        <f t="shared" si="5"/>
        <v>0</v>
      </c>
      <c r="L81">
        <f t="shared" si="6"/>
        <v>1</v>
      </c>
      <c r="M81">
        <f t="shared" si="7"/>
        <v>0</v>
      </c>
    </row>
    <row r="82" spans="1:13" ht="15" customHeight="1" x14ac:dyDescent="0.2">
      <c r="A82" t="s">
        <v>87</v>
      </c>
      <c r="B82" s="22">
        <v>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ht="15" customHeight="1" x14ac:dyDescent="0.2">
      <c r="A83" t="s">
        <v>88</v>
      </c>
      <c r="B83" s="22">
        <v>0</v>
      </c>
      <c r="C83" s="22">
        <v>0</v>
      </c>
      <c r="D83" s="22">
        <v>1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>
        <f t="shared" si="4"/>
        <v>0</v>
      </c>
      <c r="K83">
        <f t="shared" si="5"/>
        <v>0</v>
      </c>
      <c r="L83">
        <f t="shared" si="6"/>
        <v>1</v>
      </c>
      <c r="M83">
        <f t="shared" si="7"/>
        <v>0</v>
      </c>
    </row>
    <row r="84" spans="1:13" ht="15" customHeight="1" x14ac:dyDescent="0.2">
      <c r="A84" t="s">
        <v>89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>
        <f t="shared" si="4"/>
        <v>0</v>
      </c>
      <c r="K84">
        <f t="shared" si="5"/>
        <v>0</v>
      </c>
      <c r="L84">
        <f t="shared" si="6"/>
        <v>0</v>
      </c>
      <c r="M84">
        <f t="shared" si="7"/>
        <v>0</v>
      </c>
    </row>
    <row r="85" spans="1:13" ht="15" customHeight="1" x14ac:dyDescent="0.2">
      <c r="A85" t="s">
        <v>90</v>
      </c>
      <c r="B85" s="22">
        <v>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>
        <f t="shared" si="4"/>
        <v>0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">
      <c r="A86" t="s">
        <v>91</v>
      </c>
      <c r="B86" s="22">
        <v>0</v>
      </c>
      <c r="C86" s="22">
        <v>0</v>
      </c>
      <c r="D86" s="22">
        <v>1</v>
      </c>
      <c r="E86" s="22">
        <v>1</v>
      </c>
      <c r="F86" s="22">
        <v>0</v>
      </c>
      <c r="G86" s="22">
        <v>0</v>
      </c>
      <c r="H86" s="22">
        <v>0</v>
      </c>
      <c r="I86" s="22">
        <v>0</v>
      </c>
      <c r="J86">
        <f t="shared" si="4"/>
        <v>1</v>
      </c>
      <c r="K86">
        <f t="shared" si="5"/>
        <v>0</v>
      </c>
      <c r="L86">
        <f t="shared" si="6"/>
        <v>1</v>
      </c>
      <c r="M86">
        <f t="shared" si="7"/>
        <v>0</v>
      </c>
    </row>
    <row r="87" spans="1:13" ht="15" customHeight="1" x14ac:dyDescent="0.2">
      <c r="A87" t="s">
        <v>92</v>
      </c>
      <c r="B87" s="22">
        <v>0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>
        <f t="shared" si="4"/>
        <v>0</v>
      </c>
      <c r="K87">
        <f t="shared" si="5"/>
        <v>0</v>
      </c>
      <c r="L87">
        <f t="shared" si="6"/>
        <v>0</v>
      </c>
      <c r="M87">
        <f t="shared" si="7"/>
        <v>0</v>
      </c>
    </row>
    <row r="88" spans="1:13" ht="15" customHeight="1" x14ac:dyDescent="0.2">
      <c r="A88" t="s">
        <v>93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>
        <f t="shared" si="4"/>
        <v>0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ht="15" customHeight="1" x14ac:dyDescent="0.2">
      <c r="A89" t="s">
        <v>94</v>
      </c>
      <c r="B89" s="22">
        <v>0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ht="15" customHeight="1" x14ac:dyDescent="0.2">
      <c r="A90" t="s">
        <v>95</v>
      </c>
      <c r="B90" s="22">
        <v>0</v>
      </c>
      <c r="C90" s="22">
        <v>0</v>
      </c>
      <c r="D90" s="22">
        <v>0</v>
      </c>
      <c r="E90" s="22">
        <v>0</v>
      </c>
      <c r="F90" s="22">
        <v>1</v>
      </c>
      <c r="G90" s="22">
        <v>0</v>
      </c>
      <c r="H90" s="22">
        <v>0</v>
      </c>
      <c r="I90" s="22">
        <v>0</v>
      </c>
      <c r="J90">
        <f t="shared" si="4"/>
        <v>0</v>
      </c>
      <c r="K90">
        <f t="shared" si="5"/>
        <v>0</v>
      </c>
      <c r="L90">
        <f t="shared" si="6"/>
        <v>1</v>
      </c>
      <c r="M90">
        <f t="shared" si="7"/>
        <v>0</v>
      </c>
    </row>
    <row r="91" spans="1:13" ht="15" customHeight="1" x14ac:dyDescent="0.2">
      <c r="A91" t="s">
        <v>96</v>
      </c>
      <c r="B91" s="22">
        <v>0</v>
      </c>
      <c r="C91" s="22">
        <v>0</v>
      </c>
      <c r="D91" s="22">
        <v>0</v>
      </c>
      <c r="E91" s="22">
        <v>0</v>
      </c>
      <c r="F91" s="22">
        <v>1</v>
      </c>
      <c r="G91" s="22">
        <v>0</v>
      </c>
      <c r="H91" s="22">
        <v>0</v>
      </c>
      <c r="I91" s="22">
        <v>0</v>
      </c>
      <c r="J91">
        <f t="shared" si="4"/>
        <v>0</v>
      </c>
      <c r="K91">
        <f t="shared" si="5"/>
        <v>0</v>
      </c>
      <c r="L91">
        <f t="shared" si="6"/>
        <v>1</v>
      </c>
      <c r="M91">
        <f t="shared" si="7"/>
        <v>0</v>
      </c>
    </row>
    <row r="92" spans="1:13" ht="15" customHeight="1" x14ac:dyDescent="0.2">
      <c r="A92" t="s">
        <v>97</v>
      </c>
      <c r="B92" s="22">
        <v>0</v>
      </c>
      <c r="C92" s="22">
        <v>0</v>
      </c>
      <c r="D92" s="22">
        <v>2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>
        <f t="shared" si="4"/>
        <v>0</v>
      </c>
      <c r="K92">
        <f t="shared" si="5"/>
        <v>0</v>
      </c>
      <c r="L92">
        <f t="shared" si="6"/>
        <v>2</v>
      </c>
      <c r="M92">
        <f t="shared" si="7"/>
        <v>0</v>
      </c>
    </row>
    <row r="93" spans="1:13" ht="15" customHeight="1" x14ac:dyDescent="0.2">
      <c r="A93" t="s">
        <v>98</v>
      </c>
      <c r="B93" s="22">
        <v>0</v>
      </c>
      <c r="C93" s="22">
        <v>0</v>
      </c>
      <c r="D93" s="22">
        <v>0</v>
      </c>
      <c r="E93" s="22">
        <v>0</v>
      </c>
      <c r="F93" s="22">
        <v>2</v>
      </c>
      <c r="G93" s="22">
        <v>1</v>
      </c>
      <c r="H93" s="22">
        <v>0</v>
      </c>
      <c r="I93" s="22">
        <v>0</v>
      </c>
      <c r="J93">
        <f t="shared" si="4"/>
        <v>1</v>
      </c>
      <c r="K93">
        <f t="shared" si="5"/>
        <v>0</v>
      </c>
      <c r="L93">
        <f t="shared" si="6"/>
        <v>2</v>
      </c>
      <c r="M93">
        <f t="shared" si="7"/>
        <v>0</v>
      </c>
    </row>
    <row r="94" spans="1:13" ht="15" customHeight="1" x14ac:dyDescent="0.2">
      <c r="A94" t="s">
        <v>99</v>
      </c>
      <c r="B94" s="22">
        <v>0</v>
      </c>
      <c r="C94" s="22">
        <v>0</v>
      </c>
      <c r="D94" s="22">
        <v>0</v>
      </c>
      <c r="E94" s="22">
        <v>1</v>
      </c>
      <c r="F94" s="22">
        <v>0</v>
      </c>
      <c r="G94" s="22">
        <v>0</v>
      </c>
      <c r="H94" s="22">
        <v>0</v>
      </c>
      <c r="I94" s="22">
        <v>1</v>
      </c>
      <c r="J94">
        <f t="shared" si="4"/>
        <v>1</v>
      </c>
      <c r="K94">
        <f t="shared" si="5"/>
        <v>1</v>
      </c>
      <c r="L94">
        <f t="shared" si="6"/>
        <v>0</v>
      </c>
      <c r="M94">
        <f t="shared" si="7"/>
        <v>0</v>
      </c>
    </row>
    <row r="95" spans="1:13" ht="15" customHeight="1" x14ac:dyDescent="0.2">
      <c r="A95" t="s">
        <v>100</v>
      </c>
      <c r="B95" s="22">
        <v>1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1</v>
      </c>
    </row>
    <row r="96" spans="1:13" ht="15" customHeight="1" x14ac:dyDescent="0.2">
      <c r="A96" t="s">
        <v>101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</row>
    <row r="97" spans="1:13" ht="15" customHeight="1" x14ac:dyDescent="0.2">
      <c r="A97" t="s">
        <v>102</v>
      </c>
      <c r="B97" s="22">
        <v>0</v>
      </c>
      <c r="C97" s="22">
        <v>0</v>
      </c>
      <c r="D97" s="22">
        <v>1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>
        <f t="shared" si="4"/>
        <v>0</v>
      </c>
      <c r="K97">
        <f t="shared" si="5"/>
        <v>0</v>
      </c>
      <c r="L97">
        <f t="shared" si="6"/>
        <v>1</v>
      </c>
      <c r="M97">
        <f t="shared" si="7"/>
        <v>0</v>
      </c>
    </row>
    <row r="98" spans="1:13" ht="15" customHeight="1" x14ac:dyDescent="0.2">
      <c r="A98" t="s">
        <v>103</v>
      </c>
      <c r="B98" s="22">
        <v>0</v>
      </c>
      <c r="C98" s="22">
        <v>0</v>
      </c>
      <c r="D98" s="22">
        <v>0</v>
      </c>
      <c r="E98" s="22">
        <v>0</v>
      </c>
      <c r="F98" s="22">
        <v>1</v>
      </c>
      <c r="G98" s="22">
        <v>0</v>
      </c>
      <c r="H98" s="22">
        <v>0</v>
      </c>
      <c r="I98" s="22">
        <v>0</v>
      </c>
      <c r="J98">
        <f t="shared" si="4"/>
        <v>0</v>
      </c>
      <c r="K98">
        <f t="shared" si="5"/>
        <v>0</v>
      </c>
      <c r="L98">
        <f t="shared" si="6"/>
        <v>1</v>
      </c>
      <c r="M98">
        <f t="shared" si="7"/>
        <v>0</v>
      </c>
    </row>
    <row r="99" spans="1:13" ht="15" customHeight="1" x14ac:dyDescent="0.2">
      <c r="A99" t="s">
        <v>104</v>
      </c>
      <c r="B99" s="22">
        <v>1</v>
      </c>
      <c r="C99" s="22">
        <v>1</v>
      </c>
      <c r="D99" s="22">
        <v>1</v>
      </c>
      <c r="E99" s="22">
        <v>0</v>
      </c>
      <c r="F99" s="22">
        <v>1</v>
      </c>
      <c r="G99" s="22">
        <v>0</v>
      </c>
      <c r="H99" s="22">
        <v>0</v>
      </c>
      <c r="I99" s="22">
        <v>0</v>
      </c>
      <c r="J99">
        <f t="shared" si="4"/>
        <v>0</v>
      </c>
      <c r="K99">
        <f t="shared" si="5"/>
        <v>1</v>
      </c>
      <c r="L99">
        <f t="shared" si="6"/>
        <v>2</v>
      </c>
      <c r="M99">
        <f t="shared" si="7"/>
        <v>1</v>
      </c>
    </row>
    <row r="100" spans="1:13" ht="15" customHeight="1" x14ac:dyDescent="0.2">
      <c r="A100" t="s">
        <v>105</v>
      </c>
      <c r="B100" s="22">
        <v>0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">
      <c r="A101" t="s">
        <v>106</v>
      </c>
      <c r="B101" s="22">
        <v>0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>
        <f t="shared" si="4"/>
        <v>0</v>
      </c>
      <c r="K101">
        <f t="shared" si="5"/>
        <v>0</v>
      </c>
      <c r="L101">
        <f t="shared" si="6"/>
        <v>0</v>
      </c>
      <c r="M101">
        <f t="shared" si="7"/>
        <v>0</v>
      </c>
    </row>
    <row r="102" spans="1:13" ht="15" customHeight="1" x14ac:dyDescent="0.2">
      <c r="A102" t="s">
        <v>107</v>
      </c>
      <c r="B102" s="22">
        <v>0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>
        <f t="shared" si="4"/>
        <v>0</v>
      </c>
      <c r="K102">
        <f t="shared" si="5"/>
        <v>0</v>
      </c>
      <c r="L102">
        <f t="shared" si="6"/>
        <v>0</v>
      </c>
      <c r="M102">
        <f t="shared" si="7"/>
        <v>0</v>
      </c>
    </row>
    <row r="103" spans="1:13" ht="15" customHeight="1" x14ac:dyDescent="0.2">
      <c r="A103" t="s">
        <v>108</v>
      </c>
      <c r="B103" s="22">
        <v>0</v>
      </c>
      <c r="C103" s="22">
        <v>0</v>
      </c>
      <c r="D103" s="22">
        <v>1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>
        <f t="shared" si="4"/>
        <v>0</v>
      </c>
      <c r="K103">
        <f t="shared" si="5"/>
        <v>0</v>
      </c>
      <c r="L103">
        <f t="shared" si="6"/>
        <v>1</v>
      </c>
      <c r="M103">
        <f t="shared" si="7"/>
        <v>0</v>
      </c>
    </row>
    <row r="104" spans="1:13" ht="15" customHeight="1" x14ac:dyDescent="0.2">
      <c r="A104" t="s">
        <v>109</v>
      </c>
      <c r="B104" s="22">
        <v>0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">
      <c r="A105" t="s">
        <v>110</v>
      </c>
      <c r="B105" s="22">
        <v>0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">
      <c r="A106" t="s">
        <v>5</v>
      </c>
      <c r="B106" s="22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">
      <c r="A107" t="s">
        <v>16</v>
      </c>
      <c r="B107" s="22">
        <v>0</v>
      </c>
      <c r="C107" s="22">
        <v>0</v>
      </c>
      <c r="D107" s="22">
        <v>1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>
        <f t="shared" si="4"/>
        <v>0</v>
      </c>
      <c r="K107">
        <f t="shared" si="5"/>
        <v>0</v>
      </c>
      <c r="L107">
        <f t="shared" si="6"/>
        <v>1</v>
      </c>
      <c r="M107">
        <f t="shared" si="7"/>
        <v>0</v>
      </c>
    </row>
    <row r="108" spans="1:13" ht="15" customHeight="1" x14ac:dyDescent="0.2">
      <c r="A108" t="s">
        <v>17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1</v>
      </c>
      <c r="H108" s="22">
        <v>0</v>
      </c>
      <c r="I108" s="22">
        <v>0</v>
      </c>
      <c r="J108">
        <f t="shared" si="4"/>
        <v>1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">
      <c r="A109" t="s">
        <v>18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">
      <c r="A110" t="s">
        <v>19</v>
      </c>
      <c r="B110" s="22">
        <v>0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">
      <c r="A111" t="s">
        <v>20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">
      <c r="A112" t="s">
        <v>21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">
      <c r="A113" t="s">
        <v>22</v>
      </c>
      <c r="B113" s="22">
        <v>0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">
      <c r="A114" t="s">
        <v>23</v>
      </c>
      <c r="B114" s="22">
        <v>0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">
      <c r="A115" t="s">
        <v>24</v>
      </c>
      <c r="B115" s="22">
        <v>0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1</v>
      </c>
      <c r="I115" s="22">
        <v>1</v>
      </c>
      <c r="J115">
        <f t="shared" si="4"/>
        <v>0</v>
      </c>
      <c r="K115">
        <f t="shared" si="5"/>
        <v>1</v>
      </c>
      <c r="L115">
        <f t="shared" si="6"/>
        <v>0</v>
      </c>
      <c r="M115">
        <f t="shared" si="7"/>
        <v>1</v>
      </c>
    </row>
    <row r="116" spans="1:13" ht="15" customHeight="1" x14ac:dyDescent="0.2">
      <c r="A116" t="s">
        <v>25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">
      <c r="A117" t="s">
        <v>26</v>
      </c>
      <c r="B117" s="22">
        <v>0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">
      <c r="A118" t="s">
        <v>27</v>
      </c>
      <c r="B118" s="22">
        <v>0</v>
      </c>
      <c r="C118" s="22">
        <v>0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">
      <c r="A119" t="s">
        <v>28</v>
      </c>
      <c r="B119" s="22">
        <v>0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">
      <c r="A120" t="s">
        <v>29</v>
      </c>
      <c r="B120" s="22">
        <v>0</v>
      </c>
      <c r="C120" s="22">
        <v>1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>
        <f t="shared" si="4"/>
        <v>0</v>
      </c>
      <c r="K120">
        <f t="shared" si="5"/>
        <v>1</v>
      </c>
      <c r="L120">
        <f t="shared" si="6"/>
        <v>0</v>
      </c>
      <c r="M120">
        <f t="shared" si="7"/>
        <v>0</v>
      </c>
    </row>
    <row r="121" spans="1:13" ht="15" customHeight="1" x14ac:dyDescent="0.2">
      <c r="A121" t="s">
        <v>30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">
      <c r="A122" t="s">
        <v>31</v>
      </c>
      <c r="B122" s="22">
        <v>0</v>
      </c>
      <c r="C122" s="22">
        <v>0</v>
      </c>
      <c r="D122" s="22">
        <v>0</v>
      </c>
      <c r="E122" s="22">
        <v>0</v>
      </c>
      <c r="F122" s="22">
        <v>0</v>
      </c>
      <c r="G122" s="22">
        <v>0</v>
      </c>
      <c r="H122" s="22">
        <v>0</v>
      </c>
      <c r="I122" s="22">
        <v>0</v>
      </c>
      <c r="J122">
        <f t="shared" si="4"/>
        <v>0</v>
      </c>
      <c r="K122">
        <f t="shared" si="5"/>
        <v>0</v>
      </c>
      <c r="L122">
        <f t="shared" si="6"/>
        <v>0</v>
      </c>
      <c r="M122">
        <f t="shared" si="7"/>
        <v>0</v>
      </c>
    </row>
    <row r="123" spans="1:13" ht="15" customHeight="1" x14ac:dyDescent="0.2">
      <c r="A123" t="s">
        <v>32</v>
      </c>
      <c r="B123" s="22">
        <v>0</v>
      </c>
      <c r="C123" s="22">
        <v>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">
      <c r="A124" t="s">
        <v>33</v>
      </c>
      <c r="B124" s="22">
        <v>0</v>
      </c>
      <c r="C124" s="22">
        <v>0</v>
      </c>
      <c r="D124" s="22">
        <v>1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>
        <f t="shared" si="4"/>
        <v>0</v>
      </c>
      <c r="K124">
        <f t="shared" si="5"/>
        <v>0</v>
      </c>
      <c r="L124">
        <f t="shared" si="6"/>
        <v>1</v>
      </c>
      <c r="M124">
        <f t="shared" si="7"/>
        <v>0</v>
      </c>
    </row>
    <row r="125" spans="1:13" ht="15" customHeight="1" x14ac:dyDescent="0.2">
      <c r="A125" t="s">
        <v>34</v>
      </c>
      <c r="B125" s="22">
        <v>0</v>
      </c>
      <c r="C125" s="22">
        <v>0</v>
      </c>
      <c r="D125" s="22">
        <v>1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>
        <f t="shared" si="4"/>
        <v>0</v>
      </c>
      <c r="K125">
        <f t="shared" si="5"/>
        <v>0</v>
      </c>
      <c r="L125">
        <f t="shared" si="6"/>
        <v>1</v>
      </c>
      <c r="M125">
        <f t="shared" si="7"/>
        <v>0</v>
      </c>
    </row>
    <row r="126" spans="1:13" ht="15" customHeight="1" x14ac:dyDescent="0.2">
      <c r="A126" t="s">
        <v>35</v>
      </c>
      <c r="B126" s="22">
        <v>0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">
      <c r="A127" t="s">
        <v>36</v>
      </c>
      <c r="B127" s="22">
        <v>0</v>
      </c>
      <c r="C127" s="22">
        <v>0</v>
      </c>
      <c r="D127" s="22">
        <v>1</v>
      </c>
      <c r="E127" s="22">
        <v>0</v>
      </c>
      <c r="F127" s="22">
        <v>0</v>
      </c>
      <c r="G127" s="22">
        <v>0</v>
      </c>
      <c r="H127" s="22">
        <v>1</v>
      </c>
      <c r="I127" s="22">
        <v>0</v>
      </c>
      <c r="J127">
        <f t="shared" si="4"/>
        <v>0</v>
      </c>
      <c r="K127">
        <f t="shared" si="5"/>
        <v>0</v>
      </c>
      <c r="L127">
        <f t="shared" si="6"/>
        <v>1</v>
      </c>
      <c r="M127">
        <f t="shared" si="7"/>
        <v>1</v>
      </c>
    </row>
    <row r="128" spans="1:13" ht="15" customHeight="1" x14ac:dyDescent="0.2">
      <c r="A128" t="s">
        <v>37</v>
      </c>
      <c r="B128" s="22">
        <v>0</v>
      </c>
      <c r="C128" s="22">
        <v>0</v>
      </c>
      <c r="D128" s="22">
        <v>1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>
        <f t="shared" si="4"/>
        <v>0</v>
      </c>
      <c r="K128">
        <f t="shared" si="5"/>
        <v>0</v>
      </c>
      <c r="L128">
        <f t="shared" si="6"/>
        <v>1</v>
      </c>
      <c r="M128">
        <f t="shared" si="7"/>
        <v>0</v>
      </c>
    </row>
    <row r="129" spans="1:13" ht="15" customHeight="1" x14ac:dyDescent="0.2">
      <c r="A129" t="s">
        <v>38</v>
      </c>
      <c r="B129" s="22">
        <v>0</v>
      </c>
      <c r="C129" s="22">
        <v>0</v>
      </c>
      <c r="D129" s="22">
        <v>1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>
        <f t="shared" si="4"/>
        <v>0</v>
      </c>
      <c r="K129">
        <f t="shared" si="5"/>
        <v>0</v>
      </c>
      <c r="L129">
        <f t="shared" si="6"/>
        <v>1</v>
      </c>
      <c r="M129">
        <f t="shared" si="7"/>
        <v>0</v>
      </c>
    </row>
    <row r="130" spans="1:13" ht="15" customHeight="1" x14ac:dyDescent="0.2">
      <c r="A130" t="s">
        <v>39</v>
      </c>
      <c r="B130" s="22">
        <v>0</v>
      </c>
      <c r="C130" s="22">
        <v>0</v>
      </c>
      <c r="D130" s="22">
        <v>0</v>
      </c>
      <c r="E130" s="22">
        <v>0</v>
      </c>
      <c r="F130" s="22">
        <v>0</v>
      </c>
      <c r="G130" s="22">
        <v>1</v>
      </c>
      <c r="H130" s="22">
        <v>0</v>
      </c>
      <c r="I130" s="22">
        <v>0</v>
      </c>
      <c r="J130">
        <f t="shared" si="4"/>
        <v>1</v>
      </c>
      <c r="K130">
        <f t="shared" si="5"/>
        <v>0</v>
      </c>
      <c r="L130">
        <f t="shared" si="6"/>
        <v>0</v>
      </c>
      <c r="M130">
        <f t="shared" si="7"/>
        <v>0</v>
      </c>
    </row>
    <row r="131" spans="1:13" ht="15" customHeight="1" x14ac:dyDescent="0.2">
      <c r="A131" t="s">
        <v>40</v>
      </c>
      <c r="B131" s="22">
        <v>0</v>
      </c>
      <c r="C131" s="22">
        <v>0</v>
      </c>
      <c r="D131" s="22">
        <v>0</v>
      </c>
      <c r="E131" s="22">
        <v>0</v>
      </c>
      <c r="F131" s="22">
        <v>0</v>
      </c>
      <c r="G131" s="22">
        <v>0</v>
      </c>
      <c r="H131" s="22">
        <v>0</v>
      </c>
      <c r="I131" s="22">
        <v>0</v>
      </c>
      <c r="J131">
        <f t="shared" si="4"/>
        <v>0</v>
      </c>
      <c r="K131">
        <f t="shared" si="5"/>
        <v>0</v>
      </c>
      <c r="L131">
        <f t="shared" si="6"/>
        <v>0</v>
      </c>
      <c r="M131">
        <f t="shared" si="7"/>
        <v>0</v>
      </c>
    </row>
    <row r="132" spans="1:13" ht="15" customHeight="1" x14ac:dyDescent="0.2">
      <c r="A132" t="s">
        <v>41</v>
      </c>
      <c r="B132" s="22">
        <v>0</v>
      </c>
      <c r="C132" s="22">
        <v>0</v>
      </c>
      <c r="D132" s="22">
        <v>1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>
        <f t="shared" si="4"/>
        <v>0</v>
      </c>
      <c r="K132">
        <f t="shared" si="5"/>
        <v>0</v>
      </c>
      <c r="L132">
        <f t="shared" si="6"/>
        <v>1</v>
      </c>
      <c r="M132">
        <f t="shared" si="7"/>
        <v>0</v>
      </c>
    </row>
    <row r="133" spans="1:13" ht="15" customHeight="1" x14ac:dyDescent="0.2">
      <c r="A133" t="s">
        <v>42</v>
      </c>
      <c r="B133" s="22">
        <v>0</v>
      </c>
      <c r="C133" s="22">
        <v>0</v>
      </c>
      <c r="D133" s="22">
        <v>1</v>
      </c>
      <c r="E133" s="22">
        <v>0</v>
      </c>
      <c r="F133" s="22">
        <v>1</v>
      </c>
      <c r="G133" s="22">
        <v>0</v>
      </c>
      <c r="H133" s="22">
        <v>0</v>
      </c>
      <c r="I133" s="22">
        <v>0</v>
      </c>
      <c r="J133">
        <f t="shared" si="4"/>
        <v>0</v>
      </c>
      <c r="K133">
        <f t="shared" si="5"/>
        <v>0</v>
      </c>
      <c r="L133">
        <f t="shared" si="6"/>
        <v>2</v>
      </c>
      <c r="M133">
        <f t="shared" si="7"/>
        <v>0</v>
      </c>
    </row>
    <row r="134" spans="1:13" ht="15" customHeight="1" x14ac:dyDescent="0.2">
      <c r="A134" t="s">
        <v>43</v>
      </c>
      <c r="B134" s="22">
        <v>0</v>
      </c>
      <c r="C134" s="22">
        <v>0</v>
      </c>
      <c r="D134" s="22">
        <v>0</v>
      </c>
      <c r="E134" s="22">
        <v>0</v>
      </c>
      <c r="F134" s="22">
        <v>0</v>
      </c>
      <c r="G134" s="22">
        <v>1</v>
      </c>
      <c r="H134" s="22">
        <v>0</v>
      </c>
      <c r="I134" s="22">
        <v>0</v>
      </c>
      <c r="J134">
        <f t="shared" si="4"/>
        <v>1</v>
      </c>
      <c r="K134">
        <f t="shared" si="5"/>
        <v>0</v>
      </c>
      <c r="L134">
        <f t="shared" si="6"/>
        <v>0</v>
      </c>
      <c r="M134">
        <f t="shared" si="7"/>
        <v>0</v>
      </c>
    </row>
    <row r="135" spans="1:13" ht="15" customHeight="1" x14ac:dyDescent="0.2">
      <c r="A135" t="s">
        <v>44</v>
      </c>
      <c r="B135" s="22">
        <v>0</v>
      </c>
      <c r="C135" s="22">
        <v>0</v>
      </c>
      <c r="D135" s="22">
        <v>0</v>
      </c>
      <c r="E135" s="22">
        <v>0</v>
      </c>
      <c r="F135" s="22">
        <v>1</v>
      </c>
      <c r="G135" s="22">
        <v>0</v>
      </c>
      <c r="H135" s="22">
        <v>0</v>
      </c>
      <c r="I135" s="22">
        <v>0</v>
      </c>
      <c r="J135">
        <f t="shared" si="4"/>
        <v>0</v>
      </c>
      <c r="K135">
        <f t="shared" si="5"/>
        <v>0</v>
      </c>
      <c r="L135">
        <f t="shared" si="6"/>
        <v>1</v>
      </c>
      <c r="M135">
        <f t="shared" si="7"/>
        <v>0</v>
      </c>
    </row>
    <row r="136" spans="1:13" ht="15" customHeight="1" x14ac:dyDescent="0.2">
      <c r="A136" t="s">
        <v>45</v>
      </c>
      <c r="B136" s="22">
        <v>0</v>
      </c>
      <c r="C136" s="22">
        <v>0</v>
      </c>
      <c r="D136" s="22">
        <v>0</v>
      </c>
      <c r="E136" s="22">
        <v>1</v>
      </c>
      <c r="F136" s="22">
        <v>0</v>
      </c>
      <c r="G136" s="22">
        <v>0</v>
      </c>
      <c r="H136" s="22">
        <v>0</v>
      </c>
      <c r="I136" s="22">
        <v>0</v>
      </c>
      <c r="J136">
        <f t="shared" si="4"/>
        <v>1</v>
      </c>
      <c r="K136">
        <f t="shared" si="5"/>
        <v>0</v>
      </c>
      <c r="L136">
        <f t="shared" si="6"/>
        <v>0</v>
      </c>
      <c r="M136">
        <f t="shared" si="7"/>
        <v>0</v>
      </c>
    </row>
    <row r="137" spans="1:13" ht="15" customHeight="1" x14ac:dyDescent="0.2">
      <c r="A137" t="s">
        <v>46</v>
      </c>
      <c r="B137" s="22">
        <v>0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">
      <c r="A138" t="s">
        <v>47</v>
      </c>
      <c r="B138" s="22">
        <v>1</v>
      </c>
      <c r="C138" s="22">
        <v>0</v>
      </c>
      <c r="D138" s="22">
        <v>1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>
        <f t="shared" si="4"/>
        <v>0</v>
      </c>
      <c r="K138">
        <f t="shared" si="5"/>
        <v>0</v>
      </c>
      <c r="L138">
        <f t="shared" si="6"/>
        <v>1</v>
      </c>
      <c r="M138">
        <f t="shared" si="7"/>
        <v>1</v>
      </c>
    </row>
    <row r="139" spans="1:13" ht="15" customHeight="1" x14ac:dyDescent="0.2">
      <c r="A139" t="s">
        <v>48</v>
      </c>
      <c r="B139" s="22">
        <v>0</v>
      </c>
      <c r="C139" s="22">
        <v>0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>
        <f t="shared" ref="J139:J201" si="8">SUM(E139,G139)</f>
        <v>0</v>
      </c>
      <c r="K139">
        <f t="shared" ref="K139:K201" si="9">SUM(C139,I139)</f>
        <v>0</v>
      </c>
      <c r="L139">
        <f t="shared" ref="L139:L201" si="10">SUM(D139,F139)</f>
        <v>0</v>
      </c>
      <c r="M139">
        <f t="shared" ref="M139:M201" si="11">SUM(B139,H139)</f>
        <v>0</v>
      </c>
    </row>
    <row r="140" spans="1:13" ht="15" customHeight="1" x14ac:dyDescent="0.2">
      <c r="A140" t="s">
        <v>49</v>
      </c>
      <c r="B140" s="22">
        <v>0</v>
      </c>
      <c r="C140" s="22">
        <v>0</v>
      </c>
      <c r="D140" s="22">
        <v>1</v>
      </c>
      <c r="E140" s="22">
        <v>0</v>
      </c>
      <c r="F140" s="22">
        <v>2</v>
      </c>
      <c r="G140" s="22">
        <v>0</v>
      </c>
      <c r="H140" s="22">
        <v>0</v>
      </c>
      <c r="I140" s="22">
        <v>0</v>
      </c>
      <c r="J140">
        <f t="shared" si="8"/>
        <v>0</v>
      </c>
      <c r="K140">
        <f t="shared" si="9"/>
        <v>0</v>
      </c>
      <c r="L140">
        <f t="shared" si="10"/>
        <v>3</v>
      </c>
      <c r="M140">
        <f t="shared" si="11"/>
        <v>0</v>
      </c>
    </row>
    <row r="141" spans="1:13" ht="15" customHeight="1" x14ac:dyDescent="0.2">
      <c r="A141" t="s">
        <v>50</v>
      </c>
      <c r="B141" s="22">
        <v>0</v>
      </c>
      <c r="C141" s="22">
        <v>0</v>
      </c>
      <c r="D141" s="22">
        <v>0</v>
      </c>
      <c r="E141" s="22">
        <v>0</v>
      </c>
      <c r="F141" s="22">
        <v>0</v>
      </c>
      <c r="G141" s="22">
        <v>0</v>
      </c>
      <c r="H141" s="22">
        <v>0</v>
      </c>
      <c r="I141" s="22">
        <v>0</v>
      </c>
      <c r="J141">
        <f t="shared" si="8"/>
        <v>0</v>
      </c>
      <c r="K141">
        <f t="shared" si="9"/>
        <v>0</v>
      </c>
      <c r="L141">
        <f t="shared" si="10"/>
        <v>0</v>
      </c>
      <c r="M141">
        <f t="shared" si="11"/>
        <v>0</v>
      </c>
    </row>
    <row r="142" spans="1:13" ht="15" customHeight="1" x14ac:dyDescent="0.2">
      <c r="A142" t="s">
        <v>51</v>
      </c>
      <c r="B142" s="22">
        <v>0</v>
      </c>
      <c r="C142" s="22">
        <v>0</v>
      </c>
      <c r="D142" s="22">
        <v>0</v>
      </c>
      <c r="E142" s="22">
        <v>0</v>
      </c>
      <c r="F142" s="22">
        <v>0</v>
      </c>
      <c r="G142" s="22">
        <v>0</v>
      </c>
      <c r="H142" s="22">
        <v>0</v>
      </c>
      <c r="I142" s="22">
        <v>0</v>
      </c>
      <c r="J142">
        <f t="shared" si="8"/>
        <v>0</v>
      </c>
      <c r="K142">
        <f t="shared" si="9"/>
        <v>0</v>
      </c>
      <c r="L142">
        <f t="shared" si="10"/>
        <v>0</v>
      </c>
      <c r="M142">
        <f t="shared" si="11"/>
        <v>0</v>
      </c>
    </row>
    <row r="143" spans="1:13" ht="15" customHeight="1" x14ac:dyDescent="0.2">
      <c r="A143" t="s">
        <v>52</v>
      </c>
      <c r="B143" s="22">
        <v>0</v>
      </c>
      <c r="C143" s="22">
        <v>0</v>
      </c>
      <c r="D143" s="22">
        <v>0</v>
      </c>
      <c r="E143" s="22">
        <v>0</v>
      </c>
      <c r="F143" s="22">
        <v>1</v>
      </c>
      <c r="G143" s="22">
        <v>0</v>
      </c>
      <c r="H143" s="22">
        <v>1</v>
      </c>
      <c r="I143" s="22">
        <v>0</v>
      </c>
      <c r="J143">
        <f t="shared" si="8"/>
        <v>0</v>
      </c>
      <c r="K143">
        <f t="shared" si="9"/>
        <v>0</v>
      </c>
      <c r="L143">
        <f t="shared" si="10"/>
        <v>1</v>
      </c>
      <c r="M143">
        <f t="shared" si="11"/>
        <v>1</v>
      </c>
    </row>
    <row r="144" spans="1:13" ht="15" customHeight="1" x14ac:dyDescent="0.2">
      <c r="A144" t="s">
        <v>53</v>
      </c>
      <c r="B144" s="22">
        <v>0</v>
      </c>
      <c r="C144" s="22">
        <v>0</v>
      </c>
      <c r="D144" s="22">
        <v>0</v>
      </c>
      <c r="E144" s="22">
        <v>0</v>
      </c>
      <c r="F144" s="22">
        <v>0</v>
      </c>
      <c r="G144" s="22">
        <v>1</v>
      </c>
      <c r="H144" s="22">
        <v>0</v>
      </c>
      <c r="I144" s="22">
        <v>0</v>
      </c>
      <c r="J144">
        <f t="shared" si="8"/>
        <v>1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">
      <c r="A145" t="s">
        <v>54</v>
      </c>
      <c r="B145" s="22">
        <v>0</v>
      </c>
      <c r="C145" s="22">
        <v>0</v>
      </c>
      <c r="D145" s="22">
        <v>0</v>
      </c>
      <c r="E145" s="22">
        <v>0</v>
      </c>
      <c r="F145" s="22">
        <v>0</v>
      </c>
      <c r="G145" s="22">
        <v>0</v>
      </c>
      <c r="H145" s="22">
        <v>0</v>
      </c>
      <c r="I145" s="22">
        <v>0</v>
      </c>
      <c r="J145">
        <f t="shared" si="8"/>
        <v>0</v>
      </c>
      <c r="K145">
        <f t="shared" si="9"/>
        <v>0</v>
      </c>
      <c r="L145">
        <f t="shared" si="10"/>
        <v>0</v>
      </c>
      <c r="M145">
        <f t="shared" si="11"/>
        <v>0</v>
      </c>
    </row>
    <row r="146" spans="1:13" ht="15" customHeight="1" x14ac:dyDescent="0.2">
      <c r="A146" t="s">
        <v>55</v>
      </c>
      <c r="B146" s="22">
        <v>0</v>
      </c>
      <c r="C146" s="22">
        <v>0</v>
      </c>
      <c r="D146" s="22">
        <v>1</v>
      </c>
      <c r="E146" s="22">
        <v>0</v>
      </c>
      <c r="F146" s="22">
        <v>1</v>
      </c>
      <c r="G146" s="22">
        <v>1</v>
      </c>
      <c r="H146" s="22">
        <v>1</v>
      </c>
      <c r="I146" s="22">
        <v>0</v>
      </c>
      <c r="J146">
        <f t="shared" si="8"/>
        <v>1</v>
      </c>
      <c r="K146">
        <f t="shared" si="9"/>
        <v>0</v>
      </c>
      <c r="L146">
        <f t="shared" si="10"/>
        <v>2</v>
      </c>
      <c r="M146">
        <f t="shared" si="11"/>
        <v>1</v>
      </c>
    </row>
    <row r="147" spans="1:13" ht="15" customHeight="1" x14ac:dyDescent="0.2">
      <c r="A147" t="s">
        <v>56</v>
      </c>
      <c r="B147" s="22">
        <v>0</v>
      </c>
      <c r="C147" s="22">
        <v>0</v>
      </c>
      <c r="D147" s="22">
        <v>0</v>
      </c>
      <c r="E147" s="22">
        <v>0</v>
      </c>
      <c r="F147" s="22">
        <v>1</v>
      </c>
      <c r="G147" s="22">
        <v>1</v>
      </c>
      <c r="H147" s="22">
        <v>0</v>
      </c>
      <c r="I147" s="22">
        <v>0</v>
      </c>
      <c r="J147">
        <f t="shared" si="8"/>
        <v>1</v>
      </c>
      <c r="K147">
        <f t="shared" si="9"/>
        <v>0</v>
      </c>
      <c r="L147">
        <f t="shared" si="10"/>
        <v>1</v>
      </c>
      <c r="M147">
        <f t="shared" si="11"/>
        <v>0</v>
      </c>
    </row>
    <row r="148" spans="1:13" ht="15" customHeight="1" x14ac:dyDescent="0.2">
      <c r="A148" t="s">
        <v>57</v>
      </c>
      <c r="B148" s="22">
        <v>0</v>
      </c>
      <c r="C148" s="22">
        <v>0</v>
      </c>
      <c r="D148" s="22">
        <v>1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>
        <f t="shared" si="8"/>
        <v>0</v>
      </c>
      <c r="K148">
        <f t="shared" si="9"/>
        <v>0</v>
      </c>
      <c r="L148">
        <f t="shared" si="10"/>
        <v>1</v>
      </c>
      <c r="M148">
        <f t="shared" si="11"/>
        <v>0</v>
      </c>
    </row>
    <row r="149" spans="1:13" ht="15" customHeight="1" x14ac:dyDescent="0.2">
      <c r="A149" t="s">
        <v>58</v>
      </c>
      <c r="B149" s="22">
        <v>0</v>
      </c>
      <c r="C149" s="22">
        <v>1</v>
      </c>
      <c r="D149" s="22">
        <v>0</v>
      </c>
      <c r="E149" s="22">
        <v>0</v>
      </c>
      <c r="F149" s="22">
        <v>1</v>
      </c>
      <c r="G149" s="22">
        <v>0</v>
      </c>
      <c r="H149" s="22">
        <v>0</v>
      </c>
      <c r="I149" s="22">
        <v>0</v>
      </c>
      <c r="J149">
        <f t="shared" si="8"/>
        <v>0</v>
      </c>
      <c r="K149">
        <f t="shared" si="9"/>
        <v>1</v>
      </c>
      <c r="L149">
        <f t="shared" si="10"/>
        <v>1</v>
      </c>
      <c r="M149">
        <f t="shared" si="11"/>
        <v>0</v>
      </c>
    </row>
    <row r="150" spans="1:13" ht="15" customHeight="1" x14ac:dyDescent="0.2">
      <c r="A150" t="s">
        <v>59</v>
      </c>
      <c r="B150" s="22">
        <v>0</v>
      </c>
      <c r="C150" s="22">
        <v>0</v>
      </c>
      <c r="D150" s="22">
        <v>0</v>
      </c>
      <c r="E150" s="22">
        <v>0</v>
      </c>
      <c r="F150" s="22">
        <v>0</v>
      </c>
      <c r="G150" s="22">
        <v>0</v>
      </c>
      <c r="H150" s="22">
        <v>0</v>
      </c>
      <c r="I150" s="22">
        <v>0</v>
      </c>
      <c r="J150">
        <f t="shared" si="8"/>
        <v>0</v>
      </c>
      <c r="K150">
        <f t="shared" si="9"/>
        <v>0</v>
      </c>
      <c r="L150">
        <f t="shared" si="10"/>
        <v>0</v>
      </c>
      <c r="M150">
        <f t="shared" si="11"/>
        <v>0</v>
      </c>
    </row>
    <row r="151" spans="1:13" ht="15" customHeight="1" x14ac:dyDescent="0.2">
      <c r="A151" t="s">
        <v>60</v>
      </c>
      <c r="B151" s="22">
        <v>0</v>
      </c>
      <c r="C151" s="22">
        <v>0</v>
      </c>
      <c r="D151" s="22">
        <v>3</v>
      </c>
      <c r="E151" s="22">
        <v>0</v>
      </c>
      <c r="F151" s="22">
        <v>5</v>
      </c>
      <c r="G151" s="22">
        <v>5</v>
      </c>
      <c r="H151" s="22">
        <v>0</v>
      </c>
      <c r="I151" s="22">
        <v>0</v>
      </c>
      <c r="J151">
        <f t="shared" si="8"/>
        <v>5</v>
      </c>
      <c r="K151">
        <f t="shared" si="9"/>
        <v>0</v>
      </c>
      <c r="L151">
        <f t="shared" si="10"/>
        <v>8</v>
      </c>
      <c r="M151">
        <f t="shared" si="11"/>
        <v>0</v>
      </c>
    </row>
    <row r="152" spans="1:13" ht="15" customHeight="1" x14ac:dyDescent="0.2">
      <c r="A152" t="s">
        <v>61</v>
      </c>
      <c r="B152" s="22">
        <v>0</v>
      </c>
      <c r="C152" s="22">
        <v>1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>
        <f t="shared" si="8"/>
        <v>0</v>
      </c>
      <c r="K152">
        <f t="shared" si="9"/>
        <v>1</v>
      </c>
      <c r="L152">
        <f t="shared" si="10"/>
        <v>0</v>
      </c>
      <c r="M152">
        <f t="shared" si="11"/>
        <v>0</v>
      </c>
    </row>
    <row r="153" spans="1:13" ht="15" customHeight="1" x14ac:dyDescent="0.2">
      <c r="A153" t="s">
        <v>62</v>
      </c>
      <c r="B153" s="22">
        <v>0</v>
      </c>
      <c r="C153" s="22">
        <v>0</v>
      </c>
      <c r="D153" s="22">
        <v>1</v>
      </c>
      <c r="E153" s="22">
        <v>0</v>
      </c>
      <c r="F153" s="22">
        <v>2</v>
      </c>
      <c r="G153" s="22">
        <v>1</v>
      </c>
      <c r="H153" s="22">
        <v>1</v>
      </c>
      <c r="I153" s="22">
        <v>0</v>
      </c>
      <c r="J153">
        <f t="shared" si="8"/>
        <v>1</v>
      </c>
      <c r="K153">
        <f t="shared" si="9"/>
        <v>0</v>
      </c>
      <c r="L153">
        <f t="shared" si="10"/>
        <v>3</v>
      </c>
      <c r="M153">
        <f t="shared" si="11"/>
        <v>1</v>
      </c>
    </row>
    <row r="154" spans="1:13" ht="15" customHeight="1" x14ac:dyDescent="0.2">
      <c r="A154" t="s">
        <v>63</v>
      </c>
      <c r="B154" s="22">
        <v>0</v>
      </c>
      <c r="C154" s="22">
        <v>0</v>
      </c>
      <c r="D154" s="22">
        <v>0</v>
      </c>
      <c r="E154" s="22">
        <v>0</v>
      </c>
      <c r="F154" s="22">
        <v>0</v>
      </c>
      <c r="G154" s="22">
        <v>0</v>
      </c>
      <c r="H154" s="22">
        <v>0</v>
      </c>
      <c r="I154" s="22">
        <v>0</v>
      </c>
      <c r="J154">
        <f t="shared" si="8"/>
        <v>0</v>
      </c>
      <c r="K154">
        <f t="shared" si="9"/>
        <v>0</v>
      </c>
      <c r="L154">
        <f t="shared" si="10"/>
        <v>0</v>
      </c>
      <c r="M154">
        <f t="shared" si="11"/>
        <v>0</v>
      </c>
    </row>
    <row r="155" spans="1:13" ht="15" customHeight="1" x14ac:dyDescent="0.2">
      <c r="A155" t="s">
        <v>64</v>
      </c>
      <c r="B155" s="22">
        <v>0</v>
      </c>
      <c r="C155" s="22">
        <v>0</v>
      </c>
      <c r="D155" s="22">
        <v>0</v>
      </c>
      <c r="E155" s="22">
        <v>0</v>
      </c>
      <c r="F155" s="22">
        <v>1</v>
      </c>
      <c r="G155" s="22">
        <v>0</v>
      </c>
      <c r="H155" s="22">
        <v>0</v>
      </c>
      <c r="I155" s="22">
        <v>0</v>
      </c>
      <c r="J155">
        <f t="shared" si="8"/>
        <v>0</v>
      </c>
      <c r="K155">
        <f t="shared" si="9"/>
        <v>0</v>
      </c>
      <c r="L155">
        <f t="shared" si="10"/>
        <v>1</v>
      </c>
      <c r="M155">
        <f t="shared" si="11"/>
        <v>0</v>
      </c>
    </row>
    <row r="156" spans="1:13" ht="15" customHeight="1" x14ac:dyDescent="0.2">
      <c r="A156" t="s">
        <v>65</v>
      </c>
      <c r="B156" s="22">
        <v>0</v>
      </c>
      <c r="C156" s="22">
        <v>0</v>
      </c>
      <c r="D156" s="22">
        <v>2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>
        <f t="shared" si="8"/>
        <v>0</v>
      </c>
      <c r="K156">
        <f t="shared" si="9"/>
        <v>0</v>
      </c>
      <c r="L156">
        <f t="shared" si="10"/>
        <v>2</v>
      </c>
      <c r="M156">
        <f t="shared" si="11"/>
        <v>0</v>
      </c>
    </row>
    <row r="157" spans="1:13" ht="15" customHeight="1" x14ac:dyDescent="0.2">
      <c r="A157" t="s">
        <v>66</v>
      </c>
      <c r="B157" s="22">
        <v>0</v>
      </c>
      <c r="C157" s="22">
        <v>1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>
        <f t="shared" si="8"/>
        <v>0</v>
      </c>
      <c r="K157">
        <f t="shared" si="9"/>
        <v>1</v>
      </c>
      <c r="L157">
        <f t="shared" si="10"/>
        <v>0</v>
      </c>
      <c r="M157">
        <f t="shared" si="11"/>
        <v>0</v>
      </c>
    </row>
    <row r="158" spans="1:13" ht="15" customHeight="1" x14ac:dyDescent="0.2">
      <c r="A158" t="s">
        <v>67</v>
      </c>
      <c r="B158" s="22">
        <v>0</v>
      </c>
      <c r="C158" s="22">
        <v>0</v>
      </c>
      <c r="D158" s="22">
        <v>0</v>
      </c>
      <c r="E158" s="22">
        <v>0</v>
      </c>
      <c r="F158" s="22">
        <v>0</v>
      </c>
      <c r="G158" s="22">
        <v>0</v>
      </c>
      <c r="H158" s="22">
        <v>1</v>
      </c>
      <c r="I158" s="22">
        <v>0</v>
      </c>
      <c r="J158">
        <f t="shared" si="8"/>
        <v>0</v>
      </c>
      <c r="K158">
        <f t="shared" si="9"/>
        <v>0</v>
      </c>
      <c r="L158">
        <f t="shared" si="10"/>
        <v>0</v>
      </c>
      <c r="M158">
        <f t="shared" si="11"/>
        <v>1</v>
      </c>
    </row>
    <row r="159" spans="1:13" ht="15" customHeight="1" x14ac:dyDescent="0.2">
      <c r="A159" t="s">
        <v>68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  <c r="G159" s="22">
        <v>2</v>
      </c>
      <c r="H159" s="22">
        <v>0</v>
      </c>
      <c r="I159" s="22">
        <v>0</v>
      </c>
      <c r="J159">
        <f t="shared" si="8"/>
        <v>2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">
      <c r="A160" t="s">
        <v>69</v>
      </c>
      <c r="B160" s="22">
        <v>0</v>
      </c>
      <c r="C160" s="22">
        <v>0</v>
      </c>
      <c r="D160" s="22">
        <v>1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>
        <f t="shared" si="8"/>
        <v>0</v>
      </c>
      <c r="K160">
        <f t="shared" si="9"/>
        <v>0</v>
      </c>
      <c r="L160">
        <f t="shared" si="10"/>
        <v>1</v>
      </c>
      <c r="M160">
        <f t="shared" si="11"/>
        <v>0</v>
      </c>
    </row>
    <row r="161" spans="1:13" ht="15" customHeight="1" x14ac:dyDescent="0.2">
      <c r="A161" t="s">
        <v>70</v>
      </c>
      <c r="B161" s="22">
        <v>0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</row>
    <row r="162" spans="1:13" ht="15" customHeight="1" x14ac:dyDescent="0.2">
      <c r="A162" t="s">
        <v>71</v>
      </c>
      <c r="B162" s="22">
        <v>0</v>
      </c>
      <c r="C162" s="22">
        <v>0</v>
      </c>
      <c r="D162" s="22">
        <v>0</v>
      </c>
      <c r="E162" s="22">
        <v>0</v>
      </c>
      <c r="F162" s="22">
        <v>1</v>
      </c>
      <c r="G162" s="22">
        <v>0</v>
      </c>
      <c r="H162" s="22">
        <v>0</v>
      </c>
      <c r="I162" s="22">
        <v>0</v>
      </c>
      <c r="J162">
        <f t="shared" si="8"/>
        <v>0</v>
      </c>
      <c r="K162">
        <f t="shared" si="9"/>
        <v>0</v>
      </c>
      <c r="L162">
        <f t="shared" si="10"/>
        <v>1</v>
      </c>
      <c r="M162">
        <f t="shared" si="11"/>
        <v>0</v>
      </c>
    </row>
    <row r="163" spans="1:13" ht="15" customHeight="1" x14ac:dyDescent="0.2">
      <c r="A163" t="s">
        <v>72</v>
      </c>
      <c r="B163" s="22">
        <v>0</v>
      </c>
      <c r="C163" s="22">
        <v>0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>
        <f t="shared" si="8"/>
        <v>0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1:13" ht="15" customHeight="1" x14ac:dyDescent="0.2">
      <c r="A164" t="s">
        <v>73</v>
      </c>
      <c r="B164" s="22">
        <v>0</v>
      </c>
      <c r="C164" s="22">
        <v>0</v>
      </c>
      <c r="D164" s="22">
        <v>2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>
        <f t="shared" si="8"/>
        <v>0</v>
      </c>
      <c r="K164">
        <f t="shared" si="9"/>
        <v>0</v>
      </c>
      <c r="L164">
        <f t="shared" si="10"/>
        <v>2</v>
      </c>
      <c r="M164">
        <f t="shared" si="11"/>
        <v>0</v>
      </c>
    </row>
    <row r="165" spans="1:13" ht="15" customHeight="1" x14ac:dyDescent="0.2">
      <c r="A165" t="s">
        <v>74</v>
      </c>
      <c r="B165" s="22">
        <v>0</v>
      </c>
      <c r="C165" s="22">
        <v>0</v>
      </c>
      <c r="D165" s="22">
        <v>0</v>
      </c>
      <c r="E165" s="22">
        <v>0</v>
      </c>
      <c r="F165" s="22">
        <v>1</v>
      </c>
      <c r="G165" s="22">
        <v>0</v>
      </c>
      <c r="H165" s="22">
        <v>0</v>
      </c>
      <c r="I165" s="22">
        <v>0</v>
      </c>
      <c r="J165">
        <f t="shared" si="8"/>
        <v>0</v>
      </c>
      <c r="K165">
        <f t="shared" si="9"/>
        <v>0</v>
      </c>
      <c r="L165">
        <f t="shared" si="10"/>
        <v>1</v>
      </c>
      <c r="M165">
        <f t="shared" si="11"/>
        <v>0</v>
      </c>
    </row>
    <row r="166" spans="1:13" ht="15" customHeight="1" x14ac:dyDescent="0.2">
      <c r="A166" t="s">
        <v>75</v>
      </c>
      <c r="B166" s="22">
        <v>0</v>
      </c>
      <c r="C166" s="22">
        <v>0</v>
      </c>
      <c r="D166" s="22">
        <v>2</v>
      </c>
      <c r="E166" s="22">
        <v>0</v>
      </c>
      <c r="F166" s="22">
        <v>1</v>
      </c>
      <c r="G166" s="22">
        <v>0</v>
      </c>
      <c r="H166" s="22">
        <v>0</v>
      </c>
      <c r="I166" s="22">
        <v>0</v>
      </c>
      <c r="J166">
        <f t="shared" si="8"/>
        <v>0</v>
      </c>
      <c r="K166">
        <f t="shared" si="9"/>
        <v>0</v>
      </c>
      <c r="L166">
        <f t="shared" si="10"/>
        <v>3</v>
      </c>
      <c r="M166">
        <f t="shared" si="11"/>
        <v>0</v>
      </c>
    </row>
    <row r="167" spans="1:13" ht="15" customHeight="1" x14ac:dyDescent="0.2">
      <c r="A167" t="s">
        <v>76</v>
      </c>
      <c r="B167" s="22">
        <v>0</v>
      </c>
      <c r="C167" s="22">
        <v>0</v>
      </c>
      <c r="D167" s="22">
        <v>1</v>
      </c>
      <c r="E167" s="22">
        <v>0</v>
      </c>
      <c r="F167" s="22">
        <v>0</v>
      </c>
      <c r="G167" s="22">
        <v>0</v>
      </c>
      <c r="H167" s="22">
        <v>0</v>
      </c>
      <c r="I167" s="22">
        <v>1</v>
      </c>
      <c r="J167">
        <f t="shared" si="8"/>
        <v>0</v>
      </c>
      <c r="K167">
        <f t="shared" si="9"/>
        <v>1</v>
      </c>
      <c r="L167">
        <f t="shared" si="10"/>
        <v>1</v>
      </c>
      <c r="M167">
        <f t="shared" si="11"/>
        <v>0</v>
      </c>
    </row>
    <row r="168" spans="1:13" ht="15" customHeight="1" x14ac:dyDescent="0.2">
      <c r="A168" t="s">
        <v>77</v>
      </c>
      <c r="B168" s="22">
        <v>0</v>
      </c>
      <c r="C168" s="22">
        <v>0</v>
      </c>
      <c r="D168" s="22">
        <v>0</v>
      </c>
      <c r="E168" s="22">
        <v>0</v>
      </c>
      <c r="F168" s="22">
        <v>1</v>
      </c>
      <c r="G168" s="22">
        <v>0</v>
      </c>
      <c r="H168" s="22">
        <v>0</v>
      </c>
      <c r="I168" s="22">
        <v>0</v>
      </c>
      <c r="J168">
        <f t="shared" si="8"/>
        <v>0</v>
      </c>
      <c r="K168">
        <f t="shared" si="9"/>
        <v>0</v>
      </c>
      <c r="L168">
        <f t="shared" si="10"/>
        <v>1</v>
      </c>
      <c r="M168">
        <f t="shared" si="11"/>
        <v>0</v>
      </c>
    </row>
    <row r="169" spans="1:13" ht="15" customHeight="1" x14ac:dyDescent="0.2">
      <c r="A169" t="s">
        <v>78</v>
      </c>
      <c r="B169" s="22">
        <v>0</v>
      </c>
      <c r="C169" s="22">
        <v>0</v>
      </c>
      <c r="D169" s="22">
        <v>0</v>
      </c>
      <c r="E169" s="22">
        <v>0</v>
      </c>
      <c r="F169" s="22">
        <v>1</v>
      </c>
      <c r="G169" s="22">
        <v>1</v>
      </c>
      <c r="H169" s="22">
        <v>0</v>
      </c>
      <c r="I169" s="22">
        <v>0</v>
      </c>
      <c r="J169">
        <f t="shared" si="8"/>
        <v>1</v>
      </c>
      <c r="K169">
        <f t="shared" si="9"/>
        <v>0</v>
      </c>
      <c r="L169">
        <f t="shared" si="10"/>
        <v>1</v>
      </c>
      <c r="M169">
        <f t="shared" si="11"/>
        <v>0</v>
      </c>
    </row>
    <row r="170" spans="1:13" ht="15" customHeight="1" x14ac:dyDescent="0.2">
      <c r="A170" t="s">
        <v>79</v>
      </c>
      <c r="B170" s="22">
        <v>0</v>
      </c>
      <c r="C170" s="22">
        <v>1</v>
      </c>
      <c r="D170" s="22">
        <v>1</v>
      </c>
      <c r="E170" s="22">
        <v>0</v>
      </c>
      <c r="F170" s="22">
        <v>1</v>
      </c>
      <c r="G170" s="22">
        <v>0</v>
      </c>
      <c r="H170" s="22">
        <v>0</v>
      </c>
      <c r="I170" s="22">
        <v>0</v>
      </c>
      <c r="J170">
        <f t="shared" si="8"/>
        <v>0</v>
      </c>
      <c r="K170">
        <f t="shared" si="9"/>
        <v>1</v>
      </c>
      <c r="L170">
        <f t="shared" si="10"/>
        <v>2</v>
      </c>
      <c r="M170">
        <f t="shared" si="11"/>
        <v>0</v>
      </c>
    </row>
    <row r="171" spans="1:13" ht="15" customHeight="1" x14ac:dyDescent="0.2">
      <c r="A171" t="s">
        <v>80</v>
      </c>
      <c r="B171" s="22">
        <v>0</v>
      </c>
      <c r="C171" s="22">
        <v>0</v>
      </c>
      <c r="D171" s="22">
        <v>2</v>
      </c>
      <c r="E171" s="22">
        <v>0</v>
      </c>
      <c r="F171" s="22">
        <v>1</v>
      </c>
      <c r="G171" s="22">
        <v>0</v>
      </c>
      <c r="H171" s="22">
        <v>0</v>
      </c>
      <c r="I171" s="22">
        <v>0</v>
      </c>
      <c r="J171">
        <f t="shared" si="8"/>
        <v>0</v>
      </c>
      <c r="K171">
        <f t="shared" si="9"/>
        <v>0</v>
      </c>
      <c r="L171">
        <f t="shared" si="10"/>
        <v>3</v>
      </c>
      <c r="M171">
        <f t="shared" si="11"/>
        <v>0</v>
      </c>
    </row>
    <row r="172" spans="1:13" ht="15" customHeight="1" x14ac:dyDescent="0.2">
      <c r="A172" t="s">
        <v>81</v>
      </c>
      <c r="B172" s="22">
        <v>0</v>
      </c>
      <c r="C172" s="22">
        <v>0</v>
      </c>
      <c r="D172" s="22">
        <v>0</v>
      </c>
      <c r="E172" s="22">
        <v>0</v>
      </c>
      <c r="F172" s="22">
        <v>0</v>
      </c>
      <c r="G172" s="22">
        <v>0</v>
      </c>
      <c r="H172" s="22">
        <v>0</v>
      </c>
      <c r="I172" s="22">
        <v>0</v>
      </c>
      <c r="J172">
        <f t="shared" si="8"/>
        <v>0</v>
      </c>
      <c r="K172">
        <f t="shared" si="9"/>
        <v>0</v>
      </c>
      <c r="L172">
        <f t="shared" si="10"/>
        <v>0</v>
      </c>
      <c r="M172">
        <f t="shared" si="11"/>
        <v>0</v>
      </c>
    </row>
    <row r="173" spans="1:13" ht="15" customHeight="1" x14ac:dyDescent="0.2">
      <c r="A173" t="s">
        <v>82</v>
      </c>
      <c r="B173" s="22">
        <v>0</v>
      </c>
      <c r="C173" s="22">
        <v>0</v>
      </c>
      <c r="D173" s="22">
        <v>0</v>
      </c>
      <c r="E173" s="22">
        <v>0</v>
      </c>
      <c r="F173" s="22">
        <v>2</v>
      </c>
      <c r="G173" s="22">
        <v>0</v>
      </c>
      <c r="H173" s="22">
        <v>0</v>
      </c>
      <c r="I173" s="22">
        <v>0</v>
      </c>
      <c r="J173">
        <f t="shared" si="8"/>
        <v>0</v>
      </c>
      <c r="K173">
        <f t="shared" si="9"/>
        <v>0</v>
      </c>
      <c r="L173">
        <f t="shared" si="10"/>
        <v>2</v>
      </c>
      <c r="M173">
        <f t="shared" si="11"/>
        <v>0</v>
      </c>
    </row>
    <row r="174" spans="1:13" ht="15" customHeight="1" x14ac:dyDescent="0.2">
      <c r="A174" t="s">
        <v>83</v>
      </c>
      <c r="B174" s="22">
        <v>0</v>
      </c>
      <c r="C174" s="22">
        <v>0</v>
      </c>
      <c r="D174" s="22">
        <v>0</v>
      </c>
      <c r="E174" s="22">
        <v>0</v>
      </c>
      <c r="F174" s="22">
        <v>2</v>
      </c>
      <c r="G174" s="22">
        <v>0</v>
      </c>
      <c r="H174" s="22">
        <v>0</v>
      </c>
      <c r="I174" s="22">
        <v>0</v>
      </c>
      <c r="J174">
        <f t="shared" si="8"/>
        <v>0</v>
      </c>
      <c r="K174">
        <f t="shared" si="9"/>
        <v>0</v>
      </c>
      <c r="L174">
        <f t="shared" si="10"/>
        <v>2</v>
      </c>
      <c r="M174">
        <f t="shared" si="11"/>
        <v>0</v>
      </c>
    </row>
    <row r="175" spans="1:13" ht="15" customHeight="1" x14ac:dyDescent="0.2">
      <c r="A175" t="s">
        <v>84</v>
      </c>
      <c r="B175" s="22">
        <v>0</v>
      </c>
      <c r="C175" s="22">
        <v>0</v>
      </c>
      <c r="D175" s="22">
        <v>1</v>
      </c>
      <c r="E175" s="22">
        <v>0</v>
      </c>
      <c r="F175" s="22">
        <v>0</v>
      </c>
      <c r="G175" s="22">
        <v>0</v>
      </c>
      <c r="H175" s="22">
        <v>0</v>
      </c>
      <c r="I175" s="22">
        <v>2</v>
      </c>
      <c r="J175">
        <f t="shared" si="8"/>
        <v>0</v>
      </c>
      <c r="K175">
        <f t="shared" si="9"/>
        <v>2</v>
      </c>
      <c r="L175">
        <f t="shared" si="10"/>
        <v>1</v>
      </c>
      <c r="M175">
        <f t="shared" si="11"/>
        <v>0</v>
      </c>
    </row>
    <row r="176" spans="1:13" ht="15" customHeight="1" x14ac:dyDescent="0.2">
      <c r="A176" t="s">
        <v>85</v>
      </c>
      <c r="B176" s="22">
        <v>0</v>
      </c>
      <c r="C176" s="22">
        <v>0</v>
      </c>
      <c r="D176" s="22">
        <v>0</v>
      </c>
      <c r="E176" s="22">
        <v>1</v>
      </c>
      <c r="F176" s="22">
        <v>2</v>
      </c>
      <c r="G176" s="22">
        <v>0</v>
      </c>
      <c r="H176" s="22">
        <v>0</v>
      </c>
      <c r="I176" s="22">
        <v>1</v>
      </c>
      <c r="J176">
        <f t="shared" si="8"/>
        <v>1</v>
      </c>
      <c r="K176">
        <f t="shared" si="9"/>
        <v>1</v>
      </c>
      <c r="L176">
        <f t="shared" si="10"/>
        <v>2</v>
      </c>
      <c r="M176">
        <f t="shared" si="11"/>
        <v>0</v>
      </c>
    </row>
    <row r="177" spans="1:13" ht="15" customHeight="1" x14ac:dyDescent="0.2">
      <c r="A177" t="s">
        <v>86</v>
      </c>
      <c r="B177" s="22">
        <v>0</v>
      </c>
      <c r="C177" s="22">
        <v>1</v>
      </c>
      <c r="D177" s="22">
        <v>0</v>
      </c>
      <c r="E177" s="22">
        <v>0</v>
      </c>
      <c r="F177" s="22">
        <v>1</v>
      </c>
      <c r="G177" s="22">
        <v>0</v>
      </c>
      <c r="H177" s="22">
        <v>0</v>
      </c>
      <c r="I177" s="22">
        <v>0</v>
      </c>
      <c r="J177">
        <f t="shared" si="8"/>
        <v>0</v>
      </c>
      <c r="K177">
        <f t="shared" si="9"/>
        <v>1</v>
      </c>
      <c r="L177">
        <f t="shared" si="10"/>
        <v>1</v>
      </c>
      <c r="M177">
        <f t="shared" si="11"/>
        <v>0</v>
      </c>
    </row>
    <row r="178" spans="1:13" ht="15" customHeight="1" x14ac:dyDescent="0.2">
      <c r="A178" t="s">
        <v>87</v>
      </c>
      <c r="B178" s="22">
        <v>0</v>
      </c>
      <c r="C178" s="22">
        <v>0</v>
      </c>
      <c r="D178" s="22">
        <v>1</v>
      </c>
      <c r="E178" s="22">
        <v>0</v>
      </c>
      <c r="F178" s="22">
        <v>1</v>
      </c>
      <c r="G178" s="22">
        <v>0</v>
      </c>
      <c r="H178" s="22">
        <v>0</v>
      </c>
      <c r="I178" s="22">
        <v>0</v>
      </c>
      <c r="J178">
        <f t="shared" si="8"/>
        <v>0</v>
      </c>
      <c r="K178">
        <f t="shared" si="9"/>
        <v>0</v>
      </c>
      <c r="L178">
        <f t="shared" si="10"/>
        <v>2</v>
      </c>
      <c r="M178">
        <f t="shared" si="11"/>
        <v>0</v>
      </c>
    </row>
    <row r="179" spans="1:13" ht="15" customHeight="1" x14ac:dyDescent="0.2">
      <c r="A179" t="s">
        <v>88</v>
      </c>
      <c r="B179" s="22">
        <v>0</v>
      </c>
      <c r="C179" s="22">
        <v>0</v>
      </c>
      <c r="D179" s="22">
        <v>0</v>
      </c>
      <c r="E179" s="22">
        <v>0</v>
      </c>
      <c r="F179" s="22">
        <v>0</v>
      </c>
      <c r="G179" s="22">
        <v>0</v>
      </c>
      <c r="H179" s="22">
        <v>0</v>
      </c>
      <c r="I179" s="22">
        <v>0</v>
      </c>
      <c r="J179">
        <f t="shared" si="8"/>
        <v>0</v>
      </c>
      <c r="K179">
        <f t="shared" si="9"/>
        <v>0</v>
      </c>
      <c r="L179">
        <f t="shared" si="10"/>
        <v>0</v>
      </c>
      <c r="M179">
        <f t="shared" si="11"/>
        <v>0</v>
      </c>
    </row>
    <row r="180" spans="1:13" ht="15" customHeight="1" x14ac:dyDescent="0.2">
      <c r="A180" t="s">
        <v>89</v>
      </c>
      <c r="B180" s="22">
        <v>0</v>
      </c>
      <c r="C180" s="22">
        <v>0</v>
      </c>
      <c r="D180" s="22">
        <v>1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>
        <f t="shared" si="8"/>
        <v>0</v>
      </c>
      <c r="K180">
        <f t="shared" si="9"/>
        <v>0</v>
      </c>
      <c r="L180">
        <f t="shared" si="10"/>
        <v>1</v>
      </c>
      <c r="M180">
        <f t="shared" si="11"/>
        <v>0</v>
      </c>
    </row>
    <row r="181" spans="1:13" ht="15" customHeight="1" x14ac:dyDescent="0.2">
      <c r="A181" t="s">
        <v>90</v>
      </c>
      <c r="B181" s="22">
        <v>0</v>
      </c>
      <c r="C181" s="22">
        <v>0</v>
      </c>
      <c r="D181" s="22">
        <v>0</v>
      </c>
      <c r="E181" s="22">
        <v>0</v>
      </c>
      <c r="F181" s="22">
        <v>0</v>
      </c>
      <c r="G181" s="22">
        <v>1</v>
      </c>
      <c r="H181" s="22">
        <v>0</v>
      </c>
      <c r="I181" s="22">
        <v>0</v>
      </c>
      <c r="J181">
        <f t="shared" si="8"/>
        <v>1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">
      <c r="A182" t="s">
        <v>91</v>
      </c>
      <c r="B182" s="22">
        <v>1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1</v>
      </c>
    </row>
    <row r="183" spans="1:13" ht="15" customHeight="1" x14ac:dyDescent="0.2">
      <c r="A183" t="s">
        <v>92</v>
      </c>
      <c r="B183" s="22">
        <v>0</v>
      </c>
      <c r="C183" s="22">
        <v>0</v>
      </c>
      <c r="D183" s="22">
        <v>0</v>
      </c>
      <c r="E183" s="22">
        <v>0</v>
      </c>
      <c r="F183" s="22">
        <v>1</v>
      </c>
      <c r="G183" s="22">
        <v>0</v>
      </c>
      <c r="H183" s="22">
        <v>1</v>
      </c>
      <c r="I183" s="22">
        <v>0</v>
      </c>
      <c r="J183">
        <f t="shared" si="8"/>
        <v>0</v>
      </c>
      <c r="K183">
        <f t="shared" si="9"/>
        <v>0</v>
      </c>
      <c r="L183">
        <f t="shared" si="10"/>
        <v>1</v>
      </c>
      <c r="M183">
        <f t="shared" si="11"/>
        <v>1</v>
      </c>
    </row>
    <row r="184" spans="1:13" ht="15" customHeight="1" x14ac:dyDescent="0.2">
      <c r="A184" t="s">
        <v>93</v>
      </c>
      <c r="B184" s="22">
        <v>0</v>
      </c>
      <c r="C184" s="22">
        <v>0</v>
      </c>
      <c r="D184" s="22">
        <v>0</v>
      </c>
      <c r="E184" s="22">
        <v>0</v>
      </c>
      <c r="F184" s="22">
        <v>2</v>
      </c>
      <c r="G184" s="22">
        <v>0</v>
      </c>
      <c r="H184" s="22">
        <v>0</v>
      </c>
      <c r="I184" s="22">
        <v>0</v>
      </c>
      <c r="J184">
        <f t="shared" si="8"/>
        <v>0</v>
      </c>
      <c r="K184">
        <f t="shared" si="9"/>
        <v>0</v>
      </c>
      <c r="L184">
        <f t="shared" si="10"/>
        <v>2</v>
      </c>
      <c r="M184">
        <f t="shared" si="11"/>
        <v>0</v>
      </c>
    </row>
    <row r="185" spans="1:13" ht="15" customHeight="1" x14ac:dyDescent="0.2">
      <c r="A185" t="s">
        <v>94</v>
      </c>
      <c r="B185" s="22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">
      <c r="A186" t="s">
        <v>95</v>
      </c>
      <c r="B186" s="22">
        <v>0</v>
      </c>
      <c r="C186" s="22">
        <v>0</v>
      </c>
      <c r="D186" s="22">
        <v>0</v>
      </c>
      <c r="E186" s="22">
        <v>0</v>
      </c>
      <c r="F186" s="22">
        <v>1</v>
      </c>
      <c r="G186" s="22">
        <v>0</v>
      </c>
      <c r="H186" s="22">
        <v>1</v>
      </c>
      <c r="I186" s="22">
        <v>0</v>
      </c>
      <c r="J186">
        <f t="shared" si="8"/>
        <v>0</v>
      </c>
      <c r="K186">
        <f t="shared" si="9"/>
        <v>0</v>
      </c>
      <c r="L186">
        <f t="shared" si="10"/>
        <v>1</v>
      </c>
      <c r="M186">
        <f t="shared" si="11"/>
        <v>1</v>
      </c>
    </row>
    <row r="187" spans="1:13" ht="15" customHeight="1" x14ac:dyDescent="0.2">
      <c r="A187" t="s">
        <v>96</v>
      </c>
      <c r="B187" s="22">
        <v>0</v>
      </c>
      <c r="C187" s="22">
        <v>0</v>
      </c>
      <c r="D187" s="22">
        <v>1</v>
      </c>
      <c r="E187" s="22">
        <v>0</v>
      </c>
      <c r="F187" s="22">
        <v>1</v>
      </c>
      <c r="G187" s="22">
        <v>1</v>
      </c>
      <c r="H187" s="22">
        <v>0</v>
      </c>
      <c r="I187" s="22">
        <v>0</v>
      </c>
      <c r="J187">
        <f t="shared" si="8"/>
        <v>1</v>
      </c>
      <c r="K187">
        <f t="shared" si="9"/>
        <v>0</v>
      </c>
      <c r="L187">
        <f t="shared" si="10"/>
        <v>2</v>
      </c>
      <c r="M187">
        <f t="shared" si="11"/>
        <v>0</v>
      </c>
    </row>
    <row r="188" spans="1:13" ht="15" customHeight="1" x14ac:dyDescent="0.2">
      <c r="A188" t="s">
        <v>97</v>
      </c>
      <c r="B188" s="22">
        <v>0</v>
      </c>
      <c r="C188" s="22">
        <v>0</v>
      </c>
      <c r="D188" s="22">
        <v>0</v>
      </c>
      <c r="E188" s="22">
        <v>0</v>
      </c>
      <c r="F188" s="22">
        <v>1</v>
      </c>
      <c r="G188" s="22">
        <v>0</v>
      </c>
      <c r="H188" s="22">
        <v>0</v>
      </c>
      <c r="I188" s="22">
        <v>0</v>
      </c>
      <c r="J188">
        <f t="shared" si="8"/>
        <v>0</v>
      </c>
      <c r="K188">
        <f t="shared" si="9"/>
        <v>0</v>
      </c>
      <c r="L188">
        <f t="shared" si="10"/>
        <v>1</v>
      </c>
      <c r="M188">
        <f t="shared" si="11"/>
        <v>0</v>
      </c>
    </row>
    <row r="189" spans="1:13" ht="15" customHeight="1" x14ac:dyDescent="0.2">
      <c r="A189" t="s">
        <v>98</v>
      </c>
      <c r="B189" s="22">
        <v>0</v>
      </c>
      <c r="C189" s="22">
        <v>0</v>
      </c>
      <c r="D189" s="22">
        <v>1</v>
      </c>
      <c r="E189" s="22">
        <v>1</v>
      </c>
      <c r="F189" s="22">
        <v>1</v>
      </c>
      <c r="G189" s="22">
        <v>0</v>
      </c>
      <c r="H189" s="22">
        <v>0</v>
      </c>
      <c r="I189" s="22">
        <v>0</v>
      </c>
      <c r="J189">
        <f t="shared" si="8"/>
        <v>1</v>
      </c>
      <c r="K189">
        <f t="shared" si="9"/>
        <v>0</v>
      </c>
      <c r="L189">
        <f t="shared" si="10"/>
        <v>2</v>
      </c>
      <c r="M189">
        <f t="shared" si="11"/>
        <v>0</v>
      </c>
    </row>
    <row r="190" spans="1:13" ht="15" customHeight="1" x14ac:dyDescent="0.2">
      <c r="A190" t="s">
        <v>99</v>
      </c>
      <c r="B190" s="22">
        <v>0</v>
      </c>
      <c r="C190" s="22">
        <v>0</v>
      </c>
      <c r="D190" s="22">
        <v>1</v>
      </c>
      <c r="E190" s="22">
        <v>0</v>
      </c>
      <c r="F190" s="22">
        <v>1</v>
      </c>
      <c r="G190" s="22">
        <v>0</v>
      </c>
      <c r="H190" s="22">
        <v>0</v>
      </c>
      <c r="I190" s="22">
        <v>0</v>
      </c>
      <c r="J190">
        <f t="shared" si="8"/>
        <v>0</v>
      </c>
      <c r="K190">
        <f t="shared" si="9"/>
        <v>0</v>
      </c>
      <c r="L190">
        <f t="shared" si="10"/>
        <v>2</v>
      </c>
      <c r="M190">
        <f t="shared" si="11"/>
        <v>0</v>
      </c>
    </row>
    <row r="191" spans="1:13" ht="15" customHeight="1" x14ac:dyDescent="0.2">
      <c r="A191" t="s">
        <v>100</v>
      </c>
      <c r="B191" s="22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">
      <c r="A192" t="s">
        <v>101</v>
      </c>
      <c r="B192" s="22">
        <v>0</v>
      </c>
      <c r="C192" s="22">
        <v>0</v>
      </c>
      <c r="D192" s="22">
        <v>1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>
        <f t="shared" si="8"/>
        <v>0</v>
      </c>
      <c r="K192">
        <f t="shared" si="9"/>
        <v>0</v>
      </c>
      <c r="L192">
        <f t="shared" si="10"/>
        <v>1</v>
      </c>
      <c r="M192">
        <f t="shared" si="11"/>
        <v>0</v>
      </c>
    </row>
    <row r="193" spans="1:13" ht="15" customHeight="1" x14ac:dyDescent="0.2">
      <c r="A193" t="s">
        <v>102</v>
      </c>
      <c r="B193" s="22">
        <v>0</v>
      </c>
      <c r="C193" s="22">
        <v>0</v>
      </c>
      <c r="D193" s="22">
        <v>0</v>
      </c>
      <c r="E193" s="22">
        <v>0</v>
      </c>
      <c r="F193" s="22">
        <v>1</v>
      </c>
      <c r="G193" s="22">
        <v>0</v>
      </c>
      <c r="H193" s="22">
        <v>0</v>
      </c>
      <c r="I193" s="22">
        <v>0</v>
      </c>
      <c r="J193">
        <f t="shared" si="8"/>
        <v>0</v>
      </c>
      <c r="K193">
        <f t="shared" si="9"/>
        <v>0</v>
      </c>
      <c r="L193">
        <f t="shared" si="10"/>
        <v>1</v>
      </c>
      <c r="M193">
        <f t="shared" si="11"/>
        <v>0</v>
      </c>
    </row>
    <row r="194" spans="1:13" ht="15" customHeight="1" x14ac:dyDescent="0.2">
      <c r="A194" t="s">
        <v>103</v>
      </c>
      <c r="B194" s="22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">
      <c r="A195" t="s">
        <v>104</v>
      </c>
      <c r="B195" s="22">
        <v>0</v>
      </c>
      <c r="C195" s="22">
        <v>0</v>
      </c>
      <c r="D195" s="22">
        <v>1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>
        <f t="shared" si="8"/>
        <v>0</v>
      </c>
      <c r="K195">
        <f t="shared" si="9"/>
        <v>0</v>
      </c>
      <c r="L195">
        <f t="shared" si="10"/>
        <v>1</v>
      </c>
      <c r="M195">
        <f t="shared" si="11"/>
        <v>0</v>
      </c>
    </row>
    <row r="196" spans="1:13" ht="15" customHeight="1" x14ac:dyDescent="0.2">
      <c r="A196" t="s">
        <v>105</v>
      </c>
      <c r="B196" s="22">
        <v>1</v>
      </c>
      <c r="C196" s="22">
        <v>0</v>
      </c>
      <c r="D196" s="22">
        <v>0</v>
      </c>
      <c r="E196" s="22">
        <v>0</v>
      </c>
      <c r="F196" s="22">
        <v>1</v>
      </c>
      <c r="G196" s="22">
        <v>0</v>
      </c>
      <c r="H196" s="22">
        <v>0</v>
      </c>
      <c r="I196" s="22">
        <v>0</v>
      </c>
      <c r="J196">
        <f t="shared" si="8"/>
        <v>0</v>
      </c>
      <c r="K196">
        <f t="shared" si="9"/>
        <v>0</v>
      </c>
      <c r="L196">
        <f t="shared" si="10"/>
        <v>1</v>
      </c>
      <c r="M196">
        <f t="shared" si="11"/>
        <v>1</v>
      </c>
    </row>
    <row r="197" spans="1:13" ht="15" customHeight="1" x14ac:dyDescent="0.2">
      <c r="A197" t="s">
        <v>106</v>
      </c>
      <c r="B197" s="22">
        <v>0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">
      <c r="A198" t="s">
        <v>107</v>
      </c>
      <c r="B198" s="22">
        <v>0</v>
      </c>
      <c r="C198" s="22">
        <v>0</v>
      </c>
      <c r="D198" s="22">
        <v>1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>
        <f t="shared" si="8"/>
        <v>0</v>
      </c>
      <c r="K198">
        <f t="shared" si="9"/>
        <v>0</v>
      </c>
      <c r="L198">
        <f t="shared" si="10"/>
        <v>1</v>
      </c>
      <c r="M198">
        <f t="shared" si="11"/>
        <v>0</v>
      </c>
    </row>
    <row r="199" spans="1:13" ht="15" customHeight="1" x14ac:dyDescent="0.2">
      <c r="A199" t="s">
        <v>108</v>
      </c>
      <c r="B199" s="22">
        <v>0</v>
      </c>
      <c r="C199" s="22">
        <v>0</v>
      </c>
      <c r="D199" s="22">
        <v>0</v>
      </c>
      <c r="E199" s="22">
        <v>0</v>
      </c>
      <c r="F199" s="22">
        <v>0</v>
      </c>
      <c r="G199" s="22">
        <v>1</v>
      </c>
      <c r="H199" s="22">
        <v>0</v>
      </c>
      <c r="I199" s="22">
        <v>0</v>
      </c>
      <c r="J199">
        <f t="shared" si="8"/>
        <v>1</v>
      </c>
      <c r="K199">
        <f t="shared" si="9"/>
        <v>0</v>
      </c>
      <c r="L199">
        <f t="shared" si="10"/>
        <v>0</v>
      </c>
      <c r="M199">
        <f t="shared" si="11"/>
        <v>0</v>
      </c>
    </row>
    <row r="200" spans="1:13" ht="15" customHeight="1" x14ac:dyDescent="0.2">
      <c r="A200" t="s">
        <v>109</v>
      </c>
      <c r="B200" s="22">
        <v>0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>
        <f t="shared" si="8"/>
        <v>0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">
      <c r="A201" t="s">
        <v>110</v>
      </c>
      <c r="B201" s="22">
        <v>0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">
      <c r="B202">
        <f t="shared" ref="B202:M202" si="12">SUM(B10:B201)</f>
        <v>10</v>
      </c>
      <c r="C202">
        <f t="shared" si="12"/>
        <v>14</v>
      </c>
      <c r="D202">
        <f t="shared" si="12"/>
        <v>70</v>
      </c>
      <c r="E202">
        <f t="shared" si="12"/>
        <v>8</v>
      </c>
      <c r="F202">
        <f t="shared" si="12"/>
        <v>76</v>
      </c>
      <c r="G202">
        <f t="shared" si="12"/>
        <v>26</v>
      </c>
      <c r="H202">
        <f t="shared" si="12"/>
        <v>12</v>
      </c>
      <c r="I202">
        <f t="shared" si="12"/>
        <v>12</v>
      </c>
      <c r="J202">
        <f t="shared" si="12"/>
        <v>34</v>
      </c>
      <c r="K202">
        <f t="shared" si="12"/>
        <v>26</v>
      </c>
      <c r="L202">
        <f t="shared" si="12"/>
        <v>146</v>
      </c>
      <c r="M202">
        <f t="shared" si="12"/>
        <v>22</v>
      </c>
    </row>
    <row r="204" spans="1:13" ht="15" customHeight="1" x14ac:dyDescent="0.2">
      <c r="K204" s="88" t="s">
        <v>212</v>
      </c>
      <c r="L204" s="6">
        <f>SUM(L38:L89,L134:L185)</f>
        <v>105</v>
      </c>
    </row>
    <row r="205" spans="1:13" ht="15" customHeight="1" x14ac:dyDescent="0.2">
      <c r="K205" s="88" t="s">
        <v>213</v>
      </c>
      <c r="L205" s="6">
        <f>L202-L204</f>
        <v>41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N1" sqref="N1:N1048576"/>
    </sheetView>
  </sheetViews>
  <sheetFormatPr defaultColWidth="12.140625" defaultRowHeight="15" customHeight="1" x14ac:dyDescent="0.2"/>
  <cols>
    <col min="1" max="1" width="12.140625" bestFit="1" customWidth="1"/>
    <col min="2" max="2" width="11.28515625" hidden="1" customWidth="1"/>
    <col min="3" max="3" width="10.85546875" hidden="1" customWidth="1"/>
    <col min="4" max="4" width="10.42578125" hidden="1" customWidth="1"/>
    <col min="5" max="5" width="10.42578125" style="45" customWidth="1"/>
    <col min="6" max="6" width="10.85546875" hidden="1" customWidth="1"/>
    <col min="7" max="7" width="10.85546875" style="45" customWidth="1"/>
    <col min="8" max="9" width="10.42578125" customWidth="1"/>
    <col min="10" max="10" width="11" customWidth="1"/>
  </cols>
  <sheetData>
    <row r="1" spans="1:14" ht="15" customHeight="1" x14ac:dyDescent="0.3">
      <c r="A1" s="111" t="s">
        <v>0</v>
      </c>
      <c r="B1" s="111"/>
      <c r="C1" s="112" t="s">
        <v>200</v>
      </c>
      <c r="D1" s="112"/>
      <c r="E1" s="112"/>
      <c r="F1" s="112"/>
      <c r="G1" s="112"/>
      <c r="H1" s="112"/>
      <c r="I1" s="112"/>
      <c r="J1" s="112"/>
    </row>
    <row r="2" spans="1:14" ht="15" customHeight="1" x14ac:dyDescent="0.3">
      <c r="A2" s="111" t="s">
        <v>2</v>
      </c>
      <c r="B2" s="111"/>
      <c r="C2" s="112" t="s">
        <v>201</v>
      </c>
      <c r="D2" s="112"/>
      <c r="E2" s="112"/>
      <c r="F2" s="112"/>
      <c r="G2" s="112"/>
      <c r="H2" s="112"/>
      <c r="I2" s="112"/>
      <c r="J2" s="112"/>
    </row>
    <row r="3" spans="1:14" ht="15" customHeight="1" x14ac:dyDescent="0.3">
      <c r="A3" s="111" t="s">
        <v>4</v>
      </c>
      <c r="B3" s="111"/>
      <c r="C3" s="112" t="s">
        <v>5</v>
      </c>
      <c r="D3" s="112"/>
      <c r="E3" s="112"/>
      <c r="F3" s="112"/>
      <c r="G3" s="112"/>
      <c r="H3" s="112"/>
      <c r="I3" s="112"/>
      <c r="J3" s="112"/>
    </row>
    <row r="4" spans="1:14" ht="15" customHeight="1" x14ac:dyDescent="0.3">
      <c r="A4" s="111" t="s">
        <v>6</v>
      </c>
      <c r="B4" s="111"/>
      <c r="C4" s="112" t="s">
        <v>7</v>
      </c>
      <c r="D4" s="112"/>
      <c r="E4" s="112"/>
      <c r="F4" s="112"/>
      <c r="G4" s="112"/>
      <c r="H4" s="112"/>
      <c r="I4" s="112"/>
      <c r="J4" s="112"/>
    </row>
    <row r="7" spans="1:14" s="24" customFormat="1" ht="28.5" customHeight="1" x14ac:dyDescent="0.2">
      <c r="A7" s="31" t="s">
        <v>8</v>
      </c>
      <c r="B7" s="32" t="s">
        <v>9</v>
      </c>
      <c r="C7" s="32" t="s">
        <v>10</v>
      </c>
      <c r="D7" s="32" t="s">
        <v>9</v>
      </c>
      <c r="E7" s="63" t="s">
        <v>10</v>
      </c>
      <c r="F7" s="32" t="s">
        <v>11</v>
      </c>
      <c r="G7" s="63" t="s">
        <v>12</v>
      </c>
      <c r="H7" s="32" t="s">
        <v>11</v>
      </c>
      <c r="I7" s="32" t="s">
        <v>12</v>
      </c>
      <c r="N7" s="1"/>
    </row>
    <row r="8" spans="1:14" s="24" customFormat="1" ht="28.5" customHeight="1" x14ac:dyDescent="0.2">
      <c r="A8" s="31" t="s">
        <v>13</v>
      </c>
      <c r="B8" s="32" t="s">
        <v>14</v>
      </c>
      <c r="C8" s="32" t="s">
        <v>14</v>
      </c>
      <c r="D8" s="32" t="s">
        <v>15</v>
      </c>
      <c r="E8" s="63" t="s">
        <v>15</v>
      </c>
      <c r="F8" s="32" t="s">
        <v>14</v>
      </c>
      <c r="G8" s="63" t="s">
        <v>14</v>
      </c>
      <c r="H8" s="32" t="s">
        <v>15</v>
      </c>
      <c r="I8" s="32" t="s">
        <v>15</v>
      </c>
      <c r="N8" s="1"/>
    </row>
    <row r="9" spans="1:14" s="24" customFormat="1" ht="28.5" customHeight="1" x14ac:dyDescent="0.2">
      <c r="B9" s="17" t="s">
        <v>111</v>
      </c>
      <c r="C9" s="16" t="s">
        <v>112</v>
      </c>
      <c r="D9" s="17" t="s">
        <v>113</v>
      </c>
      <c r="E9" s="55" t="s">
        <v>114</v>
      </c>
      <c r="F9" s="17" t="s">
        <v>113</v>
      </c>
      <c r="G9" s="55" t="s">
        <v>114</v>
      </c>
      <c r="H9" s="17" t="s">
        <v>111</v>
      </c>
      <c r="I9" s="16" t="s">
        <v>112</v>
      </c>
      <c r="J9" s="17" t="s">
        <v>113</v>
      </c>
      <c r="K9" s="17" t="s">
        <v>111</v>
      </c>
      <c r="L9" s="16" t="s">
        <v>114</v>
      </c>
      <c r="M9" s="16" t="s">
        <v>112</v>
      </c>
      <c r="N9" s="1"/>
    </row>
    <row r="10" spans="1:14" ht="15" customHeight="1" x14ac:dyDescent="0.2">
      <c r="A10" t="s">
        <v>5</v>
      </c>
      <c r="B10" s="22">
        <v>0</v>
      </c>
      <c r="C10" s="22">
        <v>0</v>
      </c>
      <c r="D10" s="22">
        <v>0</v>
      </c>
      <c r="E10" s="56">
        <v>0</v>
      </c>
      <c r="F10" s="22">
        <v>2</v>
      </c>
      <c r="G10" s="56">
        <v>0</v>
      </c>
      <c r="H10" s="22">
        <v>0</v>
      </c>
      <c r="I10" s="22">
        <v>0</v>
      </c>
      <c r="J10">
        <f>SUM(D10,F10)</f>
        <v>2</v>
      </c>
      <c r="K10">
        <f>SUM(B10,H10)</f>
        <v>0</v>
      </c>
      <c r="L10">
        <f>SUM(E10,G10)</f>
        <v>0</v>
      </c>
      <c r="M10">
        <f>SUM(C10,I10)</f>
        <v>0</v>
      </c>
      <c r="N10">
        <v>15</v>
      </c>
    </row>
    <row r="11" spans="1:14" ht="15" customHeight="1" x14ac:dyDescent="0.2">
      <c r="A11" t="s">
        <v>16</v>
      </c>
      <c r="B11" s="22">
        <v>0</v>
      </c>
      <c r="C11" s="22">
        <v>0</v>
      </c>
      <c r="D11" s="22">
        <v>0</v>
      </c>
      <c r="E11" s="56">
        <v>0</v>
      </c>
      <c r="F11" s="22">
        <v>0</v>
      </c>
      <c r="G11" s="56">
        <v>0</v>
      </c>
      <c r="H11" s="22">
        <v>0</v>
      </c>
      <c r="I11" s="22">
        <v>0</v>
      </c>
      <c r="J11">
        <f t="shared" ref="J11:J74" si="0">SUM(D11,F11)</f>
        <v>0</v>
      </c>
      <c r="K11">
        <f t="shared" ref="K11:K74" si="1">SUM(B11,H11)</f>
        <v>0</v>
      </c>
      <c r="L11">
        <f t="shared" ref="L11:L74" si="2">SUM(E11,G11)</f>
        <v>0</v>
      </c>
      <c r="M11">
        <f t="shared" ref="M11:M74" si="3">SUM(C11,I11)</f>
        <v>0</v>
      </c>
      <c r="N11">
        <v>15</v>
      </c>
    </row>
    <row r="12" spans="1:14" ht="15" customHeight="1" x14ac:dyDescent="0.2">
      <c r="A12" t="s">
        <v>17</v>
      </c>
      <c r="B12" s="22">
        <v>1</v>
      </c>
      <c r="C12" s="22">
        <v>0</v>
      </c>
      <c r="D12" s="22">
        <v>0</v>
      </c>
      <c r="E12" s="56">
        <v>0</v>
      </c>
      <c r="F12" s="22">
        <v>0</v>
      </c>
      <c r="G12" s="56">
        <v>0</v>
      </c>
      <c r="H12" s="22">
        <v>0</v>
      </c>
      <c r="I12" s="22">
        <v>0</v>
      </c>
      <c r="J12">
        <f t="shared" si="0"/>
        <v>0</v>
      </c>
      <c r="K12">
        <f t="shared" si="1"/>
        <v>1</v>
      </c>
      <c r="L12">
        <f t="shared" si="2"/>
        <v>0</v>
      </c>
      <c r="M12">
        <f t="shared" si="3"/>
        <v>0</v>
      </c>
      <c r="N12">
        <v>15</v>
      </c>
    </row>
    <row r="13" spans="1:14" ht="15" customHeight="1" x14ac:dyDescent="0.2">
      <c r="A13" t="s">
        <v>18</v>
      </c>
      <c r="B13" s="22">
        <v>0</v>
      </c>
      <c r="C13" s="22">
        <v>0</v>
      </c>
      <c r="D13" s="22">
        <v>0</v>
      </c>
      <c r="E13" s="56">
        <v>0</v>
      </c>
      <c r="F13" s="22">
        <v>0</v>
      </c>
      <c r="G13" s="56">
        <v>0</v>
      </c>
      <c r="H13" s="22">
        <v>0</v>
      </c>
      <c r="I13" s="22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  <c r="N13">
        <v>15</v>
      </c>
    </row>
    <row r="14" spans="1:14" ht="15" customHeight="1" x14ac:dyDescent="0.2">
      <c r="A14" t="s">
        <v>19</v>
      </c>
      <c r="B14" s="22">
        <v>0</v>
      </c>
      <c r="C14" s="22">
        <v>0</v>
      </c>
      <c r="D14" s="22">
        <v>0</v>
      </c>
      <c r="E14" s="56">
        <v>0</v>
      </c>
      <c r="F14" s="22">
        <v>0</v>
      </c>
      <c r="G14" s="56">
        <v>0</v>
      </c>
      <c r="H14" s="22">
        <v>0</v>
      </c>
      <c r="I14" s="22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  <c r="N14">
        <v>15</v>
      </c>
    </row>
    <row r="15" spans="1:14" ht="15" customHeight="1" x14ac:dyDescent="0.2">
      <c r="A15" t="s">
        <v>20</v>
      </c>
      <c r="B15" s="22">
        <v>0</v>
      </c>
      <c r="C15" s="22">
        <v>0</v>
      </c>
      <c r="D15" s="22">
        <v>0</v>
      </c>
      <c r="E15" s="56">
        <v>0</v>
      </c>
      <c r="F15" s="22">
        <v>0</v>
      </c>
      <c r="G15" s="56">
        <v>0</v>
      </c>
      <c r="H15" s="22">
        <v>0</v>
      </c>
      <c r="I15" s="22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  <c r="N15">
        <v>15</v>
      </c>
    </row>
    <row r="16" spans="1:14" ht="15" customHeight="1" x14ac:dyDescent="0.2">
      <c r="A16" t="s">
        <v>21</v>
      </c>
      <c r="B16" s="22">
        <v>0</v>
      </c>
      <c r="C16" s="22">
        <v>0</v>
      </c>
      <c r="D16" s="22">
        <v>0</v>
      </c>
      <c r="E16" s="56">
        <v>0</v>
      </c>
      <c r="F16" s="22">
        <v>0</v>
      </c>
      <c r="G16" s="56">
        <v>0</v>
      </c>
      <c r="H16" s="22">
        <v>0</v>
      </c>
      <c r="I16" s="22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  <c r="N16">
        <v>15</v>
      </c>
    </row>
    <row r="17" spans="1:14" ht="15" customHeight="1" x14ac:dyDescent="0.2">
      <c r="A17" t="s">
        <v>22</v>
      </c>
      <c r="B17" s="22">
        <v>0</v>
      </c>
      <c r="C17" s="22">
        <v>0</v>
      </c>
      <c r="D17" s="22">
        <v>0</v>
      </c>
      <c r="E17" s="56">
        <v>0</v>
      </c>
      <c r="F17" s="22">
        <v>0</v>
      </c>
      <c r="G17" s="56">
        <v>0</v>
      </c>
      <c r="H17" s="22">
        <v>0</v>
      </c>
      <c r="I17" s="22">
        <v>0</v>
      </c>
      <c r="J17">
        <f t="shared" si="0"/>
        <v>0</v>
      </c>
      <c r="K17">
        <f t="shared" si="1"/>
        <v>0</v>
      </c>
      <c r="L17">
        <f t="shared" si="2"/>
        <v>0</v>
      </c>
      <c r="M17">
        <f t="shared" si="3"/>
        <v>0</v>
      </c>
      <c r="N17">
        <v>15</v>
      </c>
    </row>
    <row r="18" spans="1:14" ht="15" customHeight="1" x14ac:dyDescent="0.2">
      <c r="A18" t="s">
        <v>23</v>
      </c>
      <c r="B18" s="22">
        <v>0</v>
      </c>
      <c r="C18" s="22">
        <v>0</v>
      </c>
      <c r="D18" s="22">
        <v>0</v>
      </c>
      <c r="E18" s="56">
        <v>0</v>
      </c>
      <c r="F18" s="22">
        <v>0</v>
      </c>
      <c r="G18" s="56">
        <v>0</v>
      </c>
      <c r="H18" s="22">
        <v>0</v>
      </c>
      <c r="I18" s="22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  <c r="N18">
        <v>15</v>
      </c>
    </row>
    <row r="19" spans="1:14" ht="15" customHeight="1" x14ac:dyDescent="0.2">
      <c r="A19" t="s">
        <v>24</v>
      </c>
      <c r="B19" s="22">
        <v>0</v>
      </c>
      <c r="C19" s="22">
        <v>0</v>
      </c>
      <c r="D19" s="22">
        <v>0</v>
      </c>
      <c r="E19" s="56">
        <v>0</v>
      </c>
      <c r="F19" s="22">
        <v>0</v>
      </c>
      <c r="G19" s="56">
        <v>0</v>
      </c>
      <c r="H19" s="22">
        <v>1</v>
      </c>
      <c r="I19" s="22">
        <v>0</v>
      </c>
      <c r="J19">
        <f t="shared" si="0"/>
        <v>0</v>
      </c>
      <c r="K19">
        <f t="shared" si="1"/>
        <v>1</v>
      </c>
      <c r="L19">
        <f t="shared" si="2"/>
        <v>0</v>
      </c>
      <c r="M19">
        <f t="shared" si="3"/>
        <v>0</v>
      </c>
      <c r="N19">
        <v>15</v>
      </c>
    </row>
    <row r="20" spans="1:14" ht="15" customHeight="1" x14ac:dyDescent="0.2">
      <c r="A20" t="s">
        <v>25</v>
      </c>
      <c r="B20" s="22">
        <v>1</v>
      </c>
      <c r="C20" s="22">
        <v>0</v>
      </c>
      <c r="D20" s="22">
        <v>0</v>
      </c>
      <c r="E20" s="56">
        <v>0</v>
      </c>
      <c r="F20" s="22">
        <v>0</v>
      </c>
      <c r="G20" s="56">
        <v>0</v>
      </c>
      <c r="H20" s="22">
        <v>0</v>
      </c>
      <c r="I20" s="22">
        <v>0</v>
      </c>
      <c r="J20">
        <f t="shared" si="0"/>
        <v>0</v>
      </c>
      <c r="K20">
        <f t="shared" si="1"/>
        <v>1</v>
      </c>
      <c r="L20">
        <f t="shared" si="2"/>
        <v>0</v>
      </c>
      <c r="M20">
        <f t="shared" si="3"/>
        <v>0</v>
      </c>
      <c r="N20">
        <v>15</v>
      </c>
    </row>
    <row r="21" spans="1:14" ht="15" customHeight="1" x14ac:dyDescent="0.2">
      <c r="A21" t="s">
        <v>26</v>
      </c>
      <c r="B21" s="22">
        <v>1</v>
      </c>
      <c r="C21" s="22">
        <v>0</v>
      </c>
      <c r="D21" s="22">
        <v>0</v>
      </c>
      <c r="E21" s="56">
        <v>0</v>
      </c>
      <c r="F21" s="22">
        <v>0</v>
      </c>
      <c r="G21" s="56">
        <v>0</v>
      </c>
      <c r="H21" s="22">
        <v>0</v>
      </c>
      <c r="I21" s="22">
        <v>0</v>
      </c>
      <c r="J21">
        <f t="shared" si="0"/>
        <v>0</v>
      </c>
      <c r="K21">
        <f t="shared" si="1"/>
        <v>1</v>
      </c>
      <c r="L21">
        <f t="shared" si="2"/>
        <v>0</v>
      </c>
      <c r="M21">
        <f t="shared" si="3"/>
        <v>0</v>
      </c>
      <c r="N21">
        <v>15</v>
      </c>
    </row>
    <row r="22" spans="1:14" ht="15" customHeight="1" x14ac:dyDescent="0.2">
      <c r="A22" t="s">
        <v>27</v>
      </c>
      <c r="B22" s="22">
        <v>0</v>
      </c>
      <c r="C22" s="22">
        <v>0</v>
      </c>
      <c r="D22" s="22">
        <v>0</v>
      </c>
      <c r="E22" s="56">
        <v>0</v>
      </c>
      <c r="F22" s="22">
        <v>0</v>
      </c>
      <c r="G22" s="56">
        <v>0</v>
      </c>
      <c r="H22" s="22">
        <v>0</v>
      </c>
      <c r="I22" s="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  <c r="N22">
        <v>15</v>
      </c>
    </row>
    <row r="23" spans="1:14" ht="15" customHeight="1" x14ac:dyDescent="0.2">
      <c r="A23" t="s">
        <v>28</v>
      </c>
      <c r="B23" s="22">
        <v>0</v>
      </c>
      <c r="C23" s="22">
        <v>0</v>
      </c>
      <c r="D23" s="22">
        <v>0</v>
      </c>
      <c r="E23" s="56">
        <v>0</v>
      </c>
      <c r="F23" s="22">
        <v>0</v>
      </c>
      <c r="G23" s="56">
        <v>0</v>
      </c>
      <c r="H23" s="22">
        <v>0</v>
      </c>
      <c r="I23" s="22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  <c r="N23">
        <v>15</v>
      </c>
    </row>
    <row r="24" spans="1:14" ht="15" customHeight="1" x14ac:dyDescent="0.2">
      <c r="A24" t="s">
        <v>29</v>
      </c>
      <c r="B24" s="22">
        <v>0</v>
      </c>
      <c r="C24" s="22">
        <v>0</v>
      </c>
      <c r="D24" s="22">
        <v>0</v>
      </c>
      <c r="E24" s="56">
        <v>0</v>
      </c>
      <c r="F24" s="22">
        <v>0</v>
      </c>
      <c r="G24" s="56">
        <v>0</v>
      </c>
      <c r="H24" s="22">
        <v>0</v>
      </c>
      <c r="I24" s="22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  <c r="N24">
        <v>15</v>
      </c>
    </row>
    <row r="25" spans="1:14" ht="15" customHeight="1" x14ac:dyDescent="0.2">
      <c r="A25" t="s">
        <v>30</v>
      </c>
      <c r="B25" s="22">
        <v>1</v>
      </c>
      <c r="C25" s="22">
        <v>0</v>
      </c>
      <c r="D25" s="22">
        <v>0</v>
      </c>
      <c r="E25" s="56">
        <v>0</v>
      </c>
      <c r="F25" s="22">
        <v>0</v>
      </c>
      <c r="G25" s="56">
        <v>0</v>
      </c>
      <c r="H25" s="22">
        <v>0</v>
      </c>
      <c r="I25" s="22">
        <v>0</v>
      </c>
      <c r="J25">
        <f t="shared" si="0"/>
        <v>0</v>
      </c>
      <c r="K25">
        <f t="shared" si="1"/>
        <v>1</v>
      </c>
      <c r="L25">
        <f t="shared" si="2"/>
        <v>0</v>
      </c>
      <c r="M25">
        <f t="shared" si="3"/>
        <v>0</v>
      </c>
      <c r="N25">
        <v>15</v>
      </c>
    </row>
    <row r="26" spans="1:14" ht="15" customHeight="1" x14ac:dyDescent="0.2">
      <c r="A26" t="s">
        <v>31</v>
      </c>
      <c r="B26" s="22">
        <v>0</v>
      </c>
      <c r="C26" s="22">
        <v>0</v>
      </c>
      <c r="D26" s="22">
        <v>1</v>
      </c>
      <c r="E26" s="56">
        <v>0</v>
      </c>
      <c r="F26" s="22">
        <v>1</v>
      </c>
      <c r="G26" s="56">
        <v>0</v>
      </c>
      <c r="H26" s="22">
        <v>0</v>
      </c>
      <c r="I26" s="22">
        <v>0</v>
      </c>
      <c r="J26">
        <f t="shared" si="0"/>
        <v>2</v>
      </c>
      <c r="K26">
        <f t="shared" si="1"/>
        <v>0</v>
      </c>
      <c r="L26">
        <f t="shared" si="2"/>
        <v>0</v>
      </c>
      <c r="M26">
        <f t="shared" si="3"/>
        <v>0</v>
      </c>
      <c r="N26">
        <v>15</v>
      </c>
    </row>
    <row r="27" spans="1:14" ht="15" customHeight="1" x14ac:dyDescent="0.2">
      <c r="A27" t="s">
        <v>32</v>
      </c>
      <c r="B27" s="22">
        <v>0</v>
      </c>
      <c r="C27" s="22">
        <v>0</v>
      </c>
      <c r="D27" s="22">
        <v>0</v>
      </c>
      <c r="E27" s="56">
        <v>0</v>
      </c>
      <c r="F27" s="22">
        <v>0</v>
      </c>
      <c r="G27" s="56">
        <v>0</v>
      </c>
      <c r="H27" s="22">
        <v>0</v>
      </c>
      <c r="I27" s="22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  <c r="N27">
        <v>15</v>
      </c>
    </row>
    <row r="28" spans="1:14" ht="15" customHeight="1" x14ac:dyDescent="0.2">
      <c r="A28" t="s">
        <v>33</v>
      </c>
      <c r="B28" s="22">
        <v>1</v>
      </c>
      <c r="C28" s="22">
        <v>0</v>
      </c>
      <c r="D28" s="22">
        <v>0</v>
      </c>
      <c r="E28" s="56">
        <v>0</v>
      </c>
      <c r="F28" s="22">
        <v>0</v>
      </c>
      <c r="G28" s="56">
        <v>0</v>
      </c>
      <c r="H28" s="22">
        <v>0</v>
      </c>
      <c r="I28" s="22">
        <v>0</v>
      </c>
      <c r="J28">
        <f t="shared" si="0"/>
        <v>0</v>
      </c>
      <c r="K28">
        <f t="shared" si="1"/>
        <v>1</v>
      </c>
      <c r="L28">
        <f t="shared" si="2"/>
        <v>0</v>
      </c>
      <c r="M28">
        <f t="shared" si="3"/>
        <v>0</v>
      </c>
      <c r="N28">
        <v>15</v>
      </c>
    </row>
    <row r="29" spans="1:14" ht="15" customHeight="1" x14ac:dyDescent="0.2">
      <c r="A29" t="s">
        <v>34</v>
      </c>
      <c r="B29" s="22">
        <v>0</v>
      </c>
      <c r="C29" s="22">
        <v>0</v>
      </c>
      <c r="D29" s="22">
        <v>1</v>
      </c>
      <c r="E29" s="56">
        <v>0</v>
      </c>
      <c r="F29" s="22">
        <v>0</v>
      </c>
      <c r="G29" s="56">
        <v>0</v>
      </c>
      <c r="H29" s="22">
        <v>0</v>
      </c>
      <c r="I29" s="22">
        <v>0</v>
      </c>
      <c r="J29">
        <f t="shared" si="0"/>
        <v>1</v>
      </c>
      <c r="K29">
        <f t="shared" si="1"/>
        <v>0</v>
      </c>
      <c r="L29">
        <f t="shared" si="2"/>
        <v>0</v>
      </c>
      <c r="M29">
        <f t="shared" si="3"/>
        <v>0</v>
      </c>
      <c r="N29">
        <v>15</v>
      </c>
    </row>
    <row r="30" spans="1:14" ht="15" customHeight="1" x14ac:dyDescent="0.2">
      <c r="A30" t="s">
        <v>35</v>
      </c>
      <c r="B30" s="22">
        <v>0</v>
      </c>
      <c r="C30" s="22">
        <v>0</v>
      </c>
      <c r="D30" s="22">
        <v>0</v>
      </c>
      <c r="E30" s="56">
        <v>0</v>
      </c>
      <c r="F30" s="22">
        <v>0</v>
      </c>
      <c r="G30" s="56">
        <v>0</v>
      </c>
      <c r="H30" s="22">
        <v>0</v>
      </c>
      <c r="I30" s="22">
        <v>0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  <c r="N30">
        <v>15</v>
      </c>
    </row>
    <row r="31" spans="1:14" ht="15" customHeight="1" x14ac:dyDescent="0.2">
      <c r="A31" t="s">
        <v>36</v>
      </c>
      <c r="B31" s="22">
        <v>0</v>
      </c>
      <c r="C31" s="22">
        <v>0</v>
      </c>
      <c r="D31" s="22">
        <v>0</v>
      </c>
      <c r="E31" s="56">
        <v>0</v>
      </c>
      <c r="F31" s="22">
        <v>0</v>
      </c>
      <c r="G31" s="56">
        <v>0</v>
      </c>
      <c r="H31" s="22">
        <v>0</v>
      </c>
      <c r="I31" s="22"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  <c r="N31">
        <v>15</v>
      </c>
    </row>
    <row r="32" spans="1:14" ht="15" customHeight="1" x14ac:dyDescent="0.2">
      <c r="A32" t="s">
        <v>37</v>
      </c>
      <c r="B32" s="22">
        <v>0</v>
      </c>
      <c r="C32" s="22">
        <v>0</v>
      </c>
      <c r="D32" s="22">
        <v>0</v>
      </c>
      <c r="E32" s="56">
        <v>0</v>
      </c>
      <c r="F32" s="22">
        <v>0</v>
      </c>
      <c r="G32" s="56">
        <v>0</v>
      </c>
      <c r="H32" s="22">
        <v>0</v>
      </c>
      <c r="I32" s="2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  <c r="N32">
        <v>15</v>
      </c>
    </row>
    <row r="33" spans="1:14" ht="15" customHeight="1" x14ac:dyDescent="0.2">
      <c r="A33" t="s">
        <v>38</v>
      </c>
      <c r="B33" s="22">
        <v>1</v>
      </c>
      <c r="C33" s="22">
        <v>0</v>
      </c>
      <c r="D33" s="22">
        <v>0</v>
      </c>
      <c r="E33" s="56">
        <v>0</v>
      </c>
      <c r="F33" s="22">
        <v>0</v>
      </c>
      <c r="G33" s="56">
        <v>0</v>
      </c>
      <c r="H33" s="22">
        <v>0</v>
      </c>
      <c r="I33" s="22">
        <v>0</v>
      </c>
      <c r="J33">
        <f t="shared" si="0"/>
        <v>0</v>
      </c>
      <c r="K33">
        <f t="shared" si="1"/>
        <v>1</v>
      </c>
      <c r="L33">
        <f t="shared" si="2"/>
        <v>0</v>
      </c>
      <c r="M33">
        <f t="shared" si="3"/>
        <v>0</v>
      </c>
      <c r="N33">
        <v>15</v>
      </c>
    </row>
    <row r="34" spans="1:14" ht="15" customHeight="1" x14ac:dyDescent="0.2">
      <c r="A34" t="s">
        <v>39</v>
      </c>
      <c r="B34" s="22">
        <v>0</v>
      </c>
      <c r="C34" s="22">
        <v>0</v>
      </c>
      <c r="D34" s="22">
        <v>0</v>
      </c>
      <c r="E34" s="56">
        <v>0</v>
      </c>
      <c r="F34" s="22">
        <v>2</v>
      </c>
      <c r="G34" s="56">
        <v>0</v>
      </c>
      <c r="H34" s="22">
        <v>0</v>
      </c>
      <c r="I34" s="22">
        <v>0</v>
      </c>
      <c r="J34">
        <f t="shared" si="0"/>
        <v>2</v>
      </c>
      <c r="K34">
        <f t="shared" si="1"/>
        <v>0</v>
      </c>
      <c r="L34">
        <f t="shared" si="2"/>
        <v>0</v>
      </c>
      <c r="M34">
        <f t="shared" si="3"/>
        <v>0</v>
      </c>
      <c r="N34">
        <v>15</v>
      </c>
    </row>
    <row r="35" spans="1:14" ht="15" customHeight="1" x14ac:dyDescent="0.2">
      <c r="A35" t="s">
        <v>40</v>
      </c>
      <c r="B35" s="22">
        <v>0</v>
      </c>
      <c r="C35" s="22">
        <v>0</v>
      </c>
      <c r="D35" s="22">
        <v>0</v>
      </c>
      <c r="E35" s="56">
        <v>0</v>
      </c>
      <c r="F35" s="22">
        <v>1</v>
      </c>
      <c r="G35" s="56">
        <v>0</v>
      </c>
      <c r="H35" s="22">
        <v>0</v>
      </c>
      <c r="I35" s="22">
        <v>0</v>
      </c>
      <c r="J35">
        <f t="shared" si="0"/>
        <v>1</v>
      </c>
      <c r="K35">
        <f t="shared" si="1"/>
        <v>0</v>
      </c>
      <c r="L35">
        <f t="shared" si="2"/>
        <v>0</v>
      </c>
      <c r="M35">
        <f t="shared" si="3"/>
        <v>0</v>
      </c>
      <c r="N35">
        <v>15</v>
      </c>
    </row>
    <row r="36" spans="1:14" ht="15" customHeight="1" x14ac:dyDescent="0.2">
      <c r="A36" t="s">
        <v>41</v>
      </c>
      <c r="B36" s="22">
        <v>2</v>
      </c>
      <c r="C36" s="22">
        <v>0</v>
      </c>
      <c r="D36" s="22">
        <v>0</v>
      </c>
      <c r="E36" s="56">
        <v>0</v>
      </c>
      <c r="F36" s="22">
        <v>2</v>
      </c>
      <c r="G36" s="56">
        <v>0</v>
      </c>
      <c r="H36" s="22">
        <v>0</v>
      </c>
      <c r="I36" s="22">
        <v>0</v>
      </c>
      <c r="J36">
        <f t="shared" si="0"/>
        <v>2</v>
      </c>
      <c r="K36">
        <f t="shared" si="1"/>
        <v>2</v>
      </c>
      <c r="L36">
        <f t="shared" si="2"/>
        <v>0</v>
      </c>
      <c r="M36">
        <f t="shared" si="3"/>
        <v>0</v>
      </c>
      <c r="N36">
        <v>15</v>
      </c>
    </row>
    <row r="37" spans="1:14" ht="15" customHeight="1" x14ac:dyDescent="0.2">
      <c r="A37" t="s">
        <v>42</v>
      </c>
      <c r="B37" s="22">
        <v>2</v>
      </c>
      <c r="C37" s="22">
        <v>0</v>
      </c>
      <c r="D37" s="22">
        <v>0</v>
      </c>
      <c r="E37" s="56">
        <v>0</v>
      </c>
      <c r="F37" s="22">
        <v>2</v>
      </c>
      <c r="G37" s="56">
        <v>0</v>
      </c>
      <c r="H37" s="22">
        <v>0</v>
      </c>
      <c r="I37" s="22">
        <v>0</v>
      </c>
      <c r="J37">
        <f t="shared" si="0"/>
        <v>2</v>
      </c>
      <c r="K37">
        <f t="shared" si="1"/>
        <v>2</v>
      </c>
      <c r="L37">
        <f t="shared" si="2"/>
        <v>0</v>
      </c>
      <c r="M37">
        <f t="shared" si="3"/>
        <v>0</v>
      </c>
      <c r="N37">
        <v>15</v>
      </c>
    </row>
    <row r="38" spans="1:14" ht="15" customHeight="1" x14ac:dyDescent="0.2">
      <c r="A38" t="s">
        <v>43</v>
      </c>
      <c r="B38" s="22">
        <v>1</v>
      </c>
      <c r="C38" s="22">
        <v>0</v>
      </c>
      <c r="D38" s="22">
        <v>0</v>
      </c>
      <c r="E38" s="56">
        <v>0</v>
      </c>
      <c r="F38" s="22">
        <v>4</v>
      </c>
      <c r="G38" s="56">
        <v>0</v>
      </c>
      <c r="H38" s="22">
        <v>1</v>
      </c>
      <c r="I38" s="22">
        <v>0</v>
      </c>
      <c r="J38">
        <f t="shared" si="0"/>
        <v>4</v>
      </c>
      <c r="K38">
        <f t="shared" si="1"/>
        <v>2</v>
      </c>
      <c r="L38">
        <f t="shared" si="2"/>
        <v>0</v>
      </c>
      <c r="M38">
        <f t="shared" si="3"/>
        <v>0</v>
      </c>
      <c r="N38">
        <v>15</v>
      </c>
    </row>
    <row r="39" spans="1:14" ht="15" customHeight="1" x14ac:dyDescent="0.2">
      <c r="A39" t="s">
        <v>44</v>
      </c>
      <c r="B39" s="22">
        <v>0</v>
      </c>
      <c r="C39" s="22">
        <v>0</v>
      </c>
      <c r="D39" s="22">
        <v>0</v>
      </c>
      <c r="E39" s="56">
        <v>0</v>
      </c>
      <c r="F39" s="22">
        <v>2</v>
      </c>
      <c r="G39" s="56">
        <v>0</v>
      </c>
      <c r="H39" s="22">
        <v>1</v>
      </c>
      <c r="I39" s="22">
        <v>0</v>
      </c>
      <c r="J39">
        <f t="shared" si="0"/>
        <v>2</v>
      </c>
      <c r="K39">
        <f t="shared" si="1"/>
        <v>1</v>
      </c>
      <c r="L39">
        <f t="shared" si="2"/>
        <v>0</v>
      </c>
      <c r="M39">
        <f t="shared" si="3"/>
        <v>0</v>
      </c>
      <c r="N39">
        <v>15</v>
      </c>
    </row>
    <row r="40" spans="1:14" ht="15" customHeight="1" x14ac:dyDescent="0.2">
      <c r="A40" t="s">
        <v>45</v>
      </c>
      <c r="B40" s="22">
        <v>0</v>
      </c>
      <c r="C40" s="22">
        <v>0</v>
      </c>
      <c r="D40" s="22">
        <v>1</v>
      </c>
      <c r="E40" s="56">
        <v>0</v>
      </c>
      <c r="F40" s="22">
        <v>0</v>
      </c>
      <c r="G40" s="56">
        <v>0</v>
      </c>
      <c r="H40" s="22">
        <v>0</v>
      </c>
      <c r="I40" s="22">
        <v>0</v>
      </c>
      <c r="J40">
        <f t="shared" si="0"/>
        <v>1</v>
      </c>
      <c r="K40">
        <f t="shared" si="1"/>
        <v>0</v>
      </c>
      <c r="L40">
        <f t="shared" si="2"/>
        <v>0</v>
      </c>
      <c r="M40">
        <f t="shared" si="3"/>
        <v>0</v>
      </c>
      <c r="N40">
        <v>15</v>
      </c>
    </row>
    <row r="41" spans="1:14" ht="15" customHeight="1" x14ac:dyDescent="0.2">
      <c r="A41" t="s">
        <v>46</v>
      </c>
      <c r="B41" s="22">
        <v>0</v>
      </c>
      <c r="C41" s="22">
        <v>0</v>
      </c>
      <c r="D41" s="22">
        <v>0</v>
      </c>
      <c r="E41" s="56">
        <v>0</v>
      </c>
      <c r="F41" s="22">
        <v>0</v>
      </c>
      <c r="G41" s="56">
        <v>0</v>
      </c>
      <c r="H41" s="22">
        <v>3</v>
      </c>
      <c r="I41" s="22">
        <v>0</v>
      </c>
      <c r="J41">
        <f t="shared" si="0"/>
        <v>0</v>
      </c>
      <c r="K41">
        <f t="shared" si="1"/>
        <v>3</v>
      </c>
      <c r="L41">
        <f t="shared" si="2"/>
        <v>0</v>
      </c>
      <c r="M41">
        <f t="shared" si="3"/>
        <v>0</v>
      </c>
      <c r="N41">
        <v>15</v>
      </c>
    </row>
    <row r="42" spans="1:14" ht="15" customHeight="1" x14ac:dyDescent="0.2">
      <c r="A42" t="s">
        <v>47</v>
      </c>
      <c r="B42" s="22">
        <v>0</v>
      </c>
      <c r="C42" s="22">
        <v>0</v>
      </c>
      <c r="D42" s="22">
        <v>0</v>
      </c>
      <c r="E42" s="56">
        <v>0</v>
      </c>
      <c r="F42" s="22">
        <v>0</v>
      </c>
      <c r="G42" s="56">
        <v>0</v>
      </c>
      <c r="H42" s="22">
        <v>3</v>
      </c>
      <c r="I42" s="22">
        <v>0</v>
      </c>
      <c r="J42">
        <f t="shared" si="0"/>
        <v>0</v>
      </c>
      <c r="K42">
        <f t="shared" si="1"/>
        <v>3</v>
      </c>
      <c r="L42">
        <f t="shared" si="2"/>
        <v>0</v>
      </c>
      <c r="M42">
        <f t="shared" si="3"/>
        <v>0</v>
      </c>
      <c r="N42">
        <v>15</v>
      </c>
    </row>
    <row r="43" spans="1:14" ht="15" customHeight="1" x14ac:dyDescent="0.2">
      <c r="A43" t="s">
        <v>48</v>
      </c>
      <c r="B43" s="22">
        <v>0</v>
      </c>
      <c r="C43" s="22">
        <v>0</v>
      </c>
      <c r="D43" s="22">
        <v>0</v>
      </c>
      <c r="E43" s="56">
        <v>0</v>
      </c>
      <c r="F43" s="22">
        <v>1</v>
      </c>
      <c r="G43" s="56">
        <v>0</v>
      </c>
      <c r="H43" s="22">
        <v>2</v>
      </c>
      <c r="I43" s="22">
        <v>0</v>
      </c>
      <c r="J43">
        <f t="shared" si="0"/>
        <v>1</v>
      </c>
      <c r="K43">
        <f t="shared" si="1"/>
        <v>2</v>
      </c>
      <c r="L43">
        <f t="shared" si="2"/>
        <v>0</v>
      </c>
      <c r="M43">
        <f t="shared" si="3"/>
        <v>0</v>
      </c>
      <c r="N43">
        <v>15</v>
      </c>
    </row>
    <row r="44" spans="1:14" ht="15" customHeight="1" x14ac:dyDescent="0.2">
      <c r="A44" t="s">
        <v>49</v>
      </c>
      <c r="B44" s="22">
        <v>1</v>
      </c>
      <c r="C44" s="22">
        <v>0</v>
      </c>
      <c r="D44" s="22">
        <v>0</v>
      </c>
      <c r="E44" s="56">
        <v>0</v>
      </c>
      <c r="F44" s="22">
        <v>0</v>
      </c>
      <c r="G44" s="56">
        <v>0</v>
      </c>
      <c r="H44" s="22">
        <v>2</v>
      </c>
      <c r="I44" s="22">
        <v>0</v>
      </c>
      <c r="J44">
        <f t="shared" si="0"/>
        <v>0</v>
      </c>
      <c r="K44">
        <f t="shared" si="1"/>
        <v>3</v>
      </c>
      <c r="L44">
        <f t="shared" si="2"/>
        <v>0</v>
      </c>
      <c r="M44">
        <f t="shared" si="3"/>
        <v>0</v>
      </c>
      <c r="N44">
        <v>15</v>
      </c>
    </row>
    <row r="45" spans="1:14" ht="15" customHeight="1" x14ac:dyDescent="0.2">
      <c r="A45" t="s">
        <v>50</v>
      </c>
      <c r="B45" s="22">
        <v>0</v>
      </c>
      <c r="C45" s="22">
        <v>0</v>
      </c>
      <c r="D45" s="22">
        <v>0</v>
      </c>
      <c r="E45" s="56">
        <v>0</v>
      </c>
      <c r="F45" s="22">
        <v>0</v>
      </c>
      <c r="G45" s="56">
        <v>0</v>
      </c>
      <c r="H45" s="22">
        <v>2</v>
      </c>
      <c r="I45" s="22">
        <v>0</v>
      </c>
      <c r="J45">
        <f t="shared" si="0"/>
        <v>0</v>
      </c>
      <c r="K45">
        <f t="shared" si="1"/>
        <v>2</v>
      </c>
      <c r="L45">
        <f t="shared" si="2"/>
        <v>0</v>
      </c>
      <c r="M45">
        <f t="shared" si="3"/>
        <v>0</v>
      </c>
      <c r="N45">
        <v>15</v>
      </c>
    </row>
    <row r="46" spans="1:14" ht="15" customHeight="1" x14ac:dyDescent="0.2">
      <c r="A46" t="s">
        <v>51</v>
      </c>
      <c r="B46" s="22">
        <v>0</v>
      </c>
      <c r="C46" s="22">
        <v>0</v>
      </c>
      <c r="D46" s="22">
        <v>0</v>
      </c>
      <c r="E46" s="56">
        <v>0</v>
      </c>
      <c r="F46" s="22">
        <v>0</v>
      </c>
      <c r="G46" s="56">
        <v>0</v>
      </c>
      <c r="H46" s="22">
        <v>0</v>
      </c>
      <c r="I46" s="22">
        <v>0</v>
      </c>
      <c r="J46">
        <f t="shared" si="0"/>
        <v>0</v>
      </c>
      <c r="K46">
        <f t="shared" si="1"/>
        <v>0</v>
      </c>
      <c r="L46">
        <f t="shared" si="2"/>
        <v>0</v>
      </c>
      <c r="M46">
        <f t="shared" si="3"/>
        <v>0</v>
      </c>
      <c r="N46">
        <v>15</v>
      </c>
    </row>
    <row r="47" spans="1:14" ht="15" customHeight="1" x14ac:dyDescent="0.2">
      <c r="A47" t="s">
        <v>52</v>
      </c>
      <c r="B47" s="22">
        <v>0</v>
      </c>
      <c r="C47" s="22">
        <v>0</v>
      </c>
      <c r="D47" s="22">
        <v>1</v>
      </c>
      <c r="E47" s="56">
        <v>0</v>
      </c>
      <c r="F47" s="22">
        <v>1</v>
      </c>
      <c r="G47" s="56">
        <v>0</v>
      </c>
      <c r="H47" s="22">
        <v>0</v>
      </c>
      <c r="I47" s="22">
        <v>0</v>
      </c>
      <c r="J47">
        <f t="shared" si="0"/>
        <v>2</v>
      </c>
      <c r="K47">
        <f t="shared" si="1"/>
        <v>0</v>
      </c>
      <c r="L47">
        <f t="shared" si="2"/>
        <v>0</v>
      </c>
      <c r="M47">
        <f t="shared" si="3"/>
        <v>0</v>
      </c>
      <c r="N47">
        <v>15</v>
      </c>
    </row>
    <row r="48" spans="1:14" ht="15" customHeight="1" x14ac:dyDescent="0.2">
      <c r="A48" t="s">
        <v>53</v>
      </c>
      <c r="B48" s="22">
        <v>0</v>
      </c>
      <c r="C48" s="22">
        <v>0</v>
      </c>
      <c r="D48" s="22">
        <v>0</v>
      </c>
      <c r="E48" s="56">
        <v>0</v>
      </c>
      <c r="F48" s="22">
        <v>0</v>
      </c>
      <c r="G48" s="56">
        <v>0</v>
      </c>
      <c r="H48" s="22">
        <v>0</v>
      </c>
      <c r="I48" s="22">
        <v>0</v>
      </c>
      <c r="J48">
        <f t="shared" si="0"/>
        <v>0</v>
      </c>
      <c r="K48">
        <f t="shared" si="1"/>
        <v>0</v>
      </c>
      <c r="L48">
        <f t="shared" si="2"/>
        <v>0</v>
      </c>
      <c r="M48">
        <f t="shared" si="3"/>
        <v>0</v>
      </c>
      <c r="N48">
        <v>15</v>
      </c>
    </row>
    <row r="49" spans="1:14" ht="15" customHeight="1" x14ac:dyDescent="0.2">
      <c r="A49" t="s">
        <v>54</v>
      </c>
      <c r="B49" s="22">
        <v>0</v>
      </c>
      <c r="C49" s="22">
        <v>0</v>
      </c>
      <c r="D49" s="22">
        <v>1</v>
      </c>
      <c r="E49" s="56">
        <v>0</v>
      </c>
      <c r="F49" s="22">
        <v>1</v>
      </c>
      <c r="G49" s="56">
        <v>0</v>
      </c>
      <c r="H49" s="22">
        <v>0</v>
      </c>
      <c r="I49" s="22">
        <v>0</v>
      </c>
      <c r="J49">
        <f t="shared" si="0"/>
        <v>2</v>
      </c>
      <c r="K49">
        <f t="shared" si="1"/>
        <v>0</v>
      </c>
      <c r="L49">
        <f t="shared" si="2"/>
        <v>0</v>
      </c>
      <c r="M49">
        <f t="shared" si="3"/>
        <v>0</v>
      </c>
      <c r="N49">
        <v>15</v>
      </c>
    </row>
    <row r="50" spans="1:14" ht="15" customHeight="1" x14ac:dyDescent="0.2">
      <c r="A50" t="s">
        <v>55</v>
      </c>
      <c r="B50" s="22">
        <v>0</v>
      </c>
      <c r="C50" s="22">
        <v>0</v>
      </c>
      <c r="D50" s="22">
        <v>0</v>
      </c>
      <c r="E50" s="56">
        <v>0</v>
      </c>
      <c r="F50" s="22">
        <v>0</v>
      </c>
      <c r="G50" s="56">
        <v>0</v>
      </c>
      <c r="H50" s="22">
        <v>0</v>
      </c>
      <c r="I50" s="22">
        <v>0</v>
      </c>
      <c r="J50">
        <f t="shared" si="0"/>
        <v>0</v>
      </c>
      <c r="K50">
        <f t="shared" si="1"/>
        <v>0</v>
      </c>
      <c r="L50">
        <f t="shared" si="2"/>
        <v>0</v>
      </c>
      <c r="M50">
        <f t="shared" si="3"/>
        <v>0</v>
      </c>
      <c r="N50">
        <v>15</v>
      </c>
    </row>
    <row r="51" spans="1:14" ht="15" customHeight="1" x14ac:dyDescent="0.2">
      <c r="A51" t="s">
        <v>56</v>
      </c>
      <c r="B51" s="22">
        <v>1</v>
      </c>
      <c r="C51" s="22">
        <v>0</v>
      </c>
      <c r="D51" s="22">
        <v>0</v>
      </c>
      <c r="E51" s="56">
        <v>0</v>
      </c>
      <c r="F51" s="22">
        <v>1</v>
      </c>
      <c r="G51" s="56">
        <v>0</v>
      </c>
      <c r="H51" s="22">
        <v>1</v>
      </c>
      <c r="I51" s="22">
        <v>0</v>
      </c>
      <c r="J51">
        <f t="shared" si="0"/>
        <v>1</v>
      </c>
      <c r="K51">
        <f t="shared" si="1"/>
        <v>2</v>
      </c>
      <c r="L51">
        <f t="shared" si="2"/>
        <v>0</v>
      </c>
      <c r="M51">
        <f t="shared" si="3"/>
        <v>0</v>
      </c>
      <c r="N51">
        <v>15</v>
      </c>
    </row>
    <row r="52" spans="1:14" ht="15" customHeight="1" x14ac:dyDescent="0.2">
      <c r="A52" t="s">
        <v>57</v>
      </c>
      <c r="B52" s="22">
        <v>0</v>
      </c>
      <c r="C52" s="22">
        <v>0</v>
      </c>
      <c r="D52" s="22">
        <v>1</v>
      </c>
      <c r="E52" s="56">
        <v>0</v>
      </c>
      <c r="F52" s="22">
        <v>1</v>
      </c>
      <c r="G52" s="56">
        <v>0</v>
      </c>
      <c r="H52" s="22">
        <v>1</v>
      </c>
      <c r="I52" s="22">
        <v>0</v>
      </c>
      <c r="J52">
        <f t="shared" si="0"/>
        <v>2</v>
      </c>
      <c r="K52">
        <f t="shared" si="1"/>
        <v>1</v>
      </c>
      <c r="L52">
        <f t="shared" si="2"/>
        <v>0</v>
      </c>
      <c r="M52">
        <f t="shared" si="3"/>
        <v>0</v>
      </c>
      <c r="N52">
        <v>15</v>
      </c>
    </row>
    <row r="53" spans="1:14" ht="15" customHeight="1" x14ac:dyDescent="0.2">
      <c r="A53" t="s">
        <v>58</v>
      </c>
      <c r="B53" s="22">
        <v>0</v>
      </c>
      <c r="C53" s="22">
        <v>0</v>
      </c>
      <c r="D53" s="22">
        <v>1</v>
      </c>
      <c r="E53" s="56">
        <v>0</v>
      </c>
      <c r="F53" s="22">
        <v>0</v>
      </c>
      <c r="G53" s="56">
        <v>0</v>
      </c>
      <c r="H53" s="22">
        <v>1</v>
      </c>
      <c r="I53" s="22">
        <v>0</v>
      </c>
      <c r="J53">
        <f t="shared" si="0"/>
        <v>1</v>
      </c>
      <c r="K53">
        <f t="shared" si="1"/>
        <v>1</v>
      </c>
      <c r="L53">
        <f t="shared" si="2"/>
        <v>0</v>
      </c>
      <c r="M53">
        <f t="shared" si="3"/>
        <v>0</v>
      </c>
      <c r="N53">
        <v>15</v>
      </c>
    </row>
    <row r="54" spans="1:14" ht="15" customHeight="1" x14ac:dyDescent="0.2">
      <c r="A54" t="s">
        <v>59</v>
      </c>
      <c r="B54" s="22">
        <v>0</v>
      </c>
      <c r="C54" s="22">
        <v>0</v>
      </c>
      <c r="D54" s="22">
        <v>0</v>
      </c>
      <c r="E54" s="56">
        <v>0</v>
      </c>
      <c r="F54" s="22">
        <v>0</v>
      </c>
      <c r="G54" s="56">
        <v>0</v>
      </c>
      <c r="H54" s="22">
        <v>0</v>
      </c>
      <c r="I54" s="22">
        <v>0</v>
      </c>
      <c r="J54">
        <f t="shared" si="0"/>
        <v>0</v>
      </c>
      <c r="K54">
        <f t="shared" si="1"/>
        <v>0</v>
      </c>
      <c r="L54">
        <f t="shared" si="2"/>
        <v>0</v>
      </c>
      <c r="M54">
        <f t="shared" si="3"/>
        <v>0</v>
      </c>
      <c r="N54">
        <v>15</v>
      </c>
    </row>
    <row r="55" spans="1:14" ht="15" customHeight="1" x14ac:dyDescent="0.2">
      <c r="A55" t="s">
        <v>60</v>
      </c>
      <c r="B55" s="22">
        <v>0</v>
      </c>
      <c r="C55" s="22">
        <v>0</v>
      </c>
      <c r="D55" s="22">
        <v>0</v>
      </c>
      <c r="E55" s="56">
        <v>0</v>
      </c>
      <c r="F55" s="22">
        <v>0</v>
      </c>
      <c r="G55" s="56">
        <v>0</v>
      </c>
      <c r="H55" s="22">
        <v>0</v>
      </c>
      <c r="I55" s="22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  <c r="N55">
        <v>15</v>
      </c>
    </row>
    <row r="56" spans="1:14" ht="15" customHeight="1" x14ac:dyDescent="0.2">
      <c r="A56" t="s">
        <v>61</v>
      </c>
      <c r="B56" s="22">
        <v>0</v>
      </c>
      <c r="C56" s="22">
        <v>0</v>
      </c>
      <c r="D56" s="22">
        <v>0</v>
      </c>
      <c r="E56" s="56">
        <v>0</v>
      </c>
      <c r="F56" s="22">
        <v>0</v>
      </c>
      <c r="G56" s="56">
        <v>0</v>
      </c>
      <c r="H56" s="22">
        <v>0</v>
      </c>
      <c r="I56" s="22">
        <v>0</v>
      </c>
      <c r="J56">
        <f t="shared" si="0"/>
        <v>0</v>
      </c>
      <c r="K56">
        <f t="shared" si="1"/>
        <v>0</v>
      </c>
      <c r="L56">
        <f t="shared" si="2"/>
        <v>0</v>
      </c>
      <c r="M56">
        <f t="shared" si="3"/>
        <v>0</v>
      </c>
      <c r="N56">
        <v>15</v>
      </c>
    </row>
    <row r="57" spans="1:14" ht="15" customHeight="1" x14ac:dyDescent="0.2">
      <c r="A57" t="s">
        <v>62</v>
      </c>
      <c r="B57" s="22">
        <v>0</v>
      </c>
      <c r="C57" s="22">
        <v>0</v>
      </c>
      <c r="D57" s="22">
        <v>0</v>
      </c>
      <c r="E57" s="56">
        <v>0</v>
      </c>
      <c r="F57" s="22">
        <v>0</v>
      </c>
      <c r="G57" s="56">
        <v>0</v>
      </c>
      <c r="H57" s="22">
        <v>0</v>
      </c>
      <c r="I57" s="22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  <c r="N57">
        <v>15</v>
      </c>
    </row>
    <row r="58" spans="1:14" ht="15" customHeight="1" x14ac:dyDescent="0.2">
      <c r="A58" t="s">
        <v>63</v>
      </c>
      <c r="B58" s="22">
        <v>0</v>
      </c>
      <c r="C58" s="22">
        <v>0</v>
      </c>
      <c r="D58" s="22">
        <v>0</v>
      </c>
      <c r="E58" s="56">
        <v>0</v>
      </c>
      <c r="F58" s="22">
        <v>1</v>
      </c>
      <c r="G58" s="56">
        <v>0</v>
      </c>
      <c r="H58" s="22">
        <v>0</v>
      </c>
      <c r="I58" s="22">
        <v>0</v>
      </c>
      <c r="J58">
        <f t="shared" si="0"/>
        <v>1</v>
      </c>
      <c r="K58">
        <f t="shared" si="1"/>
        <v>0</v>
      </c>
      <c r="L58">
        <f t="shared" si="2"/>
        <v>0</v>
      </c>
      <c r="M58">
        <f t="shared" si="3"/>
        <v>0</v>
      </c>
      <c r="N58">
        <v>15</v>
      </c>
    </row>
    <row r="59" spans="1:14" ht="15" customHeight="1" x14ac:dyDescent="0.2">
      <c r="A59" t="s">
        <v>64</v>
      </c>
      <c r="B59" s="22">
        <v>0</v>
      </c>
      <c r="C59" s="22">
        <v>0</v>
      </c>
      <c r="D59" s="22">
        <v>0</v>
      </c>
      <c r="E59" s="56">
        <v>0</v>
      </c>
      <c r="F59" s="22">
        <v>0</v>
      </c>
      <c r="G59" s="56">
        <v>0</v>
      </c>
      <c r="H59" s="22">
        <v>0</v>
      </c>
      <c r="I59" s="22">
        <v>0</v>
      </c>
      <c r="J59">
        <f t="shared" si="0"/>
        <v>0</v>
      </c>
      <c r="K59">
        <f t="shared" si="1"/>
        <v>0</v>
      </c>
      <c r="L59">
        <f t="shared" si="2"/>
        <v>0</v>
      </c>
      <c r="M59">
        <f t="shared" si="3"/>
        <v>0</v>
      </c>
      <c r="N59">
        <v>15</v>
      </c>
    </row>
    <row r="60" spans="1:14" ht="15" customHeight="1" x14ac:dyDescent="0.2">
      <c r="A60" t="s">
        <v>65</v>
      </c>
      <c r="B60" s="22">
        <v>0</v>
      </c>
      <c r="C60" s="22">
        <v>0</v>
      </c>
      <c r="D60" s="22">
        <v>0</v>
      </c>
      <c r="E60" s="56">
        <v>0</v>
      </c>
      <c r="F60" s="22">
        <v>0</v>
      </c>
      <c r="G60" s="56">
        <v>0</v>
      </c>
      <c r="H60" s="22">
        <v>0</v>
      </c>
      <c r="I60" s="22">
        <v>0</v>
      </c>
      <c r="J60">
        <f t="shared" si="0"/>
        <v>0</v>
      </c>
      <c r="K60">
        <f t="shared" si="1"/>
        <v>0</v>
      </c>
      <c r="L60">
        <f t="shared" si="2"/>
        <v>0</v>
      </c>
      <c r="M60">
        <f t="shared" si="3"/>
        <v>0</v>
      </c>
      <c r="N60">
        <v>15</v>
      </c>
    </row>
    <row r="61" spans="1:14" ht="15" customHeight="1" x14ac:dyDescent="0.2">
      <c r="A61" t="s">
        <v>66</v>
      </c>
      <c r="B61" s="22">
        <v>0</v>
      </c>
      <c r="C61" s="22">
        <v>0</v>
      </c>
      <c r="D61" s="22">
        <v>0</v>
      </c>
      <c r="E61" s="56">
        <v>0</v>
      </c>
      <c r="F61" s="22">
        <v>0</v>
      </c>
      <c r="G61" s="56">
        <v>0</v>
      </c>
      <c r="H61" s="22">
        <v>0</v>
      </c>
      <c r="I61" s="22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  <c r="N61">
        <v>15</v>
      </c>
    </row>
    <row r="62" spans="1:14" ht="15" customHeight="1" x14ac:dyDescent="0.2">
      <c r="A62" t="s">
        <v>67</v>
      </c>
      <c r="B62" s="22">
        <v>0</v>
      </c>
      <c r="C62" s="22">
        <v>0</v>
      </c>
      <c r="D62" s="22">
        <v>0</v>
      </c>
      <c r="E62" s="56">
        <v>0</v>
      </c>
      <c r="F62" s="22">
        <v>0</v>
      </c>
      <c r="G62" s="56">
        <v>0</v>
      </c>
      <c r="H62" s="22">
        <v>0</v>
      </c>
      <c r="I62" s="22">
        <v>0</v>
      </c>
      <c r="J62">
        <f t="shared" si="0"/>
        <v>0</v>
      </c>
      <c r="K62">
        <f t="shared" si="1"/>
        <v>0</v>
      </c>
      <c r="L62">
        <f t="shared" si="2"/>
        <v>0</v>
      </c>
      <c r="M62">
        <f t="shared" si="3"/>
        <v>0</v>
      </c>
      <c r="N62">
        <v>15</v>
      </c>
    </row>
    <row r="63" spans="1:14" ht="15" customHeight="1" x14ac:dyDescent="0.2">
      <c r="A63" t="s">
        <v>68</v>
      </c>
      <c r="B63" s="22">
        <v>0</v>
      </c>
      <c r="C63" s="22">
        <v>0</v>
      </c>
      <c r="D63" s="22">
        <v>2</v>
      </c>
      <c r="E63" s="56">
        <v>0</v>
      </c>
      <c r="F63" s="22">
        <v>0</v>
      </c>
      <c r="G63" s="56">
        <v>0</v>
      </c>
      <c r="H63" s="22">
        <v>0</v>
      </c>
      <c r="I63" s="22">
        <v>0</v>
      </c>
      <c r="J63">
        <f t="shared" si="0"/>
        <v>2</v>
      </c>
      <c r="K63">
        <f t="shared" si="1"/>
        <v>0</v>
      </c>
      <c r="L63">
        <f t="shared" si="2"/>
        <v>0</v>
      </c>
      <c r="M63">
        <f t="shared" si="3"/>
        <v>0</v>
      </c>
      <c r="N63">
        <v>15</v>
      </c>
    </row>
    <row r="64" spans="1:14" ht="15" customHeight="1" x14ac:dyDescent="0.2">
      <c r="A64" t="s">
        <v>69</v>
      </c>
      <c r="B64" s="22">
        <v>0</v>
      </c>
      <c r="C64" s="22">
        <v>0</v>
      </c>
      <c r="D64" s="22">
        <v>0</v>
      </c>
      <c r="E64" s="56">
        <v>0</v>
      </c>
      <c r="F64" s="22">
        <v>2</v>
      </c>
      <c r="G64" s="56">
        <v>0</v>
      </c>
      <c r="H64" s="22">
        <v>5</v>
      </c>
      <c r="I64" s="22">
        <v>0</v>
      </c>
      <c r="J64">
        <f t="shared" si="0"/>
        <v>2</v>
      </c>
      <c r="K64">
        <f t="shared" si="1"/>
        <v>5</v>
      </c>
      <c r="L64">
        <f t="shared" si="2"/>
        <v>0</v>
      </c>
      <c r="M64">
        <f t="shared" si="3"/>
        <v>0</v>
      </c>
      <c r="N64">
        <v>15</v>
      </c>
    </row>
    <row r="65" spans="1:14" ht="15" customHeight="1" x14ac:dyDescent="0.2">
      <c r="A65" t="s">
        <v>70</v>
      </c>
      <c r="B65" s="22">
        <v>0</v>
      </c>
      <c r="C65" s="22">
        <v>0</v>
      </c>
      <c r="D65" s="22">
        <v>1</v>
      </c>
      <c r="E65" s="56">
        <v>0</v>
      </c>
      <c r="F65" s="22">
        <v>0</v>
      </c>
      <c r="G65" s="56">
        <v>0</v>
      </c>
      <c r="H65" s="22">
        <v>3</v>
      </c>
      <c r="I65" s="22">
        <v>0</v>
      </c>
      <c r="J65">
        <f t="shared" si="0"/>
        <v>1</v>
      </c>
      <c r="K65">
        <f t="shared" si="1"/>
        <v>3</v>
      </c>
      <c r="L65">
        <f t="shared" si="2"/>
        <v>0</v>
      </c>
      <c r="M65">
        <f t="shared" si="3"/>
        <v>0</v>
      </c>
      <c r="N65">
        <v>15</v>
      </c>
    </row>
    <row r="66" spans="1:14" ht="15" customHeight="1" x14ac:dyDescent="0.2">
      <c r="A66" t="s">
        <v>71</v>
      </c>
      <c r="B66" s="22">
        <v>0</v>
      </c>
      <c r="C66" s="22">
        <v>0</v>
      </c>
      <c r="D66" s="22">
        <v>0</v>
      </c>
      <c r="E66" s="56">
        <v>0</v>
      </c>
      <c r="F66" s="22">
        <v>0</v>
      </c>
      <c r="G66" s="56">
        <v>0</v>
      </c>
      <c r="H66" s="22">
        <v>0</v>
      </c>
      <c r="I66" s="22">
        <v>0</v>
      </c>
      <c r="J66">
        <f t="shared" si="0"/>
        <v>0</v>
      </c>
      <c r="K66">
        <f t="shared" si="1"/>
        <v>0</v>
      </c>
      <c r="L66">
        <f t="shared" si="2"/>
        <v>0</v>
      </c>
      <c r="M66">
        <f t="shared" si="3"/>
        <v>0</v>
      </c>
      <c r="N66">
        <v>15</v>
      </c>
    </row>
    <row r="67" spans="1:14" ht="15" customHeight="1" x14ac:dyDescent="0.2">
      <c r="A67" t="s">
        <v>72</v>
      </c>
      <c r="B67" s="22">
        <v>0</v>
      </c>
      <c r="C67" s="22">
        <v>0</v>
      </c>
      <c r="D67" s="22">
        <v>0</v>
      </c>
      <c r="E67" s="56">
        <v>0</v>
      </c>
      <c r="F67" s="22">
        <v>1</v>
      </c>
      <c r="G67" s="56">
        <v>0</v>
      </c>
      <c r="H67" s="22">
        <v>4</v>
      </c>
      <c r="I67" s="22">
        <v>0</v>
      </c>
      <c r="J67">
        <f t="shared" si="0"/>
        <v>1</v>
      </c>
      <c r="K67">
        <f t="shared" si="1"/>
        <v>4</v>
      </c>
      <c r="L67">
        <f t="shared" si="2"/>
        <v>0</v>
      </c>
      <c r="M67">
        <f t="shared" si="3"/>
        <v>0</v>
      </c>
      <c r="N67">
        <v>15</v>
      </c>
    </row>
    <row r="68" spans="1:14" ht="15" customHeight="1" x14ac:dyDescent="0.2">
      <c r="A68" t="s">
        <v>73</v>
      </c>
      <c r="B68" s="22">
        <v>1</v>
      </c>
      <c r="C68" s="22">
        <v>0</v>
      </c>
      <c r="D68" s="22">
        <v>0</v>
      </c>
      <c r="E68" s="56">
        <v>0</v>
      </c>
      <c r="F68" s="22">
        <v>3</v>
      </c>
      <c r="G68" s="56">
        <v>0</v>
      </c>
      <c r="H68" s="22">
        <v>2</v>
      </c>
      <c r="I68" s="22">
        <v>0</v>
      </c>
      <c r="J68">
        <f t="shared" si="0"/>
        <v>3</v>
      </c>
      <c r="K68">
        <f t="shared" si="1"/>
        <v>3</v>
      </c>
      <c r="L68">
        <f t="shared" si="2"/>
        <v>0</v>
      </c>
      <c r="M68">
        <f t="shared" si="3"/>
        <v>0</v>
      </c>
      <c r="N68">
        <v>15</v>
      </c>
    </row>
    <row r="69" spans="1:14" ht="15" customHeight="1" x14ac:dyDescent="0.2">
      <c r="A69" t="s">
        <v>74</v>
      </c>
      <c r="B69" s="22">
        <v>0</v>
      </c>
      <c r="C69" s="22">
        <v>0</v>
      </c>
      <c r="D69" s="22">
        <v>0</v>
      </c>
      <c r="E69" s="56">
        <v>0</v>
      </c>
      <c r="F69" s="22">
        <v>0</v>
      </c>
      <c r="G69" s="56">
        <v>0</v>
      </c>
      <c r="H69" s="22">
        <v>2</v>
      </c>
      <c r="I69" s="22">
        <v>0</v>
      </c>
      <c r="J69">
        <f t="shared" si="0"/>
        <v>0</v>
      </c>
      <c r="K69">
        <f t="shared" si="1"/>
        <v>2</v>
      </c>
      <c r="L69">
        <f t="shared" si="2"/>
        <v>0</v>
      </c>
      <c r="M69">
        <f t="shared" si="3"/>
        <v>0</v>
      </c>
      <c r="N69">
        <v>15</v>
      </c>
    </row>
    <row r="70" spans="1:14" ht="15" customHeight="1" x14ac:dyDescent="0.2">
      <c r="A70" t="s">
        <v>75</v>
      </c>
      <c r="B70" s="22">
        <v>0</v>
      </c>
      <c r="C70" s="22">
        <v>0</v>
      </c>
      <c r="D70" s="22">
        <v>0</v>
      </c>
      <c r="E70" s="56">
        <v>0</v>
      </c>
      <c r="F70" s="22">
        <v>1</v>
      </c>
      <c r="G70" s="56">
        <v>0</v>
      </c>
      <c r="H70" s="22">
        <v>5</v>
      </c>
      <c r="I70" s="22">
        <v>0</v>
      </c>
      <c r="J70">
        <f t="shared" si="0"/>
        <v>1</v>
      </c>
      <c r="K70">
        <f t="shared" si="1"/>
        <v>5</v>
      </c>
      <c r="L70">
        <f t="shared" si="2"/>
        <v>0</v>
      </c>
      <c r="M70">
        <f t="shared" si="3"/>
        <v>0</v>
      </c>
      <c r="N70">
        <v>15</v>
      </c>
    </row>
    <row r="71" spans="1:14" ht="15" customHeight="1" x14ac:dyDescent="0.2">
      <c r="A71" t="s">
        <v>76</v>
      </c>
      <c r="B71" s="22">
        <v>0</v>
      </c>
      <c r="C71" s="22">
        <v>0</v>
      </c>
      <c r="D71" s="22">
        <v>0</v>
      </c>
      <c r="E71" s="56">
        <v>0</v>
      </c>
      <c r="F71" s="22">
        <v>2</v>
      </c>
      <c r="G71" s="56">
        <v>0</v>
      </c>
      <c r="H71" s="22">
        <v>0</v>
      </c>
      <c r="I71" s="22">
        <v>0</v>
      </c>
      <c r="J71">
        <f t="shared" si="0"/>
        <v>2</v>
      </c>
      <c r="K71">
        <f t="shared" si="1"/>
        <v>0</v>
      </c>
      <c r="L71">
        <f t="shared" si="2"/>
        <v>0</v>
      </c>
      <c r="M71">
        <f t="shared" si="3"/>
        <v>0</v>
      </c>
      <c r="N71">
        <v>15</v>
      </c>
    </row>
    <row r="72" spans="1:14" ht="15" customHeight="1" x14ac:dyDescent="0.2">
      <c r="A72" t="s">
        <v>77</v>
      </c>
      <c r="B72" s="22">
        <v>1</v>
      </c>
      <c r="C72" s="22">
        <v>0</v>
      </c>
      <c r="D72" s="22">
        <v>0</v>
      </c>
      <c r="E72" s="56">
        <v>0</v>
      </c>
      <c r="F72" s="22">
        <v>10</v>
      </c>
      <c r="G72" s="56">
        <v>0</v>
      </c>
      <c r="H72" s="22">
        <v>0</v>
      </c>
      <c r="I72" s="22">
        <v>0</v>
      </c>
      <c r="J72">
        <f t="shared" si="0"/>
        <v>10</v>
      </c>
      <c r="K72">
        <f t="shared" si="1"/>
        <v>1</v>
      </c>
      <c r="L72">
        <f t="shared" si="2"/>
        <v>0</v>
      </c>
      <c r="M72">
        <f t="shared" si="3"/>
        <v>0</v>
      </c>
      <c r="N72">
        <v>15</v>
      </c>
    </row>
    <row r="73" spans="1:14" ht="15" customHeight="1" x14ac:dyDescent="0.2">
      <c r="A73" t="s">
        <v>78</v>
      </c>
      <c r="B73" s="22">
        <v>0</v>
      </c>
      <c r="C73" s="22">
        <v>0</v>
      </c>
      <c r="D73" s="22">
        <v>0</v>
      </c>
      <c r="E73" s="56">
        <v>0</v>
      </c>
      <c r="F73" s="22">
        <v>0</v>
      </c>
      <c r="G73" s="56">
        <v>0</v>
      </c>
      <c r="H73" s="22">
        <v>0</v>
      </c>
      <c r="I73" s="22">
        <v>0</v>
      </c>
      <c r="J73">
        <f t="shared" si="0"/>
        <v>0</v>
      </c>
      <c r="K73">
        <f t="shared" si="1"/>
        <v>0</v>
      </c>
      <c r="L73">
        <f t="shared" si="2"/>
        <v>0</v>
      </c>
      <c r="M73">
        <f t="shared" si="3"/>
        <v>0</v>
      </c>
      <c r="N73">
        <v>15</v>
      </c>
    </row>
    <row r="74" spans="1:14" ht="15" customHeight="1" x14ac:dyDescent="0.2">
      <c r="A74" t="s">
        <v>79</v>
      </c>
      <c r="B74" s="22">
        <v>0</v>
      </c>
      <c r="C74" s="22">
        <v>0</v>
      </c>
      <c r="D74" s="22">
        <v>1</v>
      </c>
      <c r="E74" s="56">
        <v>0</v>
      </c>
      <c r="F74" s="22">
        <v>3</v>
      </c>
      <c r="G74" s="56">
        <v>0</v>
      </c>
      <c r="H74" s="22">
        <v>0</v>
      </c>
      <c r="I74" s="22">
        <v>0</v>
      </c>
      <c r="J74">
        <f t="shared" si="0"/>
        <v>4</v>
      </c>
      <c r="K74">
        <f t="shared" si="1"/>
        <v>0</v>
      </c>
      <c r="L74">
        <f t="shared" si="2"/>
        <v>0</v>
      </c>
      <c r="M74">
        <f t="shared" si="3"/>
        <v>0</v>
      </c>
      <c r="N74">
        <v>15</v>
      </c>
    </row>
    <row r="75" spans="1:14" ht="15" customHeight="1" x14ac:dyDescent="0.2">
      <c r="A75" t="s">
        <v>80</v>
      </c>
      <c r="B75" s="22">
        <v>0</v>
      </c>
      <c r="C75" s="22">
        <v>0</v>
      </c>
      <c r="D75" s="22">
        <v>1</v>
      </c>
      <c r="E75" s="56">
        <v>0</v>
      </c>
      <c r="F75" s="22">
        <v>2</v>
      </c>
      <c r="G75" s="56">
        <v>0</v>
      </c>
      <c r="H75" s="22">
        <v>0</v>
      </c>
      <c r="I75" s="22">
        <v>0</v>
      </c>
      <c r="J75">
        <f t="shared" ref="J75:J138" si="4">SUM(D75,F75)</f>
        <v>3</v>
      </c>
      <c r="K75">
        <f t="shared" ref="K75:K138" si="5">SUM(B75,H75)</f>
        <v>0</v>
      </c>
      <c r="L75">
        <f t="shared" ref="L75:L138" si="6">SUM(E75,G75)</f>
        <v>0</v>
      </c>
      <c r="M75">
        <f t="shared" ref="M75:M138" si="7">SUM(C75,I75)</f>
        <v>0</v>
      </c>
      <c r="N75">
        <v>15</v>
      </c>
    </row>
    <row r="76" spans="1:14" ht="15" customHeight="1" x14ac:dyDescent="0.2">
      <c r="A76" t="s">
        <v>81</v>
      </c>
      <c r="B76" s="22">
        <v>1</v>
      </c>
      <c r="C76" s="22">
        <v>0</v>
      </c>
      <c r="D76" s="22">
        <v>0</v>
      </c>
      <c r="E76" s="56">
        <v>0</v>
      </c>
      <c r="F76" s="22">
        <v>0</v>
      </c>
      <c r="G76" s="56">
        <v>0</v>
      </c>
      <c r="H76" s="22">
        <v>0</v>
      </c>
      <c r="I76" s="22">
        <v>0</v>
      </c>
      <c r="J76">
        <f t="shared" si="4"/>
        <v>0</v>
      </c>
      <c r="K76">
        <f t="shared" si="5"/>
        <v>1</v>
      </c>
      <c r="L76">
        <f t="shared" si="6"/>
        <v>0</v>
      </c>
      <c r="M76">
        <f t="shared" si="7"/>
        <v>0</v>
      </c>
      <c r="N76">
        <v>15</v>
      </c>
    </row>
    <row r="77" spans="1:14" ht="15" customHeight="1" x14ac:dyDescent="0.2">
      <c r="A77" t="s">
        <v>82</v>
      </c>
      <c r="B77" s="22">
        <v>0</v>
      </c>
      <c r="C77" s="22">
        <v>0</v>
      </c>
      <c r="D77" s="22">
        <v>0</v>
      </c>
      <c r="E77" s="56">
        <v>0</v>
      </c>
      <c r="F77" s="22">
        <v>0</v>
      </c>
      <c r="G77" s="56">
        <v>0</v>
      </c>
      <c r="H77" s="22">
        <v>1</v>
      </c>
      <c r="I77" s="22">
        <v>0</v>
      </c>
      <c r="J77">
        <f t="shared" si="4"/>
        <v>0</v>
      </c>
      <c r="K77">
        <f t="shared" si="5"/>
        <v>1</v>
      </c>
      <c r="L77">
        <f t="shared" si="6"/>
        <v>0</v>
      </c>
      <c r="M77">
        <f t="shared" si="7"/>
        <v>0</v>
      </c>
      <c r="N77">
        <v>15</v>
      </c>
    </row>
    <row r="78" spans="1:14" ht="15" customHeight="1" x14ac:dyDescent="0.2">
      <c r="A78" t="s">
        <v>83</v>
      </c>
      <c r="B78" s="22">
        <v>0</v>
      </c>
      <c r="C78" s="22">
        <v>0</v>
      </c>
      <c r="D78" s="22">
        <v>1</v>
      </c>
      <c r="E78" s="56">
        <v>0</v>
      </c>
      <c r="F78" s="22">
        <v>1</v>
      </c>
      <c r="G78" s="56">
        <v>0</v>
      </c>
      <c r="H78" s="22">
        <v>1</v>
      </c>
      <c r="I78" s="22">
        <v>0</v>
      </c>
      <c r="J78">
        <f t="shared" si="4"/>
        <v>2</v>
      </c>
      <c r="K78">
        <f t="shared" si="5"/>
        <v>1</v>
      </c>
      <c r="L78">
        <f t="shared" si="6"/>
        <v>0</v>
      </c>
      <c r="M78">
        <f t="shared" si="7"/>
        <v>0</v>
      </c>
      <c r="N78">
        <v>15</v>
      </c>
    </row>
    <row r="79" spans="1:14" ht="15" customHeight="1" x14ac:dyDescent="0.2">
      <c r="A79" t="s">
        <v>84</v>
      </c>
      <c r="B79" s="22">
        <v>0</v>
      </c>
      <c r="C79" s="22">
        <v>0</v>
      </c>
      <c r="D79" s="22">
        <v>0</v>
      </c>
      <c r="E79" s="56">
        <v>0</v>
      </c>
      <c r="F79" s="22">
        <v>0</v>
      </c>
      <c r="G79" s="56">
        <v>0</v>
      </c>
      <c r="H79" s="22">
        <v>1</v>
      </c>
      <c r="I79" s="22">
        <v>0</v>
      </c>
      <c r="J79">
        <f t="shared" si="4"/>
        <v>0</v>
      </c>
      <c r="K79">
        <f t="shared" si="5"/>
        <v>1</v>
      </c>
      <c r="L79">
        <f t="shared" si="6"/>
        <v>0</v>
      </c>
      <c r="M79">
        <f t="shared" si="7"/>
        <v>0</v>
      </c>
      <c r="N79">
        <v>15</v>
      </c>
    </row>
    <row r="80" spans="1:14" ht="15" customHeight="1" x14ac:dyDescent="0.2">
      <c r="A80" t="s">
        <v>85</v>
      </c>
      <c r="B80" s="22">
        <v>1</v>
      </c>
      <c r="C80" s="22">
        <v>0</v>
      </c>
      <c r="D80" s="22">
        <v>0</v>
      </c>
      <c r="E80" s="56">
        <v>0</v>
      </c>
      <c r="F80" s="22">
        <v>0</v>
      </c>
      <c r="G80" s="56">
        <v>0</v>
      </c>
      <c r="H80" s="22">
        <v>0</v>
      </c>
      <c r="I80" s="22">
        <v>0</v>
      </c>
      <c r="J80">
        <f t="shared" si="4"/>
        <v>0</v>
      </c>
      <c r="K80">
        <f t="shared" si="5"/>
        <v>1</v>
      </c>
      <c r="L80">
        <f t="shared" si="6"/>
        <v>0</v>
      </c>
      <c r="M80">
        <f t="shared" si="7"/>
        <v>0</v>
      </c>
      <c r="N80">
        <v>15</v>
      </c>
    </row>
    <row r="81" spans="1:14" ht="15" customHeight="1" x14ac:dyDescent="0.2">
      <c r="A81" t="s">
        <v>86</v>
      </c>
      <c r="B81" s="22">
        <v>0</v>
      </c>
      <c r="C81" s="22">
        <v>0</v>
      </c>
      <c r="D81" s="22">
        <v>0</v>
      </c>
      <c r="E81" s="56">
        <v>0</v>
      </c>
      <c r="F81" s="22">
        <v>0</v>
      </c>
      <c r="G81" s="56">
        <v>0</v>
      </c>
      <c r="H81" s="22">
        <v>1</v>
      </c>
      <c r="I81" s="22">
        <v>0</v>
      </c>
      <c r="J81">
        <f t="shared" si="4"/>
        <v>0</v>
      </c>
      <c r="K81">
        <f t="shared" si="5"/>
        <v>1</v>
      </c>
      <c r="L81">
        <f t="shared" si="6"/>
        <v>0</v>
      </c>
      <c r="M81">
        <f t="shared" si="7"/>
        <v>0</v>
      </c>
      <c r="N81">
        <v>15</v>
      </c>
    </row>
    <row r="82" spans="1:14" ht="15" customHeight="1" x14ac:dyDescent="0.2">
      <c r="A82" t="s">
        <v>87</v>
      </c>
      <c r="B82" s="22">
        <v>2</v>
      </c>
      <c r="C82" s="22">
        <v>0</v>
      </c>
      <c r="D82" s="22">
        <v>0</v>
      </c>
      <c r="E82" s="56">
        <v>0</v>
      </c>
      <c r="F82" s="22">
        <v>0</v>
      </c>
      <c r="G82" s="56">
        <v>0</v>
      </c>
      <c r="H82" s="22">
        <v>0</v>
      </c>
      <c r="I82" s="22">
        <v>0</v>
      </c>
      <c r="J82">
        <f t="shared" si="4"/>
        <v>0</v>
      </c>
      <c r="K82">
        <f t="shared" si="5"/>
        <v>2</v>
      </c>
      <c r="L82">
        <f t="shared" si="6"/>
        <v>0</v>
      </c>
      <c r="M82">
        <f t="shared" si="7"/>
        <v>0</v>
      </c>
      <c r="N82">
        <v>15</v>
      </c>
    </row>
    <row r="83" spans="1:14" ht="15" customHeight="1" x14ac:dyDescent="0.2">
      <c r="A83" t="s">
        <v>88</v>
      </c>
      <c r="B83" s="22">
        <v>0</v>
      </c>
      <c r="C83" s="22">
        <v>0</v>
      </c>
      <c r="D83" s="22">
        <v>0</v>
      </c>
      <c r="E83" s="56">
        <v>0</v>
      </c>
      <c r="F83" s="22">
        <v>0</v>
      </c>
      <c r="G83" s="56">
        <v>0</v>
      </c>
      <c r="H83" s="22">
        <v>0</v>
      </c>
      <c r="I83" s="22">
        <v>0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0</v>
      </c>
      <c r="N83">
        <v>15</v>
      </c>
    </row>
    <row r="84" spans="1:14" ht="15" customHeight="1" x14ac:dyDescent="0.2">
      <c r="A84" t="s">
        <v>89</v>
      </c>
      <c r="B84" s="22">
        <v>0</v>
      </c>
      <c r="C84" s="22">
        <v>0</v>
      </c>
      <c r="D84" s="22">
        <v>0</v>
      </c>
      <c r="E84" s="56">
        <v>0</v>
      </c>
      <c r="F84" s="22">
        <v>0</v>
      </c>
      <c r="G84" s="56">
        <v>0</v>
      </c>
      <c r="H84" s="22">
        <v>0</v>
      </c>
      <c r="I84" s="22">
        <v>0</v>
      </c>
      <c r="J84">
        <f t="shared" si="4"/>
        <v>0</v>
      </c>
      <c r="K84">
        <f t="shared" si="5"/>
        <v>0</v>
      </c>
      <c r="L84">
        <f t="shared" si="6"/>
        <v>0</v>
      </c>
      <c r="M84">
        <f t="shared" si="7"/>
        <v>0</v>
      </c>
      <c r="N84">
        <v>15</v>
      </c>
    </row>
    <row r="85" spans="1:14" ht="15" customHeight="1" x14ac:dyDescent="0.2">
      <c r="A85" t="s">
        <v>90</v>
      </c>
      <c r="B85" s="22">
        <v>0</v>
      </c>
      <c r="C85" s="22">
        <v>0</v>
      </c>
      <c r="D85" s="22">
        <v>0</v>
      </c>
      <c r="E85" s="56">
        <v>0</v>
      </c>
      <c r="F85" s="22">
        <v>1</v>
      </c>
      <c r="G85" s="56">
        <v>0</v>
      </c>
      <c r="H85" s="22">
        <v>1</v>
      </c>
      <c r="I85" s="22">
        <v>0</v>
      </c>
      <c r="J85">
        <f t="shared" si="4"/>
        <v>1</v>
      </c>
      <c r="K85">
        <f t="shared" si="5"/>
        <v>1</v>
      </c>
      <c r="L85">
        <f t="shared" si="6"/>
        <v>0</v>
      </c>
      <c r="M85">
        <f t="shared" si="7"/>
        <v>0</v>
      </c>
      <c r="N85">
        <v>15</v>
      </c>
    </row>
    <row r="86" spans="1:14" ht="15" customHeight="1" x14ac:dyDescent="0.2">
      <c r="A86" t="s">
        <v>91</v>
      </c>
      <c r="B86" s="22">
        <v>1</v>
      </c>
      <c r="C86" s="22">
        <v>0</v>
      </c>
      <c r="D86" s="22">
        <v>0</v>
      </c>
      <c r="E86" s="56">
        <v>0</v>
      </c>
      <c r="F86" s="22">
        <v>1</v>
      </c>
      <c r="G86" s="56">
        <v>0</v>
      </c>
      <c r="H86" s="22">
        <v>0</v>
      </c>
      <c r="I86" s="22">
        <v>0</v>
      </c>
      <c r="J86">
        <f t="shared" si="4"/>
        <v>1</v>
      </c>
      <c r="K86">
        <f t="shared" si="5"/>
        <v>1</v>
      </c>
      <c r="L86">
        <f t="shared" si="6"/>
        <v>0</v>
      </c>
      <c r="M86">
        <f t="shared" si="7"/>
        <v>0</v>
      </c>
      <c r="N86">
        <v>15</v>
      </c>
    </row>
    <row r="87" spans="1:14" ht="15" customHeight="1" x14ac:dyDescent="0.2">
      <c r="A87" t="s">
        <v>92</v>
      </c>
      <c r="B87" s="22">
        <v>0</v>
      </c>
      <c r="C87" s="22">
        <v>0</v>
      </c>
      <c r="D87" s="22">
        <v>1</v>
      </c>
      <c r="E87" s="56">
        <v>0</v>
      </c>
      <c r="F87" s="22">
        <v>0</v>
      </c>
      <c r="G87" s="56">
        <v>0</v>
      </c>
      <c r="H87" s="22">
        <v>1</v>
      </c>
      <c r="I87" s="22">
        <v>0</v>
      </c>
      <c r="J87">
        <f t="shared" si="4"/>
        <v>1</v>
      </c>
      <c r="K87">
        <f t="shared" si="5"/>
        <v>1</v>
      </c>
      <c r="L87">
        <f t="shared" si="6"/>
        <v>0</v>
      </c>
      <c r="M87">
        <f t="shared" si="7"/>
        <v>0</v>
      </c>
      <c r="N87">
        <v>15</v>
      </c>
    </row>
    <row r="88" spans="1:14" ht="15" customHeight="1" x14ac:dyDescent="0.2">
      <c r="A88" t="s">
        <v>93</v>
      </c>
      <c r="B88" s="22">
        <v>0</v>
      </c>
      <c r="C88" s="22">
        <v>0</v>
      </c>
      <c r="D88" s="22">
        <v>0</v>
      </c>
      <c r="E88" s="56">
        <v>0</v>
      </c>
      <c r="F88" s="22">
        <v>2</v>
      </c>
      <c r="G88" s="56">
        <v>0</v>
      </c>
      <c r="H88" s="22">
        <v>0</v>
      </c>
      <c r="I88" s="22">
        <v>0</v>
      </c>
      <c r="J88">
        <f t="shared" si="4"/>
        <v>2</v>
      </c>
      <c r="K88">
        <f t="shared" si="5"/>
        <v>0</v>
      </c>
      <c r="L88">
        <f t="shared" si="6"/>
        <v>0</v>
      </c>
      <c r="M88">
        <f t="shared" si="7"/>
        <v>0</v>
      </c>
      <c r="N88">
        <v>15</v>
      </c>
    </row>
    <row r="89" spans="1:14" ht="15" customHeight="1" x14ac:dyDescent="0.2">
      <c r="A89" t="s">
        <v>94</v>
      </c>
      <c r="B89" s="22">
        <v>1</v>
      </c>
      <c r="C89" s="22">
        <v>0</v>
      </c>
      <c r="D89" s="22">
        <v>0</v>
      </c>
      <c r="E89" s="56">
        <v>0</v>
      </c>
      <c r="F89" s="22">
        <v>1</v>
      </c>
      <c r="G89" s="56">
        <v>0</v>
      </c>
      <c r="H89" s="22">
        <v>0</v>
      </c>
      <c r="I89" s="22">
        <v>0</v>
      </c>
      <c r="J89">
        <f t="shared" si="4"/>
        <v>1</v>
      </c>
      <c r="K89">
        <f t="shared" si="5"/>
        <v>1</v>
      </c>
      <c r="L89">
        <f t="shared" si="6"/>
        <v>0</v>
      </c>
      <c r="M89">
        <f t="shared" si="7"/>
        <v>0</v>
      </c>
      <c r="N89">
        <v>15</v>
      </c>
    </row>
    <row r="90" spans="1:14" ht="15" customHeight="1" x14ac:dyDescent="0.2">
      <c r="A90" t="s">
        <v>95</v>
      </c>
      <c r="B90" s="22">
        <v>0</v>
      </c>
      <c r="C90" s="22">
        <v>0</v>
      </c>
      <c r="D90" s="22">
        <v>0</v>
      </c>
      <c r="E90" s="56">
        <v>1</v>
      </c>
      <c r="F90" s="22">
        <v>0</v>
      </c>
      <c r="G90" s="56">
        <v>0</v>
      </c>
      <c r="H90" s="22">
        <v>1</v>
      </c>
      <c r="I90" s="22">
        <v>0</v>
      </c>
      <c r="J90">
        <f t="shared" si="4"/>
        <v>0</v>
      </c>
      <c r="K90">
        <f t="shared" si="5"/>
        <v>1</v>
      </c>
      <c r="L90">
        <f t="shared" si="6"/>
        <v>1</v>
      </c>
      <c r="M90">
        <f t="shared" si="7"/>
        <v>0</v>
      </c>
      <c r="N90">
        <v>15</v>
      </c>
    </row>
    <row r="91" spans="1:14" ht="15" customHeight="1" x14ac:dyDescent="0.2">
      <c r="A91" t="s">
        <v>96</v>
      </c>
      <c r="B91" s="22">
        <v>0</v>
      </c>
      <c r="C91" s="22">
        <v>0</v>
      </c>
      <c r="D91" s="22">
        <v>0</v>
      </c>
      <c r="E91" s="56">
        <v>0</v>
      </c>
      <c r="F91" s="22">
        <v>0</v>
      </c>
      <c r="G91" s="56">
        <v>0</v>
      </c>
      <c r="H91" s="22">
        <v>0</v>
      </c>
      <c r="I91" s="22">
        <v>0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  <c r="N91">
        <v>15</v>
      </c>
    </row>
    <row r="92" spans="1:14" ht="15" customHeight="1" x14ac:dyDescent="0.2">
      <c r="A92" t="s">
        <v>97</v>
      </c>
      <c r="B92" s="22">
        <v>0</v>
      </c>
      <c r="C92" s="22">
        <v>0</v>
      </c>
      <c r="D92" s="22">
        <v>0</v>
      </c>
      <c r="E92" s="56">
        <v>0</v>
      </c>
      <c r="F92" s="22">
        <v>1</v>
      </c>
      <c r="G92" s="56">
        <v>0</v>
      </c>
      <c r="H92" s="22">
        <v>0</v>
      </c>
      <c r="I92" s="22">
        <v>0</v>
      </c>
      <c r="J92">
        <f t="shared" si="4"/>
        <v>1</v>
      </c>
      <c r="K92">
        <f t="shared" si="5"/>
        <v>0</v>
      </c>
      <c r="L92">
        <f t="shared" si="6"/>
        <v>0</v>
      </c>
      <c r="M92">
        <f t="shared" si="7"/>
        <v>0</v>
      </c>
      <c r="N92">
        <v>15</v>
      </c>
    </row>
    <row r="93" spans="1:14" ht="15" customHeight="1" x14ac:dyDescent="0.2">
      <c r="A93" t="s">
        <v>98</v>
      </c>
      <c r="B93" s="22">
        <v>0</v>
      </c>
      <c r="C93" s="22">
        <v>0</v>
      </c>
      <c r="D93" s="22">
        <v>2</v>
      </c>
      <c r="E93" s="56">
        <v>0</v>
      </c>
      <c r="F93" s="22">
        <v>2</v>
      </c>
      <c r="G93" s="56">
        <v>0</v>
      </c>
      <c r="H93" s="22">
        <v>0</v>
      </c>
      <c r="I93" s="22">
        <v>0</v>
      </c>
      <c r="J93">
        <f t="shared" si="4"/>
        <v>4</v>
      </c>
      <c r="K93">
        <f t="shared" si="5"/>
        <v>0</v>
      </c>
      <c r="L93">
        <f t="shared" si="6"/>
        <v>0</v>
      </c>
      <c r="M93">
        <f t="shared" si="7"/>
        <v>0</v>
      </c>
      <c r="N93">
        <v>15</v>
      </c>
    </row>
    <row r="94" spans="1:14" ht="15" customHeight="1" x14ac:dyDescent="0.2">
      <c r="A94" t="s">
        <v>99</v>
      </c>
      <c r="B94" s="22">
        <v>0</v>
      </c>
      <c r="C94" s="22">
        <v>0</v>
      </c>
      <c r="D94" s="22">
        <v>0</v>
      </c>
      <c r="E94" s="56">
        <v>0</v>
      </c>
      <c r="F94" s="22">
        <v>0</v>
      </c>
      <c r="G94" s="56">
        <v>0</v>
      </c>
      <c r="H94" s="22">
        <v>0</v>
      </c>
      <c r="I94" s="22">
        <v>0</v>
      </c>
      <c r="J94">
        <f t="shared" si="4"/>
        <v>0</v>
      </c>
      <c r="K94">
        <f t="shared" si="5"/>
        <v>0</v>
      </c>
      <c r="L94">
        <f t="shared" si="6"/>
        <v>0</v>
      </c>
      <c r="M94">
        <f t="shared" si="7"/>
        <v>0</v>
      </c>
      <c r="N94">
        <v>15</v>
      </c>
    </row>
    <row r="95" spans="1:14" ht="15" customHeight="1" x14ac:dyDescent="0.2">
      <c r="A95" t="s">
        <v>100</v>
      </c>
      <c r="B95" s="22">
        <v>0</v>
      </c>
      <c r="C95" s="22">
        <v>0</v>
      </c>
      <c r="D95" s="22">
        <v>0</v>
      </c>
      <c r="E95" s="56">
        <v>0</v>
      </c>
      <c r="F95" s="22">
        <v>0</v>
      </c>
      <c r="G95" s="56">
        <v>0</v>
      </c>
      <c r="H95" s="22">
        <v>0</v>
      </c>
      <c r="I95" s="22">
        <v>0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0</v>
      </c>
      <c r="N95">
        <v>15</v>
      </c>
    </row>
    <row r="96" spans="1:14" ht="15" customHeight="1" x14ac:dyDescent="0.2">
      <c r="A96" t="s">
        <v>101</v>
      </c>
      <c r="B96" s="22">
        <v>0</v>
      </c>
      <c r="C96" s="22">
        <v>0</v>
      </c>
      <c r="D96" s="22">
        <v>0</v>
      </c>
      <c r="E96" s="56">
        <v>0</v>
      </c>
      <c r="F96" s="22">
        <v>0</v>
      </c>
      <c r="G96" s="56">
        <v>0</v>
      </c>
      <c r="H96" s="22">
        <v>0</v>
      </c>
      <c r="I96" s="22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0</v>
      </c>
      <c r="N96">
        <v>15</v>
      </c>
    </row>
    <row r="97" spans="1:14" ht="15" customHeight="1" x14ac:dyDescent="0.2">
      <c r="A97" t="s">
        <v>102</v>
      </c>
      <c r="B97" s="22">
        <v>0</v>
      </c>
      <c r="C97" s="22">
        <v>0</v>
      </c>
      <c r="D97" s="22">
        <v>0</v>
      </c>
      <c r="E97" s="56">
        <v>0</v>
      </c>
      <c r="F97" s="22">
        <v>0</v>
      </c>
      <c r="G97" s="56">
        <v>0</v>
      </c>
      <c r="H97" s="22">
        <v>1</v>
      </c>
      <c r="I97" s="22">
        <v>0</v>
      </c>
      <c r="J97">
        <f t="shared" si="4"/>
        <v>0</v>
      </c>
      <c r="K97">
        <f t="shared" si="5"/>
        <v>1</v>
      </c>
      <c r="L97">
        <f t="shared" si="6"/>
        <v>0</v>
      </c>
      <c r="M97">
        <f t="shared" si="7"/>
        <v>0</v>
      </c>
      <c r="N97">
        <v>15</v>
      </c>
    </row>
    <row r="98" spans="1:14" ht="15" customHeight="1" x14ac:dyDescent="0.2">
      <c r="A98" t="s">
        <v>103</v>
      </c>
      <c r="B98" s="22">
        <v>0</v>
      </c>
      <c r="C98" s="22">
        <v>0</v>
      </c>
      <c r="D98" s="22">
        <v>0</v>
      </c>
      <c r="E98" s="56">
        <v>0</v>
      </c>
      <c r="F98" s="22">
        <v>0</v>
      </c>
      <c r="G98" s="56">
        <v>0</v>
      </c>
      <c r="H98" s="22">
        <v>0</v>
      </c>
      <c r="I98" s="22">
        <v>0</v>
      </c>
      <c r="J98">
        <f t="shared" si="4"/>
        <v>0</v>
      </c>
      <c r="K98">
        <f t="shared" si="5"/>
        <v>0</v>
      </c>
      <c r="L98">
        <f t="shared" si="6"/>
        <v>0</v>
      </c>
      <c r="M98">
        <f t="shared" si="7"/>
        <v>0</v>
      </c>
      <c r="N98">
        <v>15</v>
      </c>
    </row>
    <row r="99" spans="1:14" ht="15" customHeight="1" x14ac:dyDescent="0.2">
      <c r="A99" t="s">
        <v>104</v>
      </c>
      <c r="B99" s="22">
        <v>0</v>
      </c>
      <c r="C99" s="22">
        <v>0</v>
      </c>
      <c r="D99" s="22">
        <v>1</v>
      </c>
      <c r="E99" s="56">
        <v>0</v>
      </c>
      <c r="F99" s="22">
        <v>0</v>
      </c>
      <c r="G99" s="56">
        <v>0</v>
      </c>
      <c r="H99" s="22">
        <v>1</v>
      </c>
      <c r="I99" s="22">
        <v>0</v>
      </c>
      <c r="J99">
        <f t="shared" si="4"/>
        <v>1</v>
      </c>
      <c r="K99">
        <f t="shared" si="5"/>
        <v>1</v>
      </c>
      <c r="L99">
        <f t="shared" si="6"/>
        <v>0</v>
      </c>
      <c r="M99">
        <f t="shared" si="7"/>
        <v>0</v>
      </c>
      <c r="N99">
        <v>15</v>
      </c>
    </row>
    <row r="100" spans="1:14" ht="15" customHeight="1" x14ac:dyDescent="0.2">
      <c r="A100" t="s">
        <v>105</v>
      </c>
      <c r="B100" s="22">
        <v>0</v>
      </c>
      <c r="C100" s="22">
        <v>0</v>
      </c>
      <c r="D100" s="22">
        <v>0</v>
      </c>
      <c r="E100" s="56">
        <v>0</v>
      </c>
      <c r="F100" s="22">
        <v>0</v>
      </c>
      <c r="G100" s="56">
        <v>0</v>
      </c>
      <c r="H100" s="22">
        <v>0</v>
      </c>
      <c r="I100" s="22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  <c r="N100">
        <v>15</v>
      </c>
    </row>
    <row r="101" spans="1:14" ht="15" customHeight="1" x14ac:dyDescent="0.2">
      <c r="A101" t="s">
        <v>106</v>
      </c>
      <c r="B101" s="22">
        <v>0</v>
      </c>
      <c r="C101" s="22">
        <v>0</v>
      </c>
      <c r="D101" s="22">
        <v>1</v>
      </c>
      <c r="E101" s="56">
        <v>0</v>
      </c>
      <c r="F101" s="22">
        <v>0</v>
      </c>
      <c r="G101" s="56">
        <v>0</v>
      </c>
      <c r="H101" s="22">
        <v>0</v>
      </c>
      <c r="I101" s="22">
        <v>0</v>
      </c>
      <c r="J101">
        <f t="shared" si="4"/>
        <v>1</v>
      </c>
      <c r="K101">
        <f t="shared" si="5"/>
        <v>0</v>
      </c>
      <c r="L101">
        <f t="shared" si="6"/>
        <v>0</v>
      </c>
      <c r="M101">
        <f t="shared" si="7"/>
        <v>0</v>
      </c>
      <c r="N101">
        <v>15</v>
      </c>
    </row>
    <row r="102" spans="1:14" ht="15" customHeight="1" x14ac:dyDescent="0.2">
      <c r="A102" t="s">
        <v>107</v>
      </c>
      <c r="B102" s="22">
        <v>0</v>
      </c>
      <c r="C102" s="22">
        <v>0</v>
      </c>
      <c r="D102" s="22">
        <v>1</v>
      </c>
      <c r="E102" s="56">
        <v>0</v>
      </c>
      <c r="F102" s="22">
        <v>1</v>
      </c>
      <c r="G102" s="56">
        <v>0</v>
      </c>
      <c r="H102" s="22">
        <v>0</v>
      </c>
      <c r="I102" s="22">
        <v>0</v>
      </c>
      <c r="J102">
        <f t="shared" si="4"/>
        <v>2</v>
      </c>
      <c r="K102">
        <f t="shared" si="5"/>
        <v>0</v>
      </c>
      <c r="L102">
        <f t="shared" si="6"/>
        <v>0</v>
      </c>
      <c r="M102">
        <f t="shared" si="7"/>
        <v>0</v>
      </c>
      <c r="N102">
        <v>15</v>
      </c>
    </row>
    <row r="103" spans="1:14" ht="15" customHeight="1" x14ac:dyDescent="0.2">
      <c r="A103" t="s">
        <v>108</v>
      </c>
      <c r="B103" s="22">
        <v>0</v>
      </c>
      <c r="C103" s="22">
        <v>0</v>
      </c>
      <c r="D103" s="22">
        <v>0</v>
      </c>
      <c r="E103" s="56">
        <v>0</v>
      </c>
      <c r="F103" s="22">
        <v>0</v>
      </c>
      <c r="G103" s="56">
        <v>0</v>
      </c>
      <c r="H103" s="22">
        <v>0</v>
      </c>
      <c r="I103" s="22">
        <v>0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0</v>
      </c>
      <c r="N103">
        <v>15</v>
      </c>
    </row>
    <row r="104" spans="1:14" ht="15" customHeight="1" x14ac:dyDescent="0.2">
      <c r="A104" t="s">
        <v>109</v>
      </c>
      <c r="B104" s="22">
        <v>0</v>
      </c>
      <c r="C104" s="22">
        <v>0</v>
      </c>
      <c r="D104" s="22">
        <v>0</v>
      </c>
      <c r="E104" s="56">
        <v>0</v>
      </c>
      <c r="F104" s="22">
        <v>0</v>
      </c>
      <c r="G104" s="56">
        <v>0</v>
      </c>
      <c r="H104" s="22">
        <v>0</v>
      </c>
      <c r="I104" s="22">
        <v>0</v>
      </c>
      <c r="J104">
        <f t="shared" si="4"/>
        <v>0</v>
      </c>
      <c r="K104">
        <f t="shared" si="5"/>
        <v>0</v>
      </c>
      <c r="L104">
        <f t="shared" si="6"/>
        <v>0</v>
      </c>
      <c r="M104">
        <f t="shared" si="7"/>
        <v>0</v>
      </c>
      <c r="N104">
        <v>15</v>
      </c>
    </row>
    <row r="105" spans="1:14" ht="15" customHeight="1" x14ac:dyDescent="0.2">
      <c r="A105" t="s">
        <v>110</v>
      </c>
      <c r="B105" s="22">
        <v>0</v>
      </c>
      <c r="C105" s="22">
        <v>0</v>
      </c>
      <c r="D105" s="22">
        <v>1</v>
      </c>
      <c r="E105" s="56">
        <v>0</v>
      </c>
      <c r="F105" s="22">
        <v>1</v>
      </c>
      <c r="G105" s="56">
        <v>0</v>
      </c>
      <c r="H105" s="22">
        <v>2</v>
      </c>
      <c r="I105" s="22">
        <v>0</v>
      </c>
      <c r="J105">
        <f t="shared" si="4"/>
        <v>2</v>
      </c>
      <c r="K105">
        <f t="shared" si="5"/>
        <v>2</v>
      </c>
      <c r="L105">
        <f t="shared" si="6"/>
        <v>0</v>
      </c>
      <c r="M105">
        <f t="shared" si="7"/>
        <v>0</v>
      </c>
      <c r="N105">
        <v>15</v>
      </c>
    </row>
    <row r="106" spans="1:14" ht="15" customHeight="1" x14ac:dyDescent="0.2">
      <c r="A106" t="s">
        <v>5</v>
      </c>
      <c r="B106" s="22">
        <v>1</v>
      </c>
      <c r="C106" s="22">
        <v>0</v>
      </c>
      <c r="D106" s="22">
        <v>0</v>
      </c>
      <c r="E106" s="56">
        <v>0</v>
      </c>
      <c r="F106" s="22">
        <v>0</v>
      </c>
      <c r="G106" s="56">
        <v>0</v>
      </c>
      <c r="H106" s="22">
        <v>0</v>
      </c>
      <c r="I106" s="22">
        <v>0</v>
      </c>
      <c r="J106">
        <f t="shared" si="4"/>
        <v>0</v>
      </c>
      <c r="K106">
        <f t="shared" si="5"/>
        <v>1</v>
      </c>
      <c r="L106">
        <f t="shared" si="6"/>
        <v>0</v>
      </c>
      <c r="M106">
        <f t="shared" si="7"/>
        <v>0</v>
      </c>
      <c r="N106">
        <v>15</v>
      </c>
    </row>
    <row r="107" spans="1:14" ht="15" customHeight="1" x14ac:dyDescent="0.2">
      <c r="A107" t="s">
        <v>16</v>
      </c>
      <c r="B107" s="22">
        <v>0</v>
      </c>
      <c r="C107" s="22">
        <v>0</v>
      </c>
      <c r="D107" s="22">
        <v>0</v>
      </c>
      <c r="E107" s="56">
        <v>0</v>
      </c>
      <c r="F107" s="22">
        <v>0</v>
      </c>
      <c r="G107" s="56">
        <v>0</v>
      </c>
      <c r="H107" s="22">
        <v>0</v>
      </c>
      <c r="I107" s="22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  <c r="N107">
        <v>15</v>
      </c>
    </row>
    <row r="108" spans="1:14" ht="15" customHeight="1" x14ac:dyDescent="0.2">
      <c r="A108" t="s">
        <v>17</v>
      </c>
      <c r="B108" s="22">
        <v>0</v>
      </c>
      <c r="C108" s="22">
        <v>0</v>
      </c>
      <c r="D108" s="22">
        <v>0</v>
      </c>
      <c r="E108" s="56">
        <v>0</v>
      </c>
      <c r="F108" s="22">
        <v>0</v>
      </c>
      <c r="G108" s="56">
        <v>0</v>
      </c>
      <c r="H108" s="22">
        <v>0</v>
      </c>
      <c r="I108" s="22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  <c r="N108">
        <v>15</v>
      </c>
    </row>
    <row r="109" spans="1:14" ht="15" customHeight="1" x14ac:dyDescent="0.2">
      <c r="A109" t="s">
        <v>18</v>
      </c>
      <c r="B109" s="22">
        <v>0</v>
      </c>
      <c r="C109" s="22">
        <v>0</v>
      </c>
      <c r="D109" s="22">
        <v>0</v>
      </c>
      <c r="E109" s="56">
        <v>0</v>
      </c>
      <c r="F109" s="22">
        <v>0</v>
      </c>
      <c r="G109" s="56">
        <v>0</v>
      </c>
      <c r="H109" s="22">
        <v>0</v>
      </c>
      <c r="I109" s="22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  <c r="N109">
        <v>15</v>
      </c>
    </row>
    <row r="110" spans="1:14" ht="15" customHeight="1" x14ac:dyDescent="0.2">
      <c r="A110" t="s">
        <v>19</v>
      </c>
      <c r="B110" s="22">
        <v>0</v>
      </c>
      <c r="C110" s="22">
        <v>0</v>
      </c>
      <c r="D110" s="22">
        <v>0</v>
      </c>
      <c r="E110" s="56">
        <v>0</v>
      </c>
      <c r="F110" s="22">
        <v>0</v>
      </c>
      <c r="G110" s="56">
        <v>0</v>
      </c>
      <c r="H110" s="22">
        <v>0</v>
      </c>
      <c r="I110" s="22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  <c r="N110">
        <v>15</v>
      </c>
    </row>
    <row r="111" spans="1:14" ht="15" customHeight="1" x14ac:dyDescent="0.2">
      <c r="A111" t="s">
        <v>20</v>
      </c>
      <c r="B111" s="22">
        <v>0</v>
      </c>
      <c r="C111" s="22">
        <v>0</v>
      </c>
      <c r="D111" s="22">
        <v>0</v>
      </c>
      <c r="E111" s="56">
        <v>0</v>
      </c>
      <c r="F111" s="22">
        <v>0</v>
      </c>
      <c r="G111" s="56">
        <v>0</v>
      </c>
      <c r="H111" s="22">
        <v>0</v>
      </c>
      <c r="I111" s="22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  <c r="N111">
        <v>15</v>
      </c>
    </row>
    <row r="112" spans="1:14" ht="15" customHeight="1" x14ac:dyDescent="0.2">
      <c r="A112" t="s">
        <v>21</v>
      </c>
      <c r="B112" s="22">
        <v>0</v>
      </c>
      <c r="C112" s="22">
        <v>0</v>
      </c>
      <c r="D112" s="22">
        <v>0</v>
      </c>
      <c r="E112" s="56">
        <v>0</v>
      </c>
      <c r="F112" s="22">
        <v>0</v>
      </c>
      <c r="G112" s="56">
        <v>0</v>
      </c>
      <c r="H112" s="22">
        <v>0</v>
      </c>
      <c r="I112" s="2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  <c r="N112">
        <v>15</v>
      </c>
    </row>
    <row r="113" spans="1:14" ht="15" customHeight="1" x14ac:dyDescent="0.2">
      <c r="A113" t="s">
        <v>22</v>
      </c>
      <c r="B113" s="22">
        <v>0</v>
      </c>
      <c r="C113" s="22">
        <v>0</v>
      </c>
      <c r="D113" s="22">
        <v>0</v>
      </c>
      <c r="E113" s="56">
        <v>0</v>
      </c>
      <c r="F113" s="22">
        <v>0</v>
      </c>
      <c r="G113" s="56">
        <v>0</v>
      </c>
      <c r="H113" s="22">
        <v>0</v>
      </c>
      <c r="I113" s="22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  <c r="N113">
        <v>15</v>
      </c>
    </row>
    <row r="114" spans="1:14" ht="15" customHeight="1" x14ac:dyDescent="0.2">
      <c r="A114" t="s">
        <v>23</v>
      </c>
      <c r="B114" s="22">
        <v>0</v>
      </c>
      <c r="C114" s="22">
        <v>0</v>
      </c>
      <c r="D114" s="22">
        <v>1</v>
      </c>
      <c r="E114" s="56">
        <v>0</v>
      </c>
      <c r="F114" s="22">
        <v>0</v>
      </c>
      <c r="G114" s="56">
        <v>0</v>
      </c>
      <c r="H114" s="22">
        <v>0</v>
      </c>
      <c r="I114" s="22">
        <v>0</v>
      </c>
      <c r="J114">
        <f t="shared" si="4"/>
        <v>1</v>
      </c>
      <c r="K114">
        <f t="shared" si="5"/>
        <v>0</v>
      </c>
      <c r="L114">
        <f t="shared" si="6"/>
        <v>0</v>
      </c>
      <c r="M114">
        <f t="shared" si="7"/>
        <v>0</v>
      </c>
      <c r="N114">
        <v>15</v>
      </c>
    </row>
    <row r="115" spans="1:14" ht="15" customHeight="1" x14ac:dyDescent="0.2">
      <c r="A115" t="s">
        <v>24</v>
      </c>
      <c r="B115" s="22">
        <v>0</v>
      </c>
      <c r="C115" s="22">
        <v>0</v>
      </c>
      <c r="D115" s="22">
        <v>0</v>
      </c>
      <c r="E115" s="56">
        <v>0</v>
      </c>
      <c r="F115" s="22">
        <v>0</v>
      </c>
      <c r="G115" s="56">
        <v>0</v>
      </c>
      <c r="H115" s="22">
        <v>0</v>
      </c>
      <c r="I115" s="22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  <c r="N115">
        <v>15</v>
      </c>
    </row>
    <row r="116" spans="1:14" ht="15" customHeight="1" x14ac:dyDescent="0.2">
      <c r="A116" t="s">
        <v>25</v>
      </c>
      <c r="B116" s="22">
        <v>1</v>
      </c>
      <c r="C116" s="22">
        <v>0</v>
      </c>
      <c r="D116" s="22">
        <v>0</v>
      </c>
      <c r="E116" s="56">
        <v>0</v>
      </c>
      <c r="F116" s="22">
        <v>0</v>
      </c>
      <c r="G116" s="56">
        <v>0</v>
      </c>
      <c r="H116" s="22">
        <v>0</v>
      </c>
      <c r="I116" s="22">
        <v>0</v>
      </c>
      <c r="J116">
        <f t="shared" si="4"/>
        <v>0</v>
      </c>
      <c r="K116">
        <f t="shared" si="5"/>
        <v>1</v>
      </c>
      <c r="L116">
        <f t="shared" si="6"/>
        <v>0</v>
      </c>
      <c r="M116">
        <f t="shared" si="7"/>
        <v>0</v>
      </c>
      <c r="N116">
        <v>15</v>
      </c>
    </row>
    <row r="117" spans="1:14" ht="15" customHeight="1" x14ac:dyDescent="0.2">
      <c r="A117" t="s">
        <v>26</v>
      </c>
      <c r="B117" s="22">
        <v>0</v>
      </c>
      <c r="C117" s="22">
        <v>0</v>
      </c>
      <c r="D117" s="22">
        <v>0</v>
      </c>
      <c r="E117" s="56">
        <v>0</v>
      </c>
      <c r="F117" s="22">
        <v>0</v>
      </c>
      <c r="G117" s="56">
        <v>0</v>
      </c>
      <c r="H117" s="22">
        <v>0</v>
      </c>
      <c r="I117" s="22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  <c r="N117">
        <v>15</v>
      </c>
    </row>
    <row r="118" spans="1:14" ht="15" customHeight="1" x14ac:dyDescent="0.2">
      <c r="A118" t="s">
        <v>27</v>
      </c>
      <c r="B118" s="22">
        <v>0</v>
      </c>
      <c r="C118" s="22">
        <v>0</v>
      </c>
      <c r="D118" s="22">
        <v>0</v>
      </c>
      <c r="E118" s="56">
        <v>0</v>
      </c>
      <c r="F118" s="22">
        <v>0</v>
      </c>
      <c r="G118" s="56">
        <v>0</v>
      </c>
      <c r="H118" s="22">
        <v>0</v>
      </c>
      <c r="I118" s="22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  <c r="N118">
        <v>15</v>
      </c>
    </row>
    <row r="119" spans="1:14" ht="15" customHeight="1" x14ac:dyDescent="0.2">
      <c r="A119" t="s">
        <v>28</v>
      </c>
      <c r="B119" s="22">
        <v>0</v>
      </c>
      <c r="C119" s="22">
        <v>0</v>
      </c>
      <c r="D119" s="22">
        <v>0</v>
      </c>
      <c r="E119" s="56">
        <v>0</v>
      </c>
      <c r="F119" s="22">
        <v>0</v>
      </c>
      <c r="G119" s="56">
        <v>0</v>
      </c>
      <c r="H119" s="22">
        <v>0</v>
      </c>
      <c r="I119" s="22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  <c r="N119">
        <v>15</v>
      </c>
    </row>
    <row r="120" spans="1:14" ht="15" customHeight="1" x14ac:dyDescent="0.2">
      <c r="A120" t="s">
        <v>29</v>
      </c>
      <c r="B120" s="22">
        <v>0</v>
      </c>
      <c r="C120" s="22">
        <v>0</v>
      </c>
      <c r="D120" s="22">
        <v>0</v>
      </c>
      <c r="E120" s="56">
        <v>0</v>
      </c>
      <c r="F120" s="22">
        <v>0</v>
      </c>
      <c r="G120" s="56">
        <v>0</v>
      </c>
      <c r="H120" s="22">
        <v>0</v>
      </c>
      <c r="I120" s="22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  <c r="N120">
        <v>15</v>
      </c>
    </row>
    <row r="121" spans="1:14" ht="15" customHeight="1" x14ac:dyDescent="0.2">
      <c r="A121" t="s">
        <v>30</v>
      </c>
      <c r="B121" s="22">
        <v>0</v>
      </c>
      <c r="C121" s="22">
        <v>0</v>
      </c>
      <c r="D121" s="22">
        <v>0</v>
      </c>
      <c r="E121" s="56">
        <v>0</v>
      </c>
      <c r="F121" s="22">
        <v>0</v>
      </c>
      <c r="G121" s="56">
        <v>0</v>
      </c>
      <c r="H121" s="22">
        <v>0</v>
      </c>
      <c r="I121" s="22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  <c r="N121">
        <v>15</v>
      </c>
    </row>
    <row r="122" spans="1:14" ht="15" customHeight="1" x14ac:dyDescent="0.2">
      <c r="A122" t="s">
        <v>31</v>
      </c>
      <c r="B122" s="22">
        <v>0</v>
      </c>
      <c r="C122" s="22">
        <v>0</v>
      </c>
      <c r="D122" s="22">
        <v>1</v>
      </c>
      <c r="E122" s="56">
        <v>0</v>
      </c>
      <c r="F122" s="22">
        <v>1</v>
      </c>
      <c r="G122" s="56">
        <v>0</v>
      </c>
      <c r="H122" s="22">
        <v>0</v>
      </c>
      <c r="I122" s="22">
        <v>0</v>
      </c>
      <c r="J122">
        <f t="shared" si="4"/>
        <v>2</v>
      </c>
      <c r="K122">
        <f t="shared" si="5"/>
        <v>0</v>
      </c>
      <c r="L122">
        <f t="shared" si="6"/>
        <v>0</v>
      </c>
      <c r="M122">
        <f t="shared" si="7"/>
        <v>0</v>
      </c>
      <c r="N122">
        <v>15</v>
      </c>
    </row>
    <row r="123" spans="1:14" ht="15" customHeight="1" x14ac:dyDescent="0.2">
      <c r="A123" t="s">
        <v>32</v>
      </c>
      <c r="B123" s="22">
        <v>0</v>
      </c>
      <c r="C123" s="22">
        <v>0</v>
      </c>
      <c r="D123" s="22">
        <v>0</v>
      </c>
      <c r="E123" s="56">
        <v>0</v>
      </c>
      <c r="F123" s="22">
        <v>0</v>
      </c>
      <c r="G123" s="56">
        <v>0</v>
      </c>
      <c r="H123" s="22">
        <v>0</v>
      </c>
      <c r="I123" s="22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  <c r="N123">
        <v>15</v>
      </c>
    </row>
    <row r="124" spans="1:14" ht="15" customHeight="1" x14ac:dyDescent="0.2">
      <c r="A124" t="s">
        <v>33</v>
      </c>
      <c r="B124" s="22">
        <v>0</v>
      </c>
      <c r="C124" s="22">
        <v>0</v>
      </c>
      <c r="D124" s="22">
        <v>1</v>
      </c>
      <c r="E124" s="56">
        <v>0</v>
      </c>
      <c r="F124" s="22">
        <v>0</v>
      </c>
      <c r="G124" s="56">
        <v>0</v>
      </c>
      <c r="H124" s="22">
        <v>1</v>
      </c>
      <c r="I124" s="22">
        <v>0</v>
      </c>
      <c r="J124">
        <f t="shared" si="4"/>
        <v>1</v>
      </c>
      <c r="K124">
        <f t="shared" si="5"/>
        <v>1</v>
      </c>
      <c r="L124">
        <f t="shared" si="6"/>
        <v>0</v>
      </c>
      <c r="M124">
        <f t="shared" si="7"/>
        <v>0</v>
      </c>
      <c r="N124">
        <v>15</v>
      </c>
    </row>
    <row r="125" spans="1:14" ht="15" customHeight="1" x14ac:dyDescent="0.2">
      <c r="A125" t="s">
        <v>34</v>
      </c>
      <c r="B125" s="22">
        <v>0</v>
      </c>
      <c r="C125" s="22">
        <v>0</v>
      </c>
      <c r="D125" s="22">
        <v>0</v>
      </c>
      <c r="E125" s="56">
        <v>0</v>
      </c>
      <c r="F125" s="22">
        <v>0</v>
      </c>
      <c r="G125" s="56">
        <v>0</v>
      </c>
      <c r="H125" s="22">
        <v>0</v>
      </c>
      <c r="I125" s="22">
        <v>0</v>
      </c>
      <c r="J125">
        <f t="shared" si="4"/>
        <v>0</v>
      </c>
      <c r="K125">
        <f t="shared" si="5"/>
        <v>0</v>
      </c>
      <c r="L125">
        <f t="shared" si="6"/>
        <v>0</v>
      </c>
      <c r="M125">
        <f t="shared" si="7"/>
        <v>0</v>
      </c>
      <c r="N125">
        <v>15</v>
      </c>
    </row>
    <row r="126" spans="1:14" ht="15" customHeight="1" x14ac:dyDescent="0.2">
      <c r="A126" t="s">
        <v>35</v>
      </c>
      <c r="B126" s="22">
        <v>0</v>
      </c>
      <c r="C126" s="22">
        <v>0</v>
      </c>
      <c r="D126" s="22">
        <v>0</v>
      </c>
      <c r="E126" s="56">
        <v>0</v>
      </c>
      <c r="F126" s="22">
        <v>0</v>
      </c>
      <c r="G126" s="56">
        <v>0</v>
      </c>
      <c r="H126" s="22">
        <v>0</v>
      </c>
      <c r="I126" s="22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  <c r="N126">
        <v>15</v>
      </c>
    </row>
    <row r="127" spans="1:14" ht="15" customHeight="1" x14ac:dyDescent="0.2">
      <c r="A127" t="s">
        <v>36</v>
      </c>
      <c r="B127" s="22">
        <v>0</v>
      </c>
      <c r="C127" s="22">
        <v>0</v>
      </c>
      <c r="D127" s="22">
        <v>0</v>
      </c>
      <c r="E127" s="56">
        <v>0</v>
      </c>
      <c r="F127" s="22">
        <v>0</v>
      </c>
      <c r="G127" s="56">
        <v>0</v>
      </c>
      <c r="H127" s="22">
        <v>0</v>
      </c>
      <c r="I127" s="22">
        <v>0</v>
      </c>
      <c r="J127">
        <f t="shared" si="4"/>
        <v>0</v>
      </c>
      <c r="K127">
        <f t="shared" si="5"/>
        <v>0</v>
      </c>
      <c r="L127">
        <f t="shared" si="6"/>
        <v>0</v>
      </c>
      <c r="M127">
        <f t="shared" si="7"/>
        <v>0</v>
      </c>
      <c r="N127">
        <v>15</v>
      </c>
    </row>
    <row r="128" spans="1:14" ht="15" customHeight="1" x14ac:dyDescent="0.2">
      <c r="A128" t="s">
        <v>37</v>
      </c>
      <c r="B128" s="22">
        <v>0</v>
      </c>
      <c r="C128" s="22">
        <v>0</v>
      </c>
      <c r="D128" s="22">
        <v>0</v>
      </c>
      <c r="E128" s="56">
        <v>0</v>
      </c>
      <c r="F128" s="22">
        <v>0</v>
      </c>
      <c r="G128" s="56">
        <v>0</v>
      </c>
      <c r="H128" s="22">
        <v>0</v>
      </c>
      <c r="I128" s="22">
        <v>0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  <c r="N128">
        <v>15</v>
      </c>
    </row>
    <row r="129" spans="1:14" ht="15" customHeight="1" x14ac:dyDescent="0.2">
      <c r="A129" t="s">
        <v>38</v>
      </c>
      <c r="B129" s="22">
        <v>0</v>
      </c>
      <c r="C129" s="22">
        <v>0</v>
      </c>
      <c r="D129" s="22">
        <v>0</v>
      </c>
      <c r="E129" s="56">
        <v>0</v>
      </c>
      <c r="F129" s="22">
        <v>0</v>
      </c>
      <c r="G129" s="56">
        <v>0</v>
      </c>
      <c r="H129" s="22">
        <v>0</v>
      </c>
      <c r="I129" s="22">
        <v>0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  <c r="N129">
        <v>15</v>
      </c>
    </row>
    <row r="130" spans="1:14" ht="15" customHeight="1" x14ac:dyDescent="0.2">
      <c r="A130" t="s">
        <v>39</v>
      </c>
      <c r="B130" s="22">
        <v>0</v>
      </c>
      <c r="C130" s="22">
        <v>0</v>
      </c>
      <c r="D130" s="22">
        <v>0</v>
      </c>
      <c r="E130" s="56">
        <v>0</v>
      </c>
      <c r="F130" s="22">
        <v>2</v>
      </c>
      <c r="G130" s="56">
        <v>0</v>
      </c>
      <c r="H130" s="22">
        <v>0</v>
      </c>
      <c r="I130" s="22">
        <v>0</v>
      </c>
      <c r="J130">
        <f t="shared" si="4"/>
        <v>2</v>
      </c>
      <c r="K130">
        <f t="shared" si="5"/>
        <v>0</v>
      </c>
      <c r="L130">
        <f t="shared" si="6"/>
        <v>0</v>
      </c>
      <c r="M130">
        <f t="shared" si="7"/>
        <v>0</v>
      </c>
      <c r="N130">
        <v>15</v>
      </c>
    </row>
    <row r="131" spans="1:14" ht="15" customHeight="1" x14ac:dyDescent="0.2">
      <c r="A131" t="s">
        <v>40</v>
      </c>
      <c r="B131" s="22">
        <v>0</v>
      </c>
      <c r="C131" s="22">
        <v>0</v>
      </c>
      <c r="D131" s="22">
        <v>0</v>
      </c>
      <c r="E131" s="56">
        <v>0</v>
      </c>
      <c r="F131" s="22">
        <v>3</v>
      </c>
      <c r="G131" s="56">
        <v>0</v>
      </c>
      <c r="H131" s="22">
        <v>0</v>
      </c>
      <c r="I131" s="22">
        <v>0</v>
      </c>
      <c r="J131">
        <f t="shared" si="4"/>
        <v>3</v>
      </c>
      <c r="K131">
        <f t="shared" si="5"/>
        <v>0</v>
      </c>
      <c r="L131">
        <f t="shared" si="6"/>
        <v>0</v>
      </c>
      <c r="M131">
        <f t="shared" si="7"/>
        <v>0</v>
      </c>
      <c r="N131">
        <v>15</v>
      </c>
    </row>
    <row r="132" spans="1:14" ht="15" customHeight="1" x14ac:dyDescent="0.2">
      <c r="A132" t="s">
        <v>41</v>
      </c>
      <c r="B132" s="22">
        <v>1</v>
      </c>
      <c r="C132" s="22">
        <v>0</v>
      </c>
      <c r="D132" s="22">
        <v>0</v>
      </c>
      <c r="E132" s="56">
        <v>0</v>
      </c>
      <c r="F132" s="22">
        <v>2</v>
      </c>
      <c r="G132" s="56">
        <v>0</v>
      </c>
      <c r="H132" s="22">
        <v>0</v>
      </c>
      <c r="I132" s="22">
        <v>0</v>
      </c>
      <c r="J132">
        <f t="shared" si="4"/>
        <v>2</v>
      </c>
      <c r="K132">
        <f t="shared" si="5"/>
        <v>1</v>
      </c>
      <c r="L132">
        <f t="shared" si="6"/>
        <v>0</v>
      </c>
      <c r="M132">
        <f t="shared" si="7"/>
        <v>0</v>
      </c>
      <c r="N132">
        <v>15</v>
      </c>
    </row>
    <row r="133" spans="1:14" ht="15" customHeight="1" x14ac:dyDescent="0.2">
      <c r="A133" t="s">
        <v>42</v>
      </c>
      <c r="B133" s="22">
        <v>3</v>
      </c>
      <c r="C133" s="22">
        <v>0</v>
      </c>
      <c r="D133" s="22">
        <v>0</v>
      </c>
      <c r="E133" s="56">
        <v>0</v>
      </c>
      <c r="F133" s="22">
        <v>2</v>
      </c>
      <c r="G133" s="56">
        <v>0</v>
      </c>
      <c r="H133" s="22">
        <v>0</v>
      </c>
      <c r="I133" s="22">
        <v>0</v>
      </c>
      <c r="J133">
        <f t="shared" si="4"/>
        <v>2</v>
      </c>
      <c r="K133">
        <f t="shared" si="5"/>
        <v>3</v>
      </c>
      <c r="L133">
        <f t="shared" si="6"/>
        <v>0</v>
      </c>
      <c r="M133">
        <f t="shared" si="7"/>
        <v>0</v>
      </c>
      <c r="N133">
        <v>15</v>
      </c>
    </row>
    <row r="134" spans="1:14" ht="15" customHeight="1" x14ac:dyDescent="0.2">
      <c r="A134" t="s">
        <v>43</v>
      </c>
      <c r="B134" s="22">
        <v>0</v>
      </c>
      <c r="C134" s="22">
        <v>0</v>
      </c>
      <c r="D134" s="22">
        <v>0</v>
      </c>
      <c r="E134" s="56">
        <v>0</v>
      </c>
      <c r="F134" s="22">
        <v>2</v>
      </c>
      <c r="G134" s="56">
        <v>0</v>
      </c>
      <c r="H134" s="22">
        <v>1</v>
      </c>
      <c r="I134" s="22">
        <v>0</v>
      </c>
      <c r="J134">
        <f t="shared" si="4"/>
        <v>2</v>
      </c>
      <c r="K134">
        <f t="shared" si="5"/>
        <v>1</v>
      </c>
      <c r="L134">
        <f t="shared" si="6"/>
        <v>0</v>
      </c>
      <c r="M134">
        <f t="shared" si="7"/>
        <v>0</v>
      </c>
      <c r="N134">
        <v>15</v>
      </c>
    </row>
    <row r="135" spans="1:14" ht="15" customHeight="1" x14ac:dyDescent="0.2">
      <c r="A135" t="s">
        <v>44</v>
      </c>
      <c r="B135" s="22">
        <v>0</v>
      </c>
      <c r="C135" s="22">
        <v>0</v>
      </c>
      <c r="D135" s="22">
        <v>0</v>
      </c>
      <c r="E135" s="56">
        <v>0</v>
      </c>
      <c r="F135" s="22">
        <v>2</v>
      </c>
      <c r="G135" s="56">
        <v>0</v>
      </c>
      <c r="H135" s="22">
        <v>4</v>
      </c>
      <c r="I135" s="22">
        <v>0</v>
      </c>
      <c r="J135">
        <f t="shared" si="4"/>
        <v>2</v>
      </c>
      <c r="K135">
        <f t="shared" si="5"/>
        <v>4</v>
      </c>
      <c r="L135">
        <f t="shared" si="6"/>
        <v>0</v>
      </c>
      <c r="M135">
        <f t="shared" si="7"/>
        <v>0</v>
      </c>
      <c r="N135">
        <v>15</v>
      </c>
    </row>
    <row r="136" spans="1:14" ht="15" customHeight="1" x14ac:dyDescent="0.2">
      <c r="A136" t="s">
        <v>45</v>
      </c>
      <c r="B136" s="22">
        <v>0</v>
      </c>
      <c r="C136" s="22">
        <v>0</v>
      </c>
      <c r="D136" s="22">
        <v>0</v>
      </c>
      <c r="E136" s="56">
        <v>0</v>
      </c>
      <c r="F136" s="22">
        <v>2</v>
      </c>
      <c r="G136" s="56">
        <v>0</v>
      </c>
      <c r="H136" s="22">
        <v>0</v>
      </c>
      <c r="I136" s="22">
        <v>0</v>
      </c>
      <c r="J136">
        <f t="shared" si="4"/>
        <v>2</v>
      </c>
      <c r="K136">
        <f t="shared" si="5"/>
        <v>0</v>
      </c>
      <c r="L136">
        <f t="shared" si="6"/>
        <v>0</v>
      </c>
      <c r="M136">
        <f t="shared" si="7"/>
        <v>0</v>
      </c>
      <c r="N136">
        <v>15</v>
      </c>
    </row>
    <row r="137" spans="1:14" ht="15" customHeight="1" x14ac:dyDescent="0.2">
      <c r="A137" t="s">
        <v>46</v>
      </c>
      <c r="B137" s="22">
        <v>0</v>
      </c>
      <c r="C137" s="22">
        <v>0</v>
      </c>
      <c r="D137" s="22">
        <v>0</v>
      </c>
      <c r="E137" s="56">
        <v>0</v>
      </c>
      <c r="F137" s="22">
        <v>0</v>
      </c>
      <c r="G137" s="56">
        <v>0</v>
      </c>
      <c r="H137" s="22">
        <v>0</v>
      </c>
      <c r="I137" s="22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  <c r="N137">
        <v>15</v>
      </c>
    </row>
    <row r="138" spans="1:14" ht="15" customHeight="1" x14ac:dyDescent="0.2">
      <c r="A138" t="s">
        <v>47</v>
      </c>
      <c r="B138" s="22">
        <v>0</v>
      </c>
      <c r="C138" s="22">
        <v>0</v>
      </c>
      <c r="D138" s="22">
        <v>0</v>
      </c>
      <c r="E138" s="56">
        <v>0</v>
      </c>
      <c r="F138" s="22">
        <v>1</v>
      </c>
      <c r="G138" s="56">
        <v>0</v>
      </c>
      <c r="H138" s="22">
        <v>3</v>
      </c>
      <c r="I138" s="22">
        <v>0</v>
      </c>
      <c r="J138">
        <f t="shared" si="4"/>
        <v>1</v>
      </c>
      <c r="K138">
        <f t="shared" si="5"/>
        <v>3</v>
      </c>
      <c r="L138">
        <f t="shared" si="6"/>
        <v>0</v>
      </c>
      <c r="M138">
        <f t="shared" si="7"/>
        <v>0</v>
      </c>
      <c r="N138">
        <v>15</v>
      </c>
    </row>
    <row r="139" spans="1:14" ht="15" customHeight="1" x14ac:dyDescent="0.2">
      <c r="A139" t="s">
        <v>48</v>
      </c>
      <c r="B139" s="22">
        <v>0</v>
      </c>
      <c r="C139" s="22">
        <v>0</v>
      </c>
      <c r="D139" s="22">
        <v>0</v>
      </c>
      <c r="E139" s="56">
        <v>0</v>
      </c>
      <c r="F139" s="22">
        <v>1</v>
      </c>
      <c r="G139" s="56">
        <v>0</v>
      </c>
      <c r="H139" s="22">
        <v>3</v>
      </c>
      <c r="I139" s="22">
        <v>0</v>
      </c>
      <c r="J139">
        <f t="shared" ref="J139:J201" si="8">SUM(D139,F139)</f>
        <v>1</v>
      </c>
      <c r="K139">
        <f t="shared" ref="K139:K201" si="9">SUM(B139,H139)</f>
        <v>3</v>
      </c>
      <c r="L139">
        <f t="shared" ref="L139:L201" si="10">SUM(E139,G139)</f>
        <v>0</v>
      </c>
      <c r="M139">
        <f t="shared" ref="M139:M201" si="11">SUM(C139,I139)</f>
        <v>0</v>
      </c>
      <c r="N139">
        <v>15</v>
      </c>
    </row>
    <row r="140" spans="1:14" ht="15" customHeight="1" x14ac:dyDescent="0.2">
      <c r="A140" t="s">
        <v>49</v>
      </c>
      <c r="B140" s="22">
        <v>0</v>
      </c>
      <c r="C140" s="22">
        <v>0</v>
      </c>
      <c r="D140" s="22">
        <v>0</v>
      </c>
      <c r="E140" s="56">
        <v>0</v>
      </c>
      <c r="F140" s="22">
        <v>1</v>
      </c>
      <c r="G140" s="56">
        <v>0</v>
      </c>
      <c r="H140" s="22">
        <v>2</v>
      </c>
      <c r="I140" s="22">
        <v>0</v>
      </c>
      <c r="J140">
        <f t="shared" si="8"/>
        <v>1</v>
      </c>
      <c r="K140">
        <f t="shared" si="9"/>
        <v>2</v>
      </c>
      <c r="L140">
        <f t="shared" si="10"/>
        <v>0</v>
      </c>
      <c r="M140">
        <f t="shared" si="11"/>
        <v>0</v>
      </c>
      <c r="N140">
        <v>15</v>
      </c>
    </row>
    <row r="141" spans="1:14" ht="15" customHeight="1" x14ac:dyDescent="0.2">
      <c r="A141" t="s">
        <v>50</v>
      </c>
      <c r="B141" s="22">
        <v>1</v>
      </c>
      <c r="C141" s="22">
        <v>0</v>
      </c>
      <c r="D141" s="22">
        <v>0</v>
      </c>
      <c r="E141" s="56">
        <v>0</v>
      </c>
      <c r="F141" s="22">
        <v>0</v>
      </c>
      <c r="G141" s="56">
        <v>0</v>
      </c>
      <c r="H141" s="22">
        <v>2</v>
      </c>
      <c r="I141" s="22">
        <v>0</v>
      </c>
      <c r="J141">
        <f t="shared" si="8"/>
        <v>0</v>
      </c>
      <c r="K141">
        <f t="shared" si="9"/>
        <v>3</v>
      </c>
      <c r="L141">
        <f t="shared" si="10"/>
        <v>0</v>
      </c>
      <c r="M141">
        <f t="shared" si="11"/>
        <v>0</v>
      </c>
      <c r="N141">
        <v>15</v>
      </c>
    </row>
    <row r="142" spans="1:14" ht="15" customHeight="1" x14ac:dyDescent="0.2">
      <c r="A142" t="s">
        <v>51</v>
      </c>
      <c r="B142" s="22">
        <v>1</v>
      </c>
      <c r="C142" s="22">
        <v>0</v>
      </c>
      <c r="D142" s="22">
        <v>0</v>
      </c>
      <c r="E142" s="56">
        <v>0</v>
      </c>
      <c r="F142" s="22">
        <v>1</v>
      </c>
      <c r="G142" s="56">
        <v>0</v>
      </c>
      <c r="H142" s="22">
        <v>0</v>
      </c>
      <c r="I142" s="22">
        <v>0</v>
      </c>
      <c r="J142">
        <f t="shared" si="8"/>
        <v>1</v>
      </c>
      <c r="K142">
        <f t="shared" si="9"/>
        <v>1</v>
      </c>
      <c r="L142">
        <f t="shared" si="10"/>
        <v>0</v>
      </c>
      <c r="M142">
        <f t="shared" si="11"/>
        <v>0</v>
      </c>
      <c r="N142">
        <v>15</v>
      </c>
    </row>
    <row r="143" spans="1:14" ht="15" customHeight="1" x14ac:dyDescent="0.2">
      <c r="A143" t="s">
        <v>52</v>
      </c>
      <c r="B143" s="22">
        <v>0</v>
      </c>
      <c r="C143" s="22">
        <v>0</v>
      </c>
      <c r="D143" s="22">
        <v>0</v>
      </c>
      <c r="E143" s="56">
        <v>0</v>
      </c>
      <c r="F143" s="22">
        <v>1</v>
      </c>
      <c r="G143" s="56">
        <v>0</v>
      </c>
      <c r="H143" s="22">
        <v>0</v>
      </c>
      <c r="I143" s="22">
        <v>0</v>
      </c>
      <c r="J143">
        <f t="shared" si="8"/>
        <v>1</v>
      </c>
      <c r="K143">
        <f t="shared" si="9"/>
        <v>0</v>
      </c>
      <c r="L143">
        <f t="shared" si="10"/>
        <v>0</v>
      </c>
      <c r="M143">
        <f t="shared" si="11"/>
        <v>0</v>
      </c>
      <c r="N143">
        <v>15</v>
      </c>
    </row>
    <row r="144" spans="1:14" ht="15" customHeight="1" x14ac:dyDescent="0.2">
      <c r="A144" t="s">
        <v>53</v>
      </c>
      <c r="B144" s="22">
        <v>0</v>
      </c>
      <c r="C144" s="22">
        <v>0</v>
      </c>
      <c r="D144" s="22">
        <v>1</v>
      </c>
      <c r="E144" s="56">
        <v>0</v>
      </c>
      <c r="F144" s="22">
        <v>1</v>
      </c>
      <c r="G144" s="56">
        <v>0</v>
      </c>
      <c r="H144" s="22">
        <v>0</v>
      </c>
      <c r="I144" s="22">
        <v>0</v>
      </c>
      <c r="J144">
        <f t="shared" si="8"/>
        <v>2</v>
      </c>
      <c r="K144">
        <f t="shared" si="9"/>
        <v>0</v>
      </c>
      <c r="L144">
        <f t="shared" si="10"/>
        <v>0</v>
      </c>
      <c r="M144">
        <f t="shared" si="11"/>
        <v>0</v>
      </c>
      <c r="N144">
        <v>15</v>
      </c>
    </row>
    <row r="145" spans="1:14" ht="15" customHeight="1" x14ac:dyDescent="0.2">
      <c r="A145" t="s">
        <v>54</v>
      </c>
      <c r="B145" s="22">
        <v>0</v>
      </c>
      <c r="C145" s="22">
        <v>0</v>
      </c>
      <c r="D145" s="22">
        <v>0</v>
      </c>
      <c r="E145" s="56">
        <v>0</v>
      </c>
      <c r="F145" s="22">
        <v>0</v>
      </c>
      <c r="G145" s="56">
        <v>0</v>
      </c>
      <c r="H145" s="22">
        <v>0</v>
      </c>
      <c r="I145" s="22">
        <v>0</v>
      </c>
      <c r="J145">
        <f t="shared" si="8"/>
        <v>0</v>
      </c>
      <c r="K145">
        <f t="shared" si="9"/>
        <v>0</v>
      </c>
      <c r="L145">
        <f t="shared" si="10"/>
        <v>0</v>
      </c>
      <c r="M145">
        <f t="shared" si="11"/>
        <v>0</v>
      </c>
      <c r="N145">
        <v>15</v>
      </c>
    </row>
    <row r="146" spans="1:14" ht="15" customHeight="1" x14ac:dyDescent="0.2">
      <c r="A146" t="s">
        <v>55</v>
      </c>
      <c r="B146" s="22">
        <v>0</v>
      </c>
      <c r="C146" s="22">
        <v>0</v>
      </c>
      <c r="D146" s="22">
        <v>0</v>
      </c>
      <c r="E146" s="56">
        <v>0</v>
      </c>
      <c r="F146" s="22">
        <v>0</v>
      </c>
      <c r="G146" s="56">
        <v>0</v>
      </c>
      <c r="H146" s="22">
        <v>0</v>
      </c>
      <c r="I146" s="22">
        <v>0</v>
      </c>
      <c r="J146">
        <f t="shared" si="8"/>
        <v>0</v>
      </c>
      <c r="K146">
        <f t="shared" si="9"/>
        <v>0</v>
      </c>
      <c r="L146">
        <f t="shared" si="10"/>
        <v>0</v>
      </c>
      <c r="M146">
        <f t="shared" si="11"/>
        <v>0</v>
      </c>
      <c r="N146">
        <v>15</v>
      </c>
    </row>
    <row r="147" spans="1:14" ht="15" customHeight="1" x14ac:dyDescent="0.2">
      <c r="A147" t="s">
        <v>56</v>
      </c>
      <c r="B147" s="22">
        <v>0</v>
      </c>
      <c r="C147" s="22">
        <v>0</v>
      </c>
      <c r="D147" s="22">
        <v>0</v>
      </c>
      <c r="E147" s="56">
        <v>0</v>
      </c>
      <c r="F147" s="22">
        <v>0</v>
      </c>
      <c r="G147" s="56">
        <v>0</v>
      </c>
      <c r="H147" s="22">
        <v>0</v>
      </c>
      <c r="I147" s="22">
        <v>0</v>
      </c>
      <c r="J147">
        <f t="shared" si="8"/>
        <v>0</v>
      </c>
      <c r="K147">
        <f t="shared" si="9"/>
        <v>0</v>
      </c>
      <c r="L147">
        <f t="shared" si="10"/>
        <v>0</v>
      </c>
      <c r="M147">
        <f t="shared" si="11"/>
        <v>0</v>
      </c>
      <c r="N147">
        <v>15</v>
      </c>
    </row>
    <row r="148" spans="1:14" ht="15" customHeight="1" x14ac:dyDescent="0.2">
      <c r="A148" t="s">
        <v>57</v>
      </c>
      <c r="B148" s="22">
        <v>0</v>
      </c>
      <c r="C148" s="22">
        <v>0</v>
      </c>
      <c r="D148" s="22">
        <v>0</v>
      </c>
      <c r="E148" s="56">
        <v>0</v>
      </c>
      <c r="F148" s="22">
        <v>0</v>
      </c>
      <c r="G148" s="56">
        <v>0</v>
      </c>
      <c r="H148" s="22">
        <v>0</v>
      </c>
      <c r="I148" s="22">
        <v>0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  <c r="N148">
        <v>15</v>
      </c>
    </row>
    <row r="149" spans="1:14" ht="15" customHeight="1" x14ac:dyDescent="0.2">
      <c r="A149" t="s">
        <v>58</v>
      </c>
      <c r="B149" s="22">
        <v>0</v>
      </c>
      <c r="C149" s="22">
        <v>0</v>
      </c>
      <c r="D149" s="22">
        <v>0</v>
      </c>
      <c r="E149" s="56">
        <v>0</v>
      </c>
      <c r="F149" s="22">
        <v>0</v>
      </c>
      <c r="G149" s="56">
        <v>0</v>
      </c>
      <c r="H149" s="22">
        <v>0</v>
      </c>
      <c r="I149" s="22">
        <v>0</v>
      </c>
      <c r="J149">
        <f t="shared" si="8"/>
        <v>0</v>
      </c>
      <c r="K149">
        <f t="shared" si="9"/>
        <v>0</v>
      </c>
      <c r="L149">
        <f t="shared" si="10"/>
        <v>0</v>
      </c>
      <c r="M149">
        <f t="shared" si="11"/>
        <v>0</v>
      </c>
      <c r="N149">
        <v>15</v>
      </c>
    </row>
    <row r="150" spans="1:14" ht="15" customHeight="1" x14ac:dyDescent="0.2">
      <c r="A150" t="s">
        <v>59</v>
      </c>
      <c r="B150" s="22">
        <v>2</v>
      </c>
      <c r="C150" s="22">
        <v>0</v>
      </c>
      <c r="D150" s="22">
        <v>0</v>
      </c>
      <c r="E150" s="56">
        <v>0</v>
      </c>
      <c r="F150" s="22">
        <v>0</v>
      </c>
      <c r="G150" s="56">
        <v>0</v>
      </c>
      <c r="H150" s="22">
        <v>0</v>
      </c>
      <c r="I150" s="22">
        <v>0</v>
      </c>
      <c r="J150">
        <f t="shared" si="8"/>
        <v>0</v>
      </c>
      <c r="K150">
        <f t="shared" si="9"/>
        <v>2</v>
      </c>
      <c r="L150">
        <f t="shared" si="10"/>
        <v>0</v>
      </c>
      <c r="M150">
        <f t="shared" si="11"/>
        <v>0</v>
      </c>
      <c r="N150">
        <v>15</v>
      </c>
    </row>
    <row r="151" spans="1:14" ht="15" customHeight="1" x14ac:dyDescent="0.2">
      <c r="A151" t="s">
        <v>60</v>
      </c>
      <c r="B151" s="22">
        <v>1</v>
      </c>
      <c r="C151" s="22">
        <v>0</v>
      </c>
      <c r="D151" s="22">
        <v>1</v>
      </c>
      <c r="E151" s="56">
        <v>0</v>
      </c>
      <c r="F151" s="22">
        <v>0</v>
      </c>
      <c r="G151" s="56">
        <v>0</v>
      </c>
      <c r="H151" s="22">
        <v>0</v>
      </c>
      <c r="I151" s="22">
        <v>0</v>
      </c>
      <c r="J151">
        <f t="shared" si="8"/>
        <v>1</v>
      </c>
      <c r="K151">
        <f t="shared" si="9"/>
        <v>1</v>
      </c>
      <c r="L151">
        <f t="shared" si="10"/>
        <v>0</v>
      </c>
      <c r="M151">
        <f t="shared" si="11"/>
        <v>0</v>
      </c>
      <c r="N151">
        <v>15</v>
      </c>
    </row>
    <row r="152" spans="1:14" ht="15" customHeight="1" x14ac:dyDescent="0.2">
      <c r="A152" t="s">
        <v>61</v>
      </c>
      <c r="B152" s="22">
        <v>0</v>
      </c>
      <c r="C152" s="22">
        <v>0</v>
      </c>
      <c r="D152" s="22">
        <v>0</v>
      </c>
      <c r="E152" s="56">
        <v>0</v>
      </c>
      <c r="F152" s="22">
        <v>1</v>
      </c>
      <c r="G152" s="56">
        <v>0</v>
      </c>
      <c r="H152" s="22">
        <v>1</v>
      </c>
      <c r="I152" s="22">
        <v>0</v>
      </c>
      <c r="J152">
        <f t="shared" si="8"/>
        <v>1</v>
      </c>
      <c r="K152">
        <f t="shared" si="9"/>
        <v>1</v>
      </c>
      <c r="L152">
        <f t="shared" si="10"/>
        <v>0</v>
      </c>
      <c r="M152">
        <f t="shared" si="11"/>
        <v>0</v>
      </c>
      <c r="N152">
        <v>15</v>
      </c>
    </row>
    <row r="153" spans="1:14" ht="15" customHeight="1" x14ac:dyDescent="0.2">
      <c r="A153" t="s">
        <v>62</v>
      </c>
      <c r="B153" s="22">
        <v>0</v>
      </c>
      <c r="C153" s="22">
        <v>0</v>
      </c>
      <c r="D153" s="22">
        <v>1</v>
      </c>
      <c r="E153" s="56">
        <v>0</v>
      </c>
      <c r="F153" s="22">
        <v>0</v>
      </c>
      <c r="G153" s="56">
        <v>0</v>
      </c>
      <c r="H153" s="22">
        <v>0</v>
      </c>
      <c r="I153" s="22">
        <v>0</v>
      </c>
      <c r="J153">
        <f t="shared" si="8"/>
        <v>1</v>
      </c>
      <c r="K153">
        <f t="shared" si="9"/>
        <v>0</v>
      </c>
      <c r="L153">
        <f t="shared" si="10"/>
        <v>0</v>
      </c>
      <c r="M153">
        <f t="shared" si="11"/>
        <v>0</v>
      </c>
      <c r="N153">
        <v>15</v>
      </c>
    </row>
    <row r="154" spans="1:14" ht="15" customHeight="1" x14ac:dyDescent="0.2">
      <c r="A154" t="s">
        <v>63</v>
      </c>
      <c r="B154" s="22">
        <v>0</v>
      </c>
      <c r="C154" s="22">
        <v>0</v>
      </c>
      <c r="D154" s="22">
        <v>0</v>
      </c>
      <c r="E154" s="56">
        <v>0</v>
      </c>
      <c r="F154" s="22">
        <v>1</v>
      </c>
      <c r="G154" s="56">
        <v>0</v>
      </c>
      <c r="H154" s="22">
        <v>0</v>
      </c>
      <c r="I154" s="22">
        <v>0</v>
      </c>
      <c r="J154">
        <f t="shared" si="8"/>
        <v>1</v>
      </c>
      <c r="K154">
        <f t="shared" si="9"/>
        <v>0</v>
      </c>
      <c r="L154">
        <f t="shared" si="10"/>
        <v>0</v>
      </c>
      <c r="M154">
        <f t="shared" si="11"/>
        <v>0</v>
      </c>
      <c r="N154">
        <v>15</v>
      </c>
    </row>
    <row r="155" spans="1:14" ht="15" customHeight="1" x14ac:dyDescent="0.2">
      <c r="A155" t="s">
        <v>64</v>
      </c>
      <c r="B155" s="22">
        <v>0</v>
      </c>
      <c r="C155" s="22">
        <v>0</v>
      </c>
      <c r="D155" s="22">
        <v>0</v>
      </c>
      <c r="E155" s="56">
        <v>0</v>
      </c>
      <c r="F155" s="22">
        <v>2</v>
      </c>
      <c r="G155" s="56">
        <v>0</v>
      </c>
      <c r="H155" s="22">
        <v>0</v>
      </c>
      <c r="I155" s="22">
        <v>0</v>
      </c>
      <c r="J155">
        <f t="shared" si="8"/>
        <v>2</v>
      </c>
      <c r="K155">
        <f t="shared" si="9"/>
        <v>0</v>
      </c>
      <c r="L155">
        <f t="shared" si="10"/>
        <v>0</v>
      </c>
      <c r="M155">
        <f t="shared" si="11"/>
        <v>0</v>
      </c>
      <c r="N155">
        <v>15</v>
      </c>
    </row>
    <row r="156" spans="1:14" ht="15" customHeight="1" x14ac:dyDescent="0.2">
      <c r="A156" t="s">
        <v>65</v>
      </c>
      <c r="B156" s="22">
        <v>0</v>
      </c>
      <c r="C156" s="22">
        <v>0</v>
      </c>
      <c r="D156" s="22">
        <v>0</v>
      </c>
      <c r="E156" s="56">
        <v>0</v>
      </c>
      <c r="F156" s="22">
        <v>1</v>
      </c>
      <c r="G156" s="56">
        <v>0</v>
      </c>
      <c r="H156" s="22">
        <v>1</v>
      </c>
      <c r="I156" s="22">
        <v>0</v>
      </c>
      <c r="J156">
        <f t="shared" si="8"/>
        <v>1</v>
      </c>
      <c r="K156">
        <f t="shared" si="9"/>
        <v>1</v>
      </c>
      <c r="L156">
        <f t="shared" si="10"/>
        <v>0</v>
      </c>
      <c r="M156">
        <f t="shared" si="11"/>
        <v>0</v>
      </c>
      <c r="N156">
        <v>15</v>
      </c>
    </row>
    <row r="157" spans="1:14" ht="15" customHeight="1" x14ac:dyDescent="0.2">
      <c r="A157" t="s">
        <v>66</v>
      </c>
      <c r="B157" s="22">
        <v>0</v>
      </c>
      <c r="C157" s="22">
        <v>0</v>
      </c>
      <c r="D157" s="22">
        <v>0</v>
      </c>
      <c r="E157" s="56">
        <v>0</v>
      </c>
      <c r="F157" s="22">
        <v>0</v>
      </c>
      <c r="G157" s="56">
        <v>0</v>
      </c>
      <c r="H157" s="22">
        <v>0</v>
      </c>
      <c r="I157" s="22">
        <v>0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  <c r="N157">
        <v>15</v>
      </c>
    </row>
    <row r="158" spans="1:14" ht="15" customHeight="1" x14ac:dyDescent="0.2">
      <c r="A158" t="s">
        <v>67</v>
      </c>
      <c r="B158" s="22">
        <v>0</v>
      </c>
      <c r="C158" s="22">
        <v>0</v>
      </c>
      <c r="D158" s="22">
        <v>0</v>
      </c>
      <c r="E158" s="56">
        <v>0</v>
      </c>
      <c r="F158" s="22">
        <v>1</v>
      </c>
      <c r="G158" s="56">
        <v>0</v>
      </c>
      <c r="H158" s="22">
        <v>2</v>
      </c>
      <c r="I158" s="22">
        <v>0</v>
      </c>
      <c r="J158">
        <f t="shared" si="8"/>
        <v>1</v>
      </c>
      <c r="K158">
        <f t="shared" si="9"/>
        <v>2</v>
      </c>
      <c r="L158">
        <f t="shared" si="10"/>
        <v>0</v>
      </c>
      <c r="M158">
        <f t="shared" si="11"/>
        <v>0</v>
      </c>
      <c r="N158">
        <v>15</v>
      </c>
    </row>
    <row r="159" spans="1:14" ht="15" customHeight="1" x14ac:dyDescent="0.2">
      <c r="A159" t="s">
        <v>68</v>
      </c>
      <c r="B159" s="22">
        <v>0</v>
      </c>
      <c r="C159" s="22">
        <v>0</v>
      </c>
      <c r="D159" s="22">
        <v>2</v>
      </c>
      <c r="E159" s="56">
        <v>0</v>
      </c>
      <c r="F159" s="22">
        <v>0</v>
      </c>
      <c r="G159" s="56">
        <v>0</v>
      </c>
      <c r="H159" s="22">
        <v>0</v>
      </c>
      <c r="I159" s="22">
        <v>0</v>
      </c>
      <c r="J159">
        <f t="shared" si="8"/>
        <v>2</v>
      </c>
      <c r="K159">
        <f t="shared" si="9"/>
        <v>0</v>
      </c>
      <c r="L159">
        <f t="shared" si="10"/>
        <v>0</v>
      </c>
      <c r="M159">
        <f t="shared" si="11"/>
        <v>0</v>
      </c>
      <c r="N159">
        <v>15</v>
      </c>
    </row>
    <row r="160" spans="1:14" ht="15" customHeight="1" x14ac:dyDescent="0.2">
      <c r="A160" t="s">
        <v>69</v>
      </c>
      <c r="B160" s="22">
        <v>0</v>
      </c>
      <c r="C160" s="22">
        <v>0</v>
      </c>
      <c r="D160" s="22">
        <v>0</v>
      </c>
      <c r="E160" s="56">
        <v>0</v>
      </c>
      <c r="F160" s="22">
        <v>1</v>
      </c>
      <c r="G160" s="56">
        <v>0</v>
      </c>
      <c r="H160" s="22">
        <v>1</v>
      </c>
      <c r="I160" s="22">
        <v>0</v>
      </c>
      <c r="J160">
        <f t="shared" si="8"/>
        <v>1</v>
      </c>
      <c r="K160">
        <f t="shared" si="9"/>
        <v>1</v>
      </c>
      <c r="L160">
        <f t="shared" si="10"/>
        <v>0</v>
      </c>
      <c r="M160">
        <f t="shared" si="11"/>
        <v>0</v>
      </c>
      <c r="N160">
        <v>15</v>
      </c>
    </row>
    <row r="161" spans="1:14" ht="15" customHeight="1" x14ac:dyDescent="0.2">
      <c r="A161" t="s">
        <v>70</v>
      </c>
      <c r="B161" s="22">
        <v>0</v>
      </c>
      <c r="C161" s="22">
        <v>0</v>
      </c>
      <c r="D161" s="22">
        <v>0</v>
      </c>
      <c r="E161" s="56">
        <v>0</v>
      </c>
      <c r="F161" s="22">
        <v>0</v>
      </c>
      <c r="G161" s="56">
        <v>0</v>
      </c>
      <c r="H161" s="22">
        <v>1</v>
      </c>
      <c r="I161" s="22">
        <v>0</v>
      </c>
      <c r="J161">
        <f t="shared" si="8"/>
        <v>0</v>
      </c>
      <c r="K161">
        <f t="shared" si="9"/>
        <v>1</v>
      </c>
      <c r="L161">
        <f t="shared" si="10"/>
        <v>0</v>
      </c>
      <c r="M161">
        <f t="shared" si="11"/>
        <v>0</v>
      </c>
      <c r="N161">
        <v>15</v>
      </c>
    </row>
    <row r="162" spans="1:14" ht="15" customHeight="1" x14ac:dyDescent="0.2">
      <c r="A162" t="s">
        <v>71</v>
      </c>
      <c r="B162" s="22">
        <v>0</v>
      </c>
      <c r="C162" s="22">
        <v>0</v>
      </c>
      <c r="D162" s="22">
        <v>2</v>
      </c>
      <c r="E162" s="56">
        <v>0</v>
      </c>
      <c r="F162" s="22">
        <v>1</v>
      </c>
      <c r="G162" s="56">
        <v>1</v>
      </c>
      <c r="H162" s="22">
        <v>0</v>
      </c>
      <c r="I162" s="22">
        <v>0</v>
      </c>
      <c r="J162">
        <f t="shared" si="8"/>
        <v>3</v>
      </c>
      <c r="K162">
        <f t="shared" si="9"/>
        <v>0</v>
      </c>
      <c r="L162">
        <f t="shared" si="10"/>
        <v>1</v>
      </c>
      <c r="M162">
        <f t="shared" si="11"/>
        <v>0</v>
      </c>
      <c r="N162">
        <v>15</v>
      </c>
    </row>
    <row r="163" spans="1:14" ht="15" customHeight="1" x14ac:dyDescent="0.2">
      <c r="A163" t="s">
        <v>72</v>
      </c>
      <c r="B163" s="22">
        <v>0</v>
      </c>
      <c r="C163" s="22">
        <v>0</v>
      </c>
      <c r="D163" s="22">
        <v>1</v>
      </c>
      <c r="E163" s="56">
        <v>0</v>
      </c>
      <c r="F163" s="22">
        <v>0</v>
      </c>
      <c r="G163" s="56">
        <v>0</v>
      </c>
      <c r="H163" s="22">
        <v>1</v>
      </c>
      <c r="I163" s="22">
        <v>1</v>
      </c>
      <c r="J163">
        <f t="shared" si="8"/>
        <v>1</v>
      </c>
      <c r="K163">
        <f t="shared" si="9"/>
        <v>1</v>
      </c>
      <c r="L163">
        <f t="shared" si="10"/>
        <v>0</v>
      </c>
      <c r="M163">
        <f t="shared" si="11"/>
        <v>1</v>
      </c>
      <c r="N163">
        <v>15</v>
      </c>
    </row>
    <row r="164" spans="1:14" ht="15" customHeight="1" x14ac:dyDescent="0.2">
      <c r="A164" t="s">
        <v>73</v>
      </c>
      <c r="B164" s="22">
        <v>1</v>
      </c>
      <c r="C164" s="22">
        <v>0</v>
      </c>
      <c r="D164" s="22">
        <v>2</v>
      </c>
      <c r="E164" s="56">
        <v>0</v>
      </c>
      <c r="F164" s="22">
        <v>2</v>
      </c>
      <c r="G164" s="56">
        <v>2</v>
      </c>
      <c r="H164" s="22">
        <v>7</v>
      </c>
      <c r="I164" s="22">
        <v>7</v>
      </c>
      <c r="J164">
        <f t="shared" si="8"/>
        <v>4</v>
      </c>
      <c r="K164">
        <f t="shared" si="9"/>
        <v>8</v>
      </c>
      <c r="L164">
        <f t="shared" si="10"/>
        <v>2</v>
      </c>
      <c r="M164">
        <f t="shared" si="11"/>
        <v>7</v>
      </c>
      <c r="N164">
        <v>15</v>
      </c>
    </row>
    <row r="165" spans="1:14" ht="15" customHeight="1" x14ac:dyDescent="0.2">
      <c r="A165" t="s">
        <v>74</v>
      </c>
      <c r="B165" s="22">
        <v>1</v>
      </c>
      <c r="C165" s="22">
        <v>0</v>
      </c>
      <c r="D165" s="22">
        <v>1</v>
      </c>
      <c r="E165" s="56">
        <v>0</v>
      </c>
      <c r="F165" s="22">
        <v>2</v>
      </c>
      <c r="G165" s="56">
        <v>2</v>
      </c>
      <c r="H165" s="22">
        <v>2</v>
      </c>
      <c r="I165" s="22">
        <v>2</v>
      </c>
      <c r="J165">
        <f t="shared" si="8"/>
        <v>3</v>
      </c>
      <c r="K165">
        <f t="shared" si="9"/>
        <v>3</v>
      </c>
      <c r="L165">
        <f t="shared" si="10"/>
        <v>2</v>
      </c>
      <c r="M165">
        <f t="shared" si="11"/>
        <v>2</v>
      </c>
      <c r="N165">
        <v>15</v>
      </c>
    </row>
    <row r="166" spans="1:14" ht="15" customHeight="1" x14ac:dyDescent="0.2">
      <c r="A166" t="s">
        <v>75</v>
      </c>
      <c r="B166" s="22">
        <v>0</v>
      </c>
      <c r="C166" s="22">
        <v>0</v>
      </c>
      <c r="D166" s="22">
        <v>1</v>
      </c>
      <c r="E166" s="56">
        <v>0</v>
      </c>
      <c r="F166" s="22">
        <v>1</v>
      </c>
      <c r="G166" s="56">
        <v>0</v>
      </c>
      <c r="H166" s="22">
        <v>1</v>
      </c>
      <c r="I166" s="22">
        <v>0</v>
      </c>
      <c r="J166">
        <f t="shared" si="8"/>
        <v>2</v>
      </c>
      <c r="K166">
        <f t="shared" si="9"/>
        <v>1</v>
      </c>
      <c r="L166">
        <f t="shared" si="10"/>
        <v>0</v>
      </c>
      <c r="M166">
        <f t="shared" si="11"/>
        <v>0</v>
      </c>
      <c r="N166">
        <v>15</v>
      </c>
    </row>
    <row r="167" spans="1:14" ht="15" customHeight="1" x14ac:dyDescent="0.2">
      <c r="A167" t="s">
        <v>76</v>
      </c>
      <c r="B167" s="22">
        <v>0</v>
      </c>
      <c r="C167" s="22">
        <v>0</v>
      </c>
      <c r="D167" s="22">
        <v>1</v>
      </c>
      <c r="E167" s="56">
        <v>0</v>
      </c>
      <c r="F167" s="22">
        <v>0</v>
      </c>
      <c r="G167" s="56">
        <v>0</v>
      </c>
      <c r="H167" s="22">
        <v>2</v>
      </c>
      <c r="I167" s="22">
        <v>0</v>
      </c>
      <c r="J167">
        <f t="shared" si="8"/>
        <v>1</v>
      </c>
      <c r="K167">
        <f t="shared" si="9"/>
        <v>2</v>
      </c>
      <c r="L167">
        <f t="shared" si="10"/>
        <v>0</v>
      </c>
      <c r="M167">
        <f t="shared" si="11"/>
        <v>0</v>
      </c>
      <c r="N167">
        <v>15</v>
      </c>
    </row>
    <row r="168" spans="1:14" ht="15" customHeight="1" x14ac:dyDescent="0.2">
      <c r="A168" t="s">
        <v>77</v>
      </c>
      <c r="B168" s="22">
        <v>0</v>
      </c>
      <c r="C168" s="22">
        <v>0</v>
      </c>
      <c r="D168" s="22">
        <v>0</v>
      </c>
      <c r="E168" s="56">
        <v>0</v>
      </c>
      <c r="F168" s="22">
        <v>0</v>
      </c>
      <c r="G168" s="56">
        <v>0</v>
      </c>
      <c r="H168" s="22">
        <v>0</v>
      </c>
      <c r="I168" s="22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  <c r="N168">
        <v>15</v>
      </c>
    </row>
    <row r="169" spans="1:14" ht="15" customHeight="1" x14ac:dyDescent="0.2">
      <c r="A169" t="s">
        <v>78</v>
      </c>
      <c r="B169" s="22">
        <v>0</v>
      </c>
      <c r="C169" s="22">
        <v>0</v>
      </c>
      <c r="D169" s="22">
        <v>0</v>
      </c>
      <c r="E169" s="56">
        <v>0</v>
      </c>
      <c r="F169" s="22">
        <v>2</v>
      </c>
      <c r="G169" s="56">
        <v>0</v>
      </c>
      <c r="H169" s="22">
        <v>1</v>
      </c>
      <c r="I169" s="22">
        <v>0</v>
      </c>
      <c r="J169">
        <f t="shared" si="8"/>
        <v>2</v>
      </c>
      <c r="K169">
        <f t="shared" si="9"/>
        <v>1</v>
      </c>
      <c r="L169">
        <f t="shared" si="10"/>
        <v>0</v>
      </c>
      <c r="M169">
        <f t="shared" si="11"/>
        <v>0</v>
      </c>
      <c r="N169">
        <v>15</v>
      </c>
    </row>
    <row r="170" spans="1:14" ht="15" customHeight="1" x14ac:dyDescent="0.2">
      <c r="A170" t="s">
        <v>79</v>
      </c>
      <c r="B170" s="22">
        <v>0</v>
      </c>
      <c r="C170" s="22">
        <v>0</v>
      </c>
      <c r="D170" s="22">
        <v>1</v>
      </c>
      <c r="E170" s="56">
        <v>0</v>
      </c>
      <c r="F170" s="22">
        <v>2</v>
      </c>
      <c r="G170" s="56">
        <v>0</v>
      </c>
      <c r="H170" s="22">
        <v>2</v>
      </c>
      <c r="I170" s="22">
        <v>0</v>
      </c>
      <c r="J170">
        <f t="shared" si="8"/>
        <v>3</v>
      </c>
      <c r="K170">
        <f t="shared" si="9"/>
        <v>2</v>
      </c>
      <c r="L170">
        <f t="shared" si="10"/>
        <v>0</v>
      </c>
      <c r="M170">
        <f t="shared" si="11"/>
        <v>0</v>
      </c>
      <c r="N170">
        <v>15</v>
      </c>
    </row>
    <row r="171" spans="1:14" ht="15" customHeight="1" x14ac:dyDescent="0.2">
      <c r="A171" t="s">
        <v>80</v>
      </c>
      <c r="B171" s="22">
        <v>0</v>
      </c>
      <c r="C171" s="22">
        <v>0</v>
      </c>
      <c r="D171" s="22">
        <v>0</v>
      </c>
      <c r="E171" s="56">
        <v>0</v>
      </c>
      <c r="F171" s="22">
        <v>6</v>
      </c>
      <c r="G171" s="56">
        <v>0</v>
      </c>
      <c r="H171" s="22">
        <v>2</v>
      </c>
      <c r="I171" s="22">
        <v>0</v>
      </c>
      <c r="J171">
        <f t="shared" si="8"/>
        <v>6</v>
      </c>
      <c r="K171">
        <f t="shared" si="9"/>
        <v>2</v>
      </c>
      <c r="L171">
        <f t="shared" si="10"/>
        <v>0</v>
      </c>
      <c r="M171">
        <f t="shared" si="11"/>
        <v>0</v>
      </c>
      <c r="N171">
        <v>15</v>
      </c>
    </row>
    <row r="172" spans="1:14" ht="15" customHeight="1" x14ac:dyDescent="0.2">
      <c r="A172" t="s">
        <v>81</v>
      </c>
      <c r="B172" s="22">
        <v>0</v>
      </c>
      <c r="C172" s="22">
        <v>0</v>
      </c>
      <c r="D172" s="22">
        <v>0</v>
      </c>
      <c r="E172" s="56">
        <v>0</v>
      </c>
      <c r="F172" s="22">
        <v>5</v>
      </c>
      <c r="G172" s="56">
        <v>0</v>
      </c>
      <c r="H172" s="22">
        <v>1</v>
      </c>
      <c r="I172" s="22">
        <v>0</v>
      </c>
      <c r="J172">
        <f t="shared" si="8"/>
        <v>5</v>
      </c>
      <c r="K172">
        <f t="shared" si="9"/>
        <v>1</v>
      </c>
      <c r="L172">
        <f t="shared" si="10"/>
        <v>0</v>
      </c>
      <c r="M172">
        <f t="shared" si="11"/>
        <v>0</v>
      </c>
      <c r="N172">
        <v>15</v>
      </c>
    </row>
    <row r="173" spans="1:14" ht="15" customHeight="1" x14ac:dyDescent="0.2">
      <c r="A173" t="s">
        <v>82</v>
      </c>
      <c r="B173" s="22">
        <v>0</v>
      </c>
      <c r="C173" s="22">
        <v>0</v>
      </c>
      <c r="D173" s="22">
        <v>0</v>
      </c>
      <c r="E173" s="56">
        <v>0</v>
      </c>
      <c r="F173" s="22">
        <v>2</v>
      </c>
      <c r="G173" s="56">
        <v>0</v>
      </c>
      <c r="H173" s="22">
        <v>3</v>
      </c>
      <c r="I173" s="22">
        <v>0</v>
      </c>
      <c r="J173">
        <f t="shared" si="8"/>
        <v>2</v>
      </c>
      <c r="K173">
        <f t="shared" si="9"/>
        <v>3</v>
      </c>
      <c r="L173">
        <f t="shared" si="10"/>
        <v>0</v>
      </c>
      <c r="M173">
        <f t="shared" si="11"/>
        <v>0</v>
      </c>
      <c r="N173">
        <v>15</v>
      </c>
    </row>
    <row r="174" spans="1:14" ht="15" customHeight="1" x14ac:dyDescent="0.2">
      <c r="A174" t="s">
        <v>83</v>
      </c>
      <c r="B174" s="22">
        <v>0</v>
      </c>
      <c r="C174" s="22">
        <v>0</v>
      </c>
      <c r="D174" s="22">
        <v>1</v>
      </c>
      <c r="E174" s="56">
        <v>0</v>
      </c>
      <c r="F174" s="22">
        <v>0</v>
      </c>
      <c r="G174" s="56">
        <v>0</v>
      </c>
      <c r="H174" s="22">
        <v>0</v>
      </c>
      <c r="I174" s="22">
        <v>0</v>
      </c>
      <c r="J174">
        <f t="shared" si="8"/>
        <v>1</v>
      </c>
      <c r="K174">
        <f t="shared" si="9"/>
        <v>0</v>
      </c>
      <c r="L174">
        <f t="shared" si="10"/>
        <v>0</v>
      </c>
      <c r="M174">
        <f t="shared" si="11"/>
        <v>0</v>
      </c>
      <c r="N174">
        <v>15</v>
      </c>
    </row>
    <row r="175" spans="1:14" ht="15" customHeight="1" x14ac:dyDescent="0.2">
      <c r="A175" t="s">
        <v>84</v>
      </c>
      <c r="B175" s="22">
        <v>0</v>
      </c>
      <c r="C175" s="22">
        <v>0</v>
      </c>
      <c r="D175" s="22">
        <v>0</v>
      </c>
      <c r="E175" s="56">
        <v>0</v>
      </c>
      <c r="F175" s="22">
        <v>2</v>
      </c>
      <c r="G175" s="56">
        <v>0</v>
      </c>
      <c r="H175" s="22">
        <v>0</v>
      </c>
      <c r="I175" s="22">
        <v>0</v>
      </c>
      <c r="J175">
        <f t="shared" si="8"/>
        <v>2</v>
      </c>
      <c r="K175">
        <f t="shared" si="9"/>
        <v>0</v>
      </c>
      <c r="L175">
        <f t="shared" si="10"/>
        <v>0</v>
      </c>
      <c r="M175">
        <f t="shared" si="11"/>
        <v>0</v>
      </c>
      <c r="N175">
        <v>15</v>
      </c>
    </row>
    <row r="176" spans="1:14" ht="15" customHeight="1" x14ac:dyDescent="0.2">
      <c r="A176" t="s">
        <v>85</v>
      </c>
      <c r="B176" s="22">
        <v>0</v>
      </c>
      <c r="C176" s="22">
        <v>0</v>
      </c>
      <c r="D176" s="22">
        <v>0</v>
      </c>
      <c r="E176" s="56">
        <v>0</v>
      </c>
      <c r="F176" s="22">
        <v>0</v>
      </c>
      <c r="G176" s="56">
        <v>0</v>
      </c>
      <c r="H176" s="22">
        <v>0</v>
      </c>
      <c r="I176" s="22">
        <v>0</v>
      </c>
      <c r="J176">
        <f t="shared" si="8"/>
        <v>0</v>
      </c>
      <c r="K176">
        <f t="shared" si="9"/>
        <v>0</v>
      </c>
      <c r="L176">
        <f t="shared" si="10"/>
        <v>0</v>
      </c>
      <c r="M176">
        <f t="shared" si="11"/>
        <v>0</v>
      </c>
      <c r="N176">
        <v>15</v>
      </c>
    </row>
    <row r="177" spans="1:14" ht="15" customHeight="1" x14ac:dyDescent="0.2">
      <c r="A177" t="s">
        <v>86</v>
      </c>
      <c r="B177" s="22">
        <v>0</v>
      </c>
      <c r="C177" s="22">
        <v>0</v>
      </c>
      <c r="D177" s="22">
        <v>0</v>
      </c>
      <c r="E177" s="56">
        <v>0</v>
      </c>
      <c r="F177" s="22">
        <v>0</v>
      </c>
      <c r="G177" s="56">
        <v>0</v>
      </c>
      <c r="H177" s="22">
        <v>1</v>
      </c>
      <c r="I177" s="22">
        <v>0</v>
      </c>
      <c r="J177">
        <f t="shared" si="8"/>
        <v>0</v>
      </c>
      <c r="K177">
        <f t="shared" si="9"/>
        <v>1</v>
      </c>
      <c r="L177">
        <f t="shared" si="10"/>
        <v>0</v>
      </c>
      <c r="M177">
        <f t="shared" si="11"/>
        <v>0</v>
      </c>
      <c r="N177">
        <v>15</v>
      </c>
    </row>
    <row r="178" spans="1:14" ht="15" customHeight="1" x14ac:dyDescent="0.2">
      <c r="A178" t="s">
        <v>87</v>
      </c>
      <c r="B178" s="22">
        <v>1</v>
      </c>
      <c r="C178" s="22">
        <v>0</v>
      </c>
      <c r="D178" s="22">
        <v>0</v>
      </c>
      <c r="E178" s="56">
        <v>0</v>
      </c>
      <c r="F178" s="22">
        <v>0</v>
      </c>
      <c r="G178" s="56">
        <v>0</v>
      </c>
      <c r="H178" s="22">
        <v>0</v>
      </c>
      <c r="I178" s="22">
        <v>0</v>
      </c>
      <c r="J178">
        <f t="shared" si="8"/>
        <v>0</v>
      </c>
      <c r="K178">
        <f t="shared" si="9"/>
        <v>1</v>
      </c>
      <c r="L178">
        <f t="shared" si="10"/>
        <v>0</v>
      </c>
      <c r="M178">
        <f t="shared" si="11"/>
        <v>0</v>
      </c>
      <c r="N178">
        <v>15</v>
      </c>
    </row>
    <row r="179" spans="1:14" ht="15" customHeight="1" x14ac:dyDescent="0.2">
      <c r="A179" t="s">
        <v>88</v>
      </c>
      <c r="B179" s="22">
        <v>1</v>
      </c>
      <c r="C179" s="22">
        <v>0</v>
      </c>
      <c r="D179" s="22">
        <v>0</v>
      </c>
      <c r="E179" s="56">
        <v>0</v>
      </c>
      <c r="F179" s="22">
        <v>1</v>
      </c>
      <c r="G179" s="56">
        <v>0</v>
      </c>
      <c r="H179" s="22">
        <v>0</v>
      </c>
      <c r="I179" s="22">
        <v>0</v>
      </c>
      <c r="J179">
        <f t="shared" si="8"/>
        <v>1</v>
      </c>
      <c r="K179">
        <f t="shared" si="9"/>
        <v>1</v>
      </c>
      <c r="L179">
        <f t="shared" si="10"/>
        <v>0</v>
      </c>
      <c r="M179">
        <f t="shared" si="11"/>
        <v>0</v>
      </c>
      <c r="N179">
        <v>15</v>
      </c>
    </row>
    <row r="180" spans="1:14" ht="15" customHeight="1" x14ac:dyDescent="0.2">
      <c r="A180" t="s">
        <v>89</v>
      </c>
      <c r="B180" s="22">
        <v>0</v>
      </c>
      <c r="C180" s="22">
        <v>0</v>
      </c>
      <c r="D180" s="22">
        <v>0</v>
      </c>
      <c r="E180" s="56">
        <v>0</v>
      </c>
      <c r="F180" s="22">
        <v>0</v>
      </c>
      <c r="G180" s="56">
        <v>0</v>
      </c>
      <c r="H180" s="22">
        <v>2</v>
      </c>
      <c r="I180" s="22">
        <v>0</v>
      </c>
      <c r="J180">
        <f t="shared" si="8"/>
        <v>0</v>
      </c>
      <c r="K180">
        <f t="shared" si="9"/>
        <v>2</v>
      </c>
      <c r="L180">
        <f t="shared" si="10"/>
        <v>0</v>
      </c>
      <c r="M180">
        <f t="shared" si="11"/>
        <v>0</v>
      </c>
      <c r="N180">
        <v>15</v>
      </c>
    </row>
    <row r="181" spans="1:14" ht="15" customHeight="1" x14ac:dyDescent="0.2">
      <c r="A181" t="s">
        <v>90</v>
      </c>
      <c r="B181" s="22">
        <v>0</v>
      </c>
      <c r="C181" s="22">
        <v>0</v>
      </c>
      <c r="D181" s="22">
        <v>1</v>
      </c>
      <c r="E181" s="56">
        <v>0</v>
      </c>
      <c r="F181" s="22">
        <v>2</v>
      </c>
      <c r="G181" s="56">
        <v>0</v>
      </c>
      <c r="H181" s="22">
        <v>1</v>
      </c>
      <c r="I181" s="22">
        <v>0</v>
      </c>
      <c r="J181">
        <f t="shared" si="8"/>
        <v>3</v>
      </c>
      <c r="K181">
        <f t="shared" si="9"/>
        <v>1</v>
      </c>
      <c r="L181">
        <f t="shared" si="10"/>
        <v>0</v>
      </c>
      <c r="M181">
        <f t="shared" si="11"/>
        <v>0</v>
      </c>
      <c r="N181">
        <v>15</v>
      </c>
    </row>
    <row r="182" spans="1:14" ht="15" customHeight="1" x14ac:dyDescent="0.2">
      <c r="A182" t="s">
        <v>91</v>
      </c>
      <c r="B182" s="22">
        <v>0</v>
      </c>
      <c r="C182" s="22">
        <v>0</v>
      </c>
      <c r="D182" s="22">
        <v>0</v>
      </c>
      <c r="E182" s="56">
        <v>0</v>
      </c>
      <c r="F182" s="22">
        <v>0</v>
      </c>
      <c r="G182" s="56">
        <v>0</v>
      </c>
      <c r="H182" s="22">
        <v>0</v>
      </c>
      <c r="I182" s="2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  <c r="N182">
        <v>15</v>
      </c>
    </row>
    <row r="183" spans="1:14" ht="15" customHeight="1" x14ac:dyDescent="0.2">
      <c r="A183" t="s">
        <v>92</v>
      </c>
      <c r="B183" s="22">
        <v>0</v>
      </c>
      <c r="C183" s="22">
        <v>0</v>
      </c>
      <c r="D183" s="22">
        <v>0</v>
      </c>
      <c r="E183" s="56">
        <v>0</v>
      </c>
      <c r="F183" s="22">
        <v>1</v>
      </c>
      <c r="G183" s="56">
        <v>0</v>
      </c>
      <c r="H183" s="22">
        <v>0</v>
      </c>
      <c r="I183" s="22">
        <v>0</v>
      </c>
      <c r="J183">
        <f t="shared" si="8"/>
        <v>1</v>
      </c>
      <c r="K183">
        <f t="shared" si="9"/>
        <v>0</v>
      </c>
      <c r="L183">
        <f t="shared" si="10"/>
        <v>0</v>
      </c>
      <c r="M183">
        <f t="shared" si="11"/>
        <v>0</v>
      </c>
      <c r="N183">
        <v>15</v>
      </c>
    </row>
    <row r="184" spans="1:14" ht="15" customHeight="1" x14ac:dyDescent="0.2">
      <c r="A184" t="s">
        <v>93</v>
      </c>
      <c r="B184" s="22">
        <v>0</v>
      </c>
      <c r="C184" s="22">
        <v>0</v>
      </c>
      <c r="D184" s="22">
        <v>1</v>
      </c>
      <c r="E184" s="56">
        <v>0</v>
      </c>
      <c r="F184" s="22">
        <v>0</v>
      </c>
      <c r="G184" s="56">
        <v>0</v>
      </c>
      <c r="H184" s="22">
        <v>1</v>
      </c>
      <c r="I184" s="22">
        <v>0</v>
      </c>
      <c r="J184">
        <f t="shared" si="8"/>
        <v>1</v>
      </c>
      <c r="K184">
        <f t="shared" si="9"/>
        <v>1</v>
      </c>
      <c r="L184">
        <f t="shared" si="10"/>
        <v>0</v>
      </c>
      <c r="M184">
        <f t="shared" si="11"/>
        <v>0</v>
      </c>
      <c r="N184">
        <v>15</v>
      </c>
    </row>
    <row r="185" spans="1:14" ht="15" customHeight="1" x14ac:dyDescent="0.2">
      <c r="A185" t="s">
        <v>94</v>
      </c>
      <c r="B185" s="22">
        <v>0</v>
      </c>
      <c r="C185" s="22">
        <v>0</v>
      </c>
      <c r="D185" s="22">
        <v>0</v>
      </c>
      <c r="E185" s="56">
        <v>0</v>
      </c>
      <c r="F185" s="22">
        <v>2</v>
      </c>
      <c r="G185" s="56">
        <v>0</v>
      </c>
      <c r="H185" s="22">
        <v>1</v>
      </c>
      <c r="I185" s="22">
        <v>0</v>
      </c>
      <c r="J185">
        <f t="shared" si="8"/>
        <v>2</v>
      </c>
      <c r="K185">
        <f t="shared" si="9"/>
        <v>1</v>
      </c>
      <c r="L185">
        <f t="shared" si="10"/>
        <v>0</v>
      </c>
      <c r="M185">
        <f t="shared" si="11"/>
        <v>0</v>
      </c>
      <c r="N185">
        <v>15</v>
      </c>
    </row>
    <row r="186" spans="1:14" ht="15" customHeight="1" x14ac:dyDescent="0.2">
      <c r="A186" t="s">
        <v>95</v>
      </c>
      <c r="B186" s="22">
        <v>0</v>
      </c>
      <c r="C186" s="22">
        <v>0</v>
      </c>
      <c r="D186" s="22">
        <v>1</v>
      </c>
      <c r="E186" s="56">
        <v>0</v>
      </c>
      <c r="F186" s="22">
        <v>1</v>
      </c>
      <c r="G186" s="56">
        <v>0</v>
      </c>
      <c r="H186" s="22">
        <v>0</v>
      </c>
      <c r="I186" s="22">
        <v>0</v>
      </c>
      <c r="J186">
        <f t="shared" si="8"/>
        <v>2</v>
      </c>
      <c r="K186">
        <f t="shared" si="9"/>
        <v>0</v>
      </c>
      <c r="L186">
        <f t="shared" si="10"/>
        <v>0</v>
      </c>
      <c r="M186">
        <f t="shared" si="11"/>
        <v>0</v>
      </c>
      <c r="N186">
        <v>15</v>
      </c>
    </row>
    <row r="187" spans="1:14" ht="15" customHeight="1" x14ac:dyDescent="0.2">
      <c r="A187" t="s">
        <v>96</v>
      </c>
      <c r="B187" s="22">
        <v>0</v>
      </c>
      <c r="C187" s="22">
        <v>0</v>
      </c>
      <c r="D187" s="22">
        <v>0</v>
      </c>
      <c r="E187" s="56">
        <v>0</v>
      </c>
      <c r="F187" s="22">
        <v>0</v>
      </c>
      <c r="G187" s="56">
        <v>0</v>
      </c>
      <c r="H187" s="22">
        <v>2</v>
      </c>
      <c r="I187" s="22">
        <v>0</v>
      </c>
      <c r="J187">
        <f t="shared" si="8"/>
        <v>0</v>
      </c>
      <c r="K187">
        <f t="shared" si="9"/>
        <v>2</v>
      </c>
      <c r="L187">
        <f t="shared" si="10"/>
        <v>0</v>
      </c>
      <c r="M187">
        <f t="shared" si="11"/>
        <v>0</v>
      </c>
      <c r="N187">
        <v>15</v>
      </c>
    </row>
    <row r="188" spans="1:14" ht="15" customHeight="1" x14ac:dyDescent="0.2">
      <c r="A188" t="s">
        <v>97</v>
      </c>
      <c r="B188" s="22">
        <v>0</v>
      </c>
      <c r="C188" s="22">
        <v>0</v>
      </c>
      <c r="D188" s="22">
        <v>0</v>
      </c>
      <c r="E188" s="56">
        <v>0</v>
      </c>
      <c r="F188" s="22">
        <v>3</v>
      </c>
      <c r="G188" s="56">
        <v>0</v>
      </c>
      <c r="H188" s="22">
        <v>2</v>
      </c>
      <c r="I188" s="22">
        <v>0</v>
      </c>
      <c r="J188">
        <f t="shared" si="8"/>
        <v>3</v>
      </c>
      <c r="K188">
        <f t="shared" si="9"/>
        <v>2</v>
      </c>
      <c r="L188">
        <f t="shared" si="10"/>
        <v>0</v>
      </c>
      <c r="M188">
        <f t="shared" si="11"/>
        <v>0</v>
      </c>
      <c r="N188">
        <v>15</v>
      </c>
    </row>
    <row r="189" spans="1:14" ht="15" customHeight="1" x14ac:dyDescent="0.2">
      <c r="A189" t="s">
        <v>98</v>
      </c>
      <c r="B189" s="22">
        <v>0</v>
      </c>
      <c r="C189" s="22">
        <v>0</v>
      </c>
      <c r="D189" s="22">
        <v>0</v>
      </c>
      <c r="E189" s="56">
        <v>0</v>
      </c>
      <c r="F189" s="22">
        <v>0</v>
      </c>
      <c r="G189" s="56">
        <v>0</v>
      </c>
      <c r="H189" s="22">
        <v>0</v>
      </c>
      <c r="I189" s="22">
        <v>0</v>
      </c>
      <c r="J189">
        <f t="shared" si="8"/>
        <v>0</v>
      </c>
      <c r="K189">
        <f t="shared" si="9"/>
        <v>0</v>
      </c>
      <c r="L189">
        <f t="shared" si="10"/>
        <v>0</v>
      </c>
      <c r="M189">
        <f t="shared" si="11"/>
        <v>0</v>
      </c>
      <c r="N189">
        <v>15</v>
      </c>
    </row>
    <row r="190" spans="1:14" ht="15" customHeight="1" x14ac:dyDescent="0.2">
      <c r="A190" t="s">
        <v>99</v>
      </c>
      <c r="B190" s="22">
        <v>1</v>
      </c>
      <c r="C190" s="22">
        <v>0</v>
      </c>
      <c r="D190" s="22">
        <v>0</v>
      </c>
      <c r="E190" s="56">
        <v>0</v>
      </c>
      <c r="F190" s="22">
        <v>1</v>
      </c>
      <c r="G190" s="56">
        <v>0</v>
      </c>
      <c r="H190" s="22">
        <v>0</v>
      </c>
      <c r="I190" s="22">
        <v>0</v>
      </c>
      <c r="J190">
        <f t="shared" si="8"/>
        <v>1</v>
      </c>
      <c r="K190">
        <f t="shared" si="9"/>
        <v>1</v>
      </c>
      <c r="L190">
        <f t="shared" si="10"/>
        <v>0</v>
      </c>
      <c r="M190">
        <f t="shared" si="11"/>
        <v>0</v>
      </c>
      <c r="N190">
        <v>15</v>
      </c>
    </row>
    <row r="191" spans="1:14" ht="15" customHeight="1" x14ac:dyDescent="0.2">
      <c r="A191" t="s">
        <v>100</v>
      </c>
      <c r="B191" s="22">
        <v>0</v>
      </c>
      <c r="C191" s="22">
        <v>0</v>
      </c>
      <c r="D191" s="22">
        <v>0</v>
      </c>
      <c r="E191" s="56">
        <v>0</v>
      </c>
      <c r="F191" s="22">
        <v>0</v>
      </c>
      <c r="G191" s="56">
        <v>0</v>
      </c>
      <c r="H191" s="22">
        <v>0</v>
      </c>
      <c r="I191" s="22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  <c r="N191">
        <v>15</v>
      </c>
    </row>
    <row r="192" spans="1:14" ht="15" customHeight="1" x14ac:dyDescent="0.2">
      <c r="A192" t="s">
        <v>101</v>
      </c>
      <c r="B192" s="22">
        <v>0</v>
      </c>
      <c r="C192" s="22">
        <v>0</v>
      </c>
      <c r="D192" s="22">
        <v>0</v>
      </c>
      <c r="E192" s="56">
        <v>0</v>
      </c>
      <c r="F192" s="22">
        <v>0</v>
      </c>
      <c r="G192" s="56">
        <v>0</v>
      </c>
      <c r="H192" s="22">
        <v>0</v>
      </c>
      <c r="I192" s="22">
        <v>0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  <c r="N192">
        <v>15</v>
      </c>
    </row>
    <row r="193" spans="1:14" ht="15" customHeight="1" x14ac:dyDescent="0.2">
      <c r="A193" t="s">
        <v>102</v>
      </c>
      <c r="B193" s="22">
        <v>0</v>
      </c>
      <c r="C193" s="22">
        <v>0</v>
      </c>
      <c r="D193" s="22">
        <v>0</v>
      </c>
      <c r="E193" s="56">
        <v>0</v>
      </c>
      <c r="F193" s="22">
        <v>0</v>
      </c>
      <c r="G193" s="56">
        <v>0</v>
      </c>
      <c r="H193" s="22">
        <v>0</v>
      </c>
      <c r="I193" s="22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  <c r="N193">
        <v>15</v>
      </c>
    </row>
    <row r="194" spans="1:14" ht="15" customHeight="1" x14ac:dyDescent="0.2">
      <c r="A194" t="s">
        <v>103</v>
      </c>
      <c r="B194" s="22">
        <v>0</v>
      </c>
      <c r="C194" s="22">
        <v>0</v>
      </c>
      <c r="D194" s="22">
        <v>2</v>
      </c>
      <c r="E194" s="56">
        <v>0</v>
      </c>
      <c r="F194" s="22">
        <v>0</v>
      </c>
      <c r="G194" s="56">
        <v>0</v>
      </c>
      <c r="H194" s="22">
        <v>0</v>
      </c>
      <c r="I194" s="22">
        <v>0</v>
      </c>
      <c r="J194">
        <f t="shared" si="8"/>
        <v>2</v>
      </c>
      <c r="K194">
        <f t="shared" si="9"/>
        <v>0</v>
      </c>
      <c r="L194">
        <f t="shared" si="10"/>
        <v>0</v>
      </c>
      <c r="M194">
        <f t="shared" si="11"/>
        <v>0</v>
      </c>
      <c r="N194">
        <v>15</v>
      </c>
    </row>
    <row r="195" spans="1:14" ht="15" customHeight="1" x14ac:dyDescent="0.2">
      <c r="A195" t="s">
        <v>104</v>
      </c>
      <c r="B195" s="22">
        <v>0</v>
      </c>
      <c r="C195" s="22">
        <v>0</v>
      </c>
      <c r="D195" s="22">
        <v>0</v>
      </c>
      <c r="E195" s="56">
        <v>0</v>
      </c>
      <c r="F195" s="22">
        <v>0</v>
      </c>
      <c r="G195" s="56">
        <v>0</v>
      </c>
      <c r="H195" s="22">
        <v>0</v>
      </c>
      <c r="I195" s="22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  <c r="N195">
        <v>15</v>
      </c>
    </row>
    <row r="196" spans="1:14" ht="15" customHeight="1" x14ac:dyDescent="0.2">
      <c r="A196" t="s">
        <v>105</v>
      </c>
      <c r="B196" s="22">
        <v>0</v>
      </c>
      <c r="C196" s="22">
        <v>0</v>
      </c>
      <c r="D196" s="22">
        <v>0</v>
      </c>
      <c r="E196" s="56">
        <v>0</v>
      </c>
      <c r="F196" s="22">
        <v>0</v>
      </c>
      <c r="G196" s="56">
        <v>0</v>
      </c>
      <c r="H196" s="22">
        <v>2</v>
      </c>
      <c r="I196" s="22">
        <v>0</v>
      </c>
      <c r="J196">
        <f t="shared" si="8"/>
        <v>0</v>
      </c>
      <c r="K196">
        <f t="shared" si="9"/>
        <v>2</v>
      </c>
      <c r="L196">
        <f t="shared" si="10"/>
        <v>0</v>
      </c>
      <c r="M196">
        <f t="shared" si="11"/>
        <v>0</v>
      </c>
      <c r="N196">
        <v>15</v>
      </c>
    </row>
    <row r="197" spans="1:14" ht="15" customHeight="1" x14ac:dyDescent="0.2">
      <c r="A197" t="s">
        <v>106</v>
      </c>
      <c r="B197" s="22">
        <v>0</v>
      </c>
      <c r="C197" s="22">
        <v>0</v>
      </c>
      <c r="D197" s="22">
        <v>0</v>
      </c>
      <c r="E197" s="56">
        <v>0</v>
      </c>
      <c r="F197" s="22">
        <v>0</v>
      </c>
      <c r="G197" s="56">
        <v>0</v>
      </c>
      <c r="H197" s="22">
        <v>0</v>
      </c>
      <c r="I197" s="22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  <c r="N197">
        <v>15</v>
      </c>
    </row>
    <row r="198" spans="1:14" ht="15" customHeight="1" x14ac:dyDescent="0.2">
      <c r="A198" t="s">
        <v>107</v>
      </c>
      <c r="B198" s="22">
        <v>0</v>
      </c>
      <c r="C198" s="22">
        <v>0</v>
      </c>
      <c r="D198" s="22">
        <v>1</v>
      </c>
      <c r="E198" s="56">
        <v>0</v>
      </c>
      <c r="F198" s="22">
        <v>1</v>
      </c>
      <c r="G198" s="56">
        <v>0</v>
      </c>
      <c r="H198" s="22">
        <v>0</v>
      </c>
      <c r="I198" s="22">
        <v>0</v>
      </c>
      <c r="J198">
        <f t="shared" si="8"/>
        <v>2</v>
      </c>
      <c r="K198">
        <f t="shared" si="9"/>
        <v>0</v>
      </c>
      <c r="L198">
        <f t="shared" si="10"/>
        <v>0</v>
      </c>
      <c r="M198">
        <f t="shared" si="11"/>
        <v>0</v>
      </c>
      <c r="N198">
        <v>15</v>
      </c>
    </row>
    <row r="199" spans="1:14" ht="15" customHeight="1" x14ac:dyDescent="0.2">
      <c r="A199" t="s">
        <v>108</v>
      </c>
      <c r="B199" s="22">
        <v>0</v>
      </c>
      <c r="C199" s="22">
        <v>0</v>
      </c>
      <c r="D199" s="22">
        <v>1</v>
      </c>
      <c r="E199" s="56">
        <v>0</v>
      </c>
      <c r="F199" s="22">
        <v>0</v>
      </c>
      <c r="G199" s="56">
        <v>0</v>
      </c>
      <c r="H199" s="22">
        <v>0</v>
      </c>
      <c r="I199" s="22">
        <v>0</v>
      </c>
      <c r="J199">
        <f t="shared" si="8"/>
        <v>1</v>
      </c>
      <c r="K199">
        <f t="shared" si="9"/>
        <v>0</v>
      </c>
      <c r="L199">
        <f t="shared" si="10"/>
        <v>0</v>
      </c>
      <c r="M199">
        <f t="shared" si="11"/>
        <v>0</v>
      </c>
      <c r="N199">
        <v>15</v>
      </c>
    </row>
    <row r="200" spans="1:14" ht="15" customHeight="1" x14ac:dyDescent="0.2">
      <c r="A200" t="s">
        <v>109</v>
      </c>
      <c r="B200" s="22">
        <v>0</v>
      </c>
      <c r="C200" s="22">
        <v>0</v>
      </c>
      <c r="D200" s="22">
        <v>0</v>
      </c>
      <c r="E200" s="56">
        <v>0</v>
      </c>
      <c r="F200" s="22">
        <v>0</v>
      </c>
      <c r="G200" s="56">
        <v>0</v>
      </c>
      <c r="H200" s="22">
        <v>0</v>
      </c>
      <c r="I200" s="22">
        <v>0</v>
      </c>
      <c r="J200">
        <f t="shared" si="8"/>
        <v>0</v>
      </c>
      <c r="K200">
        <f t="shared" si="9"/>
        <v>0</v>
      </c>
      <c r="L200">
        <f t="shared" si="10"/>
        <v>0</v>
      </c>
      <c r="M200">
        <f t="shared" si="11"/>
        <v>0</v>
      </c>
      <c r="N200">
        <v>15</v>
      </c>
    </row>
    <row r="201" spans="1:14" ht="15" customHeight="1" x14ac:dyDescent="0.2">
      <c r="A201" t="s">
        <v>110</v>
      </c>
      <c r="B201" s="22">
        <v>0</v>
      </c>
      <c r="C201" s="22">
        <v>0</v>
      </c>
      <c r="D201" s="22">
        <v>0</v>
      </c>
      <c r="E201" s="56">
        <v>0</v>
      </c>
      <c r="F201" s="22">
        <v>0</v>
      </c>
      <c r="G201" s="56">
        <v>0</v>
      </c>
      <c r="H201" s="22">
        <v>0</v>
      </c>
      <c r="I201" s="22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  <c r="N201">
        <v>15</v>
      </c>
    </row>
    <row r="202" spans="1:14" ht="15" customHeight="1" x14ac:dyDescent="0.2">
      <c r="B202">
        <f t="shared" ref="B202:N202" si="12">SUM(B10:B201)</f>
        <v>37</v>
      </c>
      <c r="C202">
        <f t="shared" si="12"/>
        <v>0</v>
      </c>
      <c r="D202">
        <f t="shared" si="12"/>
        <v>45</v>
      </c>
      <c r="E202" s="45">
        <f t="shared" si="12"/>
        <v>1</v>
      </c>
      <c r="F202">
        <f t="shared" si="12"/>
        <v>123</v>
      </c>
      <c r="G202" s="45">
        <f t="shared" si="12"/>
        <v>5</v>
      </c>
      <c r="H202">
        <f t="shared" si="12"/>
        <v>106</v>
      </c>
      <c r="I202">
        <f t="shared" si="12"/>
        <v>10</v>
      </c>
      <c r="J202">
        <f t="shared" si="12"/>
        <v>168</v>
      </c>
      <c r="K202">
        <f t="shared" si="12"/>
        <v>143</v>
      </c>
      <c r="L202">
        <f t="shared" si="12"/>
        <v>6</v>
      </c>
      <c r="M202">
        <f t="shared" si="12"/>
        <v>10</v>
      </c>
      <c r="N202" s="80">
        <f t="shared" si="12"/>
        <v>2880</v>
      </c>
    </row>
    <row r="204" spans="1:14" ht="15" customHeight="1" x14ac:dyDescent="0.2">
      <c r="K204" s="88" t="s">
        <v>212</v>
      </c>
      <c r="L204" s="6">
        <f>SUM(L38:L89,L134:L185)</f>
        <v>5</v>
      </c>
      <c r="N204" s="28">
        <f>SUM(N38:N89,N134:N185)/60</f>
        <v>26</v>
      </c>
    </row>
    <row r="205" spans="1:14" ht="15" customHeight="1" x14ac:dyDescent="0.2">
      <c r="K205" s="88" t="s">
        <v>213</v>
      </c>
      <c r="L205" s="6">
        <f>L202-L204</f>
        <v>1</v>
      </c>
      <c r="N205" s="28">
        <f>48-N204</f>
        <v>22</v>
      </c>
    </row>
  </sheetData>
  <mergeCells count="8">
    <mergeCell ref="A4:B4"/>
    <mergeCell ref="C4:J4"/>
    <mergeCell ref="A1:B1"/>
    <mergeCell ref="C1:J1"/>
    <mergeCell ref="A2:B2"/>
    <mergeCell ref="C2:J2"/>
    <mergeCell ref="A3:B3"/>
    <mergeCell ref="C3:J3"/>
  </mergeCells>
  <pageMargins left="0.75" right="0.75" top="1" bottom="1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pane xSplit="1" ySplit="9" topLeftCell="B193" activePane="bottomRight" state="frozen"/>
      <selection pane="topRight" activeCell="B1" sqref="B1"/>
      <selection pane="bottomLeft" activeCell="A10" sqref="A10"/>
      <selection pane="bottomRight" activeCell="K204" sqref="K204:L205"/>
    </sheetView>
  </sheetViews>
  <sheetFormatPr defaultColWidth="12.140625" defaultRowHeight="15" customHeight="1" x14ac:dyDescent="0.2"/>
  <cols>
    <col min="1" max="1" width="12.140625" bestFit="1" customWidth="1"/>
    <col min="2" max="3" width="10.85546875" customWidth="1"/>
    <col min="4" max="5" width="10.42578125" customWidth="1"/>
    <col min="6" max="7" width="10.85546875" customWidth="1"/>
    <col min="8" max="9" width="10.42578125" customWidth="1"/>
  </cols>
  <sheetData>
    <row r="1" spans="1:13" ht="15" customHeight="1" x14ac:dyDescent="0.3">
      <c r="A1" s="111" t="s">
        <v>0</v>
      </c>
      <c r="B1" s="111"/>
      <c r="C1" s="112" t="s">
        <v>202</v>
      </c>
      <c r="D1" s="112"/>
      <c r="E1" s="112"/>
      <c r="F1" s="112"/>
    </row>
    <row r="2" spans="1:13" ht="15" customHeight="1" x14ac:dyDescent="0.3">
      <c r="A2" s="111" t="s">
        <v>2</v>
      </c>
      <c r="B2" s="111"/>
      <c r="C2" s="112" t="s">
        <v>201</v>
      </c>
      <c r="D2" s="112"/>
      <c r="E2" s="112"/>
      <c r="F2" s="112"/>
    </row>
    <row r="3" spans="1:13" ht="15" customHeight="1" x14ac:dyDescent="0.3">
      <c r="A3" s="111" t="s">
        <v>4</v>
      </c>
      <c r="B3" s="111"/>
      <c r="C3" s="112" t="s">
        <v>5</v>
      </c>
      <c r="D3" s="112"/>
      <c r="E3" s="112"/>
      <c r="F3" s="112"/>
    </row>
    <row r="4" spans="1:13" ht="15" customHeight="1" x14ac:dyDescent="0.3">
      <c r="A4" s="111" t="s">
        <v>6</v>
      </c>
      <c r="B4" s="111"/>
      <c r="C4" s="112" t="s">
        <v>7</v>
      </c>
      <c r="D4" s="112"/>
      <c r="E4" s="112"/>
      <c r="F4" s="112"/>
    </row>
    <row r="7" spans="1:13" s="24" customFormat="1" ht="31.5" customHeight="1" x14ac:dyDescent="0.2">
      <c r="A7" s="31" t="s">
        <v>8</v>
      </c>
      <c r="B7" s="32" t="s">
        <v>177</v>
      </c>
      <c r="C7" s="32" t="s">
        <v>9</v>
      </c>
      <c r="D7" s="32" t="s">
        <v>177</v>
      </c>
      <c r="E7" s="32" t="s">
        <v>9</v>
      </c>
      <c r="F7" s="32" t="s">
        <v>178</v>
      </c>
      <c r="G7" s="32" t="s">
        <v>11</v>
      </c>
      <c r="H7" s="32" t="s">
        <v>178</v>
      </c>
      <c r="I7" s="32" t="s">
        <v>11</v>
      </c>
    </row>
    <row r="8" spans="1:13" s="24" customFormat="1" ht="15" customHeight="1" x14ac:dyDescent="0.2">
      <c r="A8" s="31" t="s">
        <v>13</v>
      </c>
      <c r="B8" s="32" t="s">
        <v>14</v>
      </c>
      <c r="C8" s="32" t="s">
        <v>14</v>
      </c>
      <c r="D8" s="32" t="s">
        <v>15</v>
      </c>
      <c r="E8" s="32" t="s">
        <v>15</v>
      </c>
      <c r="F8" s="32" t="s">
        <v>14</v>
      </c>
      <c r="G8" s="32" t="s">
        <v>14</v>
      </c>
      <c r="H8" s="32" t="s">
        <v>15</v>
      </c>
      <c r="I8" s="32" t="s">
        <v>15</v>
      </c>
    </row>
    <row r="9" spans="1:13" s="24" customFormat="1" ht="27.75" customHeight="1" x14ac:dyDescent="0.2">
      <c r="B9" s="16" t="s">
        <v>120</v>
      </c>
      <c r="C9" s="17" t="s">
        <v>111</v>
      </c>
      <c r="D9" s="16" t="s">
        <v>121</v>
      </c>
      <c r="E9" s="17" t="s">
        <v>113</v>
      </c>
      <c r="F9" s="16" t="s">
        <v>121</v>
      </c>
      <c r="G9" s="17" t="s">
        <v>113</v>
      </c>
      <c r="H9" s="16" t="s">
        <v>120</v>
      </c>
      <c r="I9" s="17" t="s">
        <v>111</v>
      </c>
      <c r="J9" s="17" t="s">
        <v>113</v>
      </c>
      <c r="K9" s="17" t="s">
        <v>111</v>
      </c>
      <c r="L9" s="92" t="s">
        <v>121</v>
      </c>
      <c r="M9" s="16" t="s">
        <v>120</v>
      </c>
    </row>
    <row r="10" spans="1:13" ht="15" customHeight="1" x14ac:dyDescent="0.2">
      <c r="A10" t="s">
        <v>5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>
        <f>SUM(E10,G10)</f>
        <v>0</v>
      </c>
      <c r="K10">
        <f>SUM(C10,I10)</f>
        <v>0</v>
      </c>
      <c r="L10">
        <f>SUM(D10,F10)</f>
        <v>0</v>
      </c>
      <c r="M10">
        <f>SUM(B10,H10)</f>
        <v>0</v>
      </c>
    </row>
    <row r="11" spans="1:13" ht="15" customHeight="1" x14ac:dyDescent="0.2">
      <c r="A11" t="s">
        <v>16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>
        <f t="shared" ref="J11:J74" si="0">SUM(E11,G11)</f>
        <v>0</v>
      </c>
      <c r="K11">
        <f t="shared" ref="K11:K74" si="1">SUM(C11,I11)</f>
        <v>0</v>
      </c>
      <c r="L11">
        <f t="shared" ref="L11:L74" si="2">SUM(D11,F11)</f>
        <v>0</v>
      </c>
      <c r="M11">
        <f t="shared" ref="M11:M74" si="3">SUM(B11,H11)</f>
        <v>0</v>
      </c>
    </row>
    <row r="12" spans="1:13" ht="15" customHeight="1" x14ac:dyDescent="0.2">
      <c r="A12" t="s">
        <v>17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>
        <f t="shared" si="0"/>
        <v>0</v>
      </c>
      <c r="K12">
        <f t="shared" si="1"/>
        <v>0</v>
      </c>
      <c r="L12">
        <f t="shared" si="2"/>
        <v>0</v>
      </c>
      <c r="M12">
        <f t="shared" si="3"/>
        <v>0</v>
      </c>
    </row>
    <row r="13" spans="1:13" ht="15" customHeight="1" x14ac:dyDescent="0.2">
      <c r="A13" t="s">
        <v>18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>
        <f t="shared" si="0"/>
        <v>0</v>
      </c>
      <c r="K13">
        <f t="shared" si="1"/>
        <v>0</v>
      </c>
      <c r="L13">
        <f t="shared" si="2"/>
        <v>0</v>
      </c>
      <c r="M13">
        <f t="shared" si="3"/>
        <v>0</v>
      </c>
    </row>
    <row r="14" spans="1:13" ht="15" customHeight="1" x14ac:dyDescent="0.2">
      <c r="A14" t="s">
        <v>19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>
        <f t="shared" si="0"/>
        <v>0</v>
      </c>
      <c r="K14">
        <f t="shared" si="1"/>
        <v>0</v>
      </c>
      <c r="L14">
        <f t="shared" si="2"/>
        <v>0</v>
      </c>
      <c r="M14">
        <f t="shared" si="3"/>
        <v>0</v>
      </c>
    </row>
    <row r="15" spans="1:13" ht="15" customHeight="1" x14ac:dyDescent="0.2">
      <c r="A15" t="s">
        <v>20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>
        <f t="shared" si="0"/>
        <v>0</v>
      </c>
      <c r="K15">
        <f t="shared" si="1"/>
        <v>0</v>
      </c>
      <c r="L15">
        <f t="shared" si="2"/>
        <v>0</v>
      </c>
      <c r="M15">
        <f t="shared" si="3"/>
        <v>0</v>
      </c>
    </row>
    <row r="16" spans="1:13" ht="15" customHeight="1" x14ac:dyDescent="0.2">
      <c r="A16" t="s">
        <v>21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>
        <f t="shared" si="0"/>
        <v>0</v>
      </c>
      <c r="K16">
        <f t="shared" si="1"/>
        <v>0</v>
      </c>
      <c r="L16">
        <f t="shared" si="2"/>
        <v>0</v>
      </c>
      <c r="M16">
        <f t="shared" si="3"/>
        <v>0</v>
      </c>
    </row>
    <row r="17" spans="1:13" ht="15" customHeight="1" x14ac:dyDescent="0.2">
      <c r="A17" t="s">
        <v>22</v>
      </c>
      <c r="B17" s="22">
        <v>0</v>
      </c>
      <c r="C17" s="22">
        <v>1</v>
      </c>
      <c r="D17" s="22">
        <v>0</v>
      </c>
      <c r="E17" s="22">
        <v>0</v>
      </c>
      <c r="F17" s="22">
        <v>0</v>
      </c>
      <c r="G17" s="22">
        <v>1</v>
      </c>
      <c r="H17" s="22">
        <v>0</v>
      </c>
      <c r="I17" s="22">
        <v>0</v>
      </c>
      <c r="J17">
        <f t="shared" si="0"/>
        <v>1</v>
      </c>
      <c r="K17">
        <f t="shared" si="1"/>
        <v>1</v>
      </c>
      <c r="L17">
        <f t="shared" si="2"/>
        <v>0</v>
      </c>
      <c r="M17">
        <f t="shared" si="3"/>
        <v>0</v>
      </c>
    </row>
    <row r="18" spans="1:13" ht="15" customHeight="1" x14ac:dyDescent="0.2">
      <c r="A18" t="s">
        <v>23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>
        <f t="shared" si="0"/>
        <v>0</v>
      </c>
      <c r="K18">
        <f t="shared" si="1"/>
        <v>0</v>
      </c>
      <c r="L18">
        <f t="shared" si="2"/>
        <v>0</v>
      </c>
      <c r="M18">
        <f t="shared" si="3"/>
        <v>0</v>
      </c>
    </row>
    <row r="19" spans="1:13" ht="15" customHeight="1" x14ac:dyDescent="0.2">
      <c r="A19" t="s">
        <v>24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>
        <f t="shared" si="0"/>
        <v>0</v>
      </c>
      <c r="K19">
        <f t="shared" si="1"/>
        <v>0</v>
      </c>
      <c r="L19">
        <f t="shared" si="2"/>
        <v>0</v>
      </c>
      <c r="M19">
        <f t="shared" si="3"/>
        <v>0</v>
      </c>
    </row>
    <row r="20" spans="1:13" ht="15" customHeight="1" x14ac:dyDescent="0.2">
      <c r="A20" t="s">
        <v>25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>
        <f t="shared" si="0"/>
        <v>0</v>
      </c>
      <c r="K20">
        <f t="shared" si="1"/>
        <v>0</v>
      </c>
      <c r="L20">
        <f t="shared" si="2"/>
        <v>0</v>
      </c>
      <c r="M20">
        <f t="shared" si="3"/>
        <v>0</v>
      </c>
    </row>
    <row r="21" spans="1:13" ht="15" customHeight="1" x14ac:dyDescent="0.2">
      <c r="A21" t="s">
        <v>26</v>
      </c>
      <c r="B21" s="22">
        <v>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>
        <f t="shared" si="0"/>
        <v>0</v>
      </c>
      <c r="K21">
        <f t="shared" si="1"/>
        <v>0</v>
      </c>
      <c r="L21">
        <f t="shared" si="2"/>
        <v>0</v>
      </c>
      <c r="M21">
        <f t="shared" si="3"/>
        <v>0</v>
      </c>
    </row>
    <row r="22" spans="1:13" ht="15" customHeight="1" x14ac:dyDescent="0.2">
      <c r="A22" t="s">
        <v>27</v>
      </c>
      <c r="B22" s="22">
        <v>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>
        <f t="shared" si="0"/>
        <v>0</v>
      </c>
      <c r="K22">
        <f t="shared" si="1"/>
        <v>0</v>
      </c>
      <c r="L22">
        <f t="shared" si="2"/>
        <v>0</v>
      </c>
      <c r="M22">
        <f t="shared" si="3"/>
        <v>0</v>
      </c>
    </row>
    <row r="23" spans="1:13" ht="15" customHeight="1" x14ac:dyDescent="0.2">
      <c r="A23" t="s">
        <v>28</v>
      </c>
      <c r="B23" s="22">
        <v>0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>
        <f t="shared" si="0"/>
        <v>0</v>
      </c>
      <c r="K23">
        <f t="shared" si="1"/>
        <v>0</v>
      </c>
      <c r="L23">
        <f t="shared" si="2"/>
        <v>0</v>
      </c>
      <c r="M23">
        <f t="shared" si="3"/>
        <v>0</v>
      </c>
    </row>
    <row r="24" spans="1:13" ht="15" customHeight="1" x14ac:dyDescent="0.2">
      <c r="A24" t="s">
        <v>29</v>
      </c>
      <c r="B24" s="22">
        <v>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>
        <f t="shared" si="0"/>
        <v>0</v>
      </c>
      <c r="K24">
        <f t="shared" si="1"/>
        <v>0</v>
      </c>
      <c r="L24">
        <f t="shared" si="2"/>
        <v>0</v>
      </c>
      <c r="M24">
        <f t="shared" si="3"/>
        <v>0</v>
      </c>
    </row>
    <row r="25" spans="1:13" ht="15" customHeight="1" x14ac:dyDescent="0.2">
      <c r="A25" t="s">
        <v>30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>
        <f t="shared" si="0"/>
        <v>0</v>
      </c>
      <c r="K25">
        <f t="shared" si="1"/>
        <v>0</v>
      </c>
      <c r="L25">
        <f t="shared" si="2"/>
        <v>0</v>
      </c>
      <c r="M25">
        <f t="shared" si="3"/>
        <v>0</v>
      </c>
    </row>
    <row r="26" spans="1:13" ht="15" customHeight="1" x14ac:dyDescent="0.2">
      <c r="A26" t="s">
        <v>31</v>
      </c>
      <c r="B26" s="22">
        <v>0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>
        <f t="shared" si="0"/>
        <v>0</v>
      </c>
      <c r="K26">
        <f t="shared" si="1"/>
        <v>0</v>
      </c>
      <c r="L26">
        <f t="shared" si="2"/>
        <v>0</v>
      </c>
      <c r="M26">
        <f t="shared" si="3"/>
        <v>0</v>
      </c>
    </row>
    <row r="27" spans="1:13" ht="15" customHeight="1" x14ac:dyDescent="0.2">
      <c r="A27" t="s">
        <v>32</v>
      </c>
      <c r="B27" s="22">
        <v>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>
        <f t="shared" si="0"/>
        <v>0</v>
      </c>
      <c r="K27">
        <f t="shared" si="1"/>
        <v>0</v>
      </c>
      <c r="L27">
        <f t="shared" si="2"/>
        <v>0</v>
      </c>
      <c r="M27">
        <f t="shared" si="3"/>
        <v>0</v>
      </c>
    </row>
    <row r="28" spans="1:13" ht="15" customHeight="1" x14ac:dyDescent="0.2">
      <c r="A28" t="s">
        <v>33</v>
      </c>
      <c r="B28" s="22">
        <v>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>
        <f t="shared" si="0"/>
        <v>0</v>
      </c>
      <c r="K28">
        <f t="shared" si="1"/>
        <v>0</v>
      </c>
      <c r="L28">
        <f t="shared" si="2"/>
        <v>0</v>
      </c>
      <c r="M28">
        <f t="shared" si="3"/>
        <v>0</v>
      </c>
    </row>
    <row r="29" spans="1:13" ht="15" customHeight="1" x14ac:dyDescent="0.2">
      <c r="A29" t="s">
        <v>34</v>
      </c>
      <c r="B29" s="22">
        <v>0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>
        <f t="shared" si="0"/>
        <v>0</v>
      </c>
      <c r="K29">
        <f t="shared" si="1"/>
        <v>0</v>
      </c>
      <c r="L29">
        <f t="shared" si="2"/>
        <v>0</v>
      </c>
      <c r="M29">
        <f t="shared" si="3"/>
        <v>0</v>
      </c>
    </row>
    <row r="30" spans="1:13" ht="15" customHeight="1" x14ac:dyDescent="0.2">
      <c r="A30" t="s">
        <v>35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>
        <f t="shared" si="0"/>
        <v>0</v>
      </c>
      <c r="K30">
        <f t="shared" si="1"/>
        <v>0</v>
      </c>
      <c r="L30">
        <f t="shared" si="2"/>
        <v>0</v>
      </c>
      <c r="M30">
        <f t="shared" si="3"/>
        <v>0</v>
      </c>
    </row>
    <row r="31" spans="1:13" ht="15" customHeight="1" x14ac:dyDescent="0.2">
      <c r="A31" t="s">
        <v>36</v>
      </c>
      <c r="B31" s="22">
        <v>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>
        <f t="shared" si="0"/>
        <v>0</v>
      </c>
      <c r="K31">
        <f t="shared" si="1"/>
        <v>0</v>
      </c>
      <c r="L31">
        <f t="shared" si="2"/>
        <v>0</v>
      </c>
      <c r="M31">
        <f t="shared" si="3"/>
        <v>0</v>
      </c>
    </row>
    <row r="32" spans="1:13" ht="15" customHeight="1" x14ac:dyDescent="0.2">
      <c r="A32" t="s">
        <v>37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>
        <f t="shared" si="0"/>
        <v>0</v>
      </c>
      <c r="K32">
        <f t="shared" si="1"/>
        <v>0</v>
      </c>
      <c r="L32">
        <f t="shared" si="2"/>
        <v>0</v>
      </c>
      <c r="M32">
        <f t="shared" si="3"/>
        <v>0</v>
      </c>
    </row>
    <row r="33" spans="1:13" ht="15" customHeight="1" x14ac:dyDescent="0.2">
      <c r="A33" t="s">
        <v>38</v>
      </c>
      <c r="B33" s="22">
        <v>0</v>
      </c>
      <c r="C33" s="22">
        <v>0</v>
      </c>
      <c r="D33" s="22">
        <v>0</v>
      </c>
      <c r="E33" s="22">
        <v>0</v>
      </c>
      <c r="F33" s="22">
        <v>1</v>
      </c>
      <c r="G33" s="22">
        <v>0</v>
      </c>
      <c r="H33" s="22">
        <v>0</v>
      </c>
      <c r="I33" s="22">
        <v>0</v>
      </c>
      <c r="J33">
        <f t="shared" si="0"/>
        <v>0</v>
      </c>
      <c r="K33">
        <f t="shared" si="1"/>
        <v>0</v>
      </c>
      <c r="L33">
        <f t="shared" si="2"/>
        <v>1</v>
      </c>
      <c r="M33">
        <f t="shared" si="3"/>
        <v>0</v>
      </c>
    </row>
    <row r="34" spans="1:13" ht="15" customHeight="1" x14ac:dyDescent="0.2">
      <c r="A34" t="s">
        <v>39</v>
      </c>
      <c r="B34" s="22">
        <v>1</v>
      </c>
      <c r="C34" s="22">
        <v>1</v>
      </c>
      <c r="D34" s="22">
        <v>0</v>
      </c>
      <c r="E34" s="22">
        <v>0</v>
      </c>
      <c r="F34" s="22">
        <v>2</v>
      </c>
      <c r="G34" s="22">
        <v>0</v>
      </c>
      <c r="H34" s="22">
        <v>0</v>
      </c>
      <c r="I34" s="22">
        <v>0</v>
      </c>
      <c r="J34">
        <f t="shared" si="0"/>
        <v>0</v>
      </c>
      <c r="K34">
        <f t="shared" si="1"/>
        <v>1</v>
      </c>
      <c r="L34">
        <f t="shared" si="2"/>
        <v>2</v>
      </c>
      <c r="M34">
        <f t="shared" si="3"/>
        <v>1</v>
      </c>
    </row>
    <row r="35" spans="1:13" ht="15" customHeight="1" x14ac:dyDescent="0.2">
      <c r="A35" t="s">
        <v>40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0</v>
      </c>
      <c r="H35" s="22">
        <v>0</v>
      </c>
      <c r="I35" s="22">
        <v>0</v>
      </c>
      <c r="J35">
        <f t="shared" si="0"/>
        <v>1</v>
      </c>
      <c r="K35">
        <f t="shared" si="1"/>
        <v>1</v>
      </c>
      <c r="L35">
        <f t="shared" si="2"/>
        <v>2</v>
      </c>
      <c r="M35">
        <f t="shared" si="3"/>
        <v>1</v>
      </c>
    </row>
    <row r="36" spans="1:13" ht="15" customHeight="1" x14ac:dyDescent="0.2">
      <c r="A36" t="s">
        <v>41</v>
      </c>
      <c r="B36" s="22">
        <v>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>
        <f t="shared" si="0"/>
        <v>0</v>
      </c>
      <c r="K36">
        <f t="shared" si="1"/>
        <v>0</v>
      </c>
      <c r="L36">
        <f t="shared" si="2"/>
        <v>0</v>
      </c>
      <c r="M36">
        <f t="shared" si="3"/>
        <v>0</v>
      </c>
    </row>
    <row r="37" spans="1:13" ht="15" customHeight="1" x14ac:dyDescent="0.2">
      <c r="A37" t="s">
        <v>42</v>
      </c>
      <c r="B37" s="22">
        <v>0</v>
      </c>
      <c r="C37" s="22">
        <v>1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1</v>
      </c>
      <c r="J37">
        <f t="shared" si="0"/>
        <v>0</v>
      </c>
      <c r="K37">
        <f t="shared" si="1"/>
        <v>2</v>
      </c>
      <c r="L37">
        <f t="shared" si="2"/>
        <v>0</v>
      </c>
      <c r="M37">
        <f t="shared" si="3"/>
        <v>0</v>
      </c>
    </row>
    <row r="38" spans="1:13" ht="15" customHeight="1" x14ac:dyDescent="0.2">
      <c r="A38" t="s">
        <v>43</v>
      </c>
      <c r="B38" s="22">
        <v>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>
        <f t="shared" si="0"/>
        <v>0</v>
      </c>
      <c r="K38">
        <f t="shared" si="1"/>
        <v>0</v>
      </c>
      <c r="L38">
        <f t="shared" si="2"/>
        <v>0</v>
      </c>
      <c r="M38">
        <f t="shared" si="3"/>
        <v>0</v>
      </c>
    </row>
    <row r="39" spans="1:13" ht="15" customHeight="1" x14ac:dyDescent="0.2">
      <c r="A39" t="s">
        <v>44</v>
      </c>
      <c r="B39" s="22">
        <v>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>
        <f t="shared" si="0"/>
        <v>0</v>
      </c>
      <c r="K39">
        <f t="shared" si="1"/>
        <v>0</v>
      </c>
      <c r="L39">
        <f t="shared" si="2"/>
        <v>0</v>
      </c>
      <c r="M39">
        <f t="shared" si="3"/>
        <v>0</v>
      </c>
    </row>
    <row r="40" spans="1:13" ht="15" customHeight="1" x14ac:dyDescent="0.2">
      <c r="A40" t="s">
        <v>45</v>
      </c>
      <c r="B40" s="22">
        <v>0</v>
      </c>
      <c r="C40" s="22">
        <v>1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>
        <f t="shared" si="0"/>
        <v>0</v>
      </c>
      <c r="K40">
        <f t="shared" si="1"/>
        <v>1</v>
      </c>
      <c r="L40">
        <f t="shared" si="2"/>
        <v>0</v>
      </c>
      <c r="M40">
        <f t="shared" si="3"/>
        <v>0</v>
      </c>
    </row>
    <row r="41" spans="1:13" ht="15" customHeight="1" x14ac:dyDescent="0.2">
      <c r="A41" t="s">
        <v>46</v>
      </c>
      <c r="B41" s="22">
        <v>0</v>
      </c>
      <c r="C41" s="22">
        <v>1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>
        <f t="shared" si="0"/>
        <v>0</v>
      </c>
      <c r="K41">
        <f t="shared" si="1"/>
        <v>1</v>
      </c>
      <c r="L41">
        <f t="shared" si="2"/>
        <v>0</v>
      </c>
      <c r="M41">
        <f t="shared" si="3"/>
        <v>0</v>
      </c>
    </row>
    <row r="42" spans="1:13" ht="15" customHeight="1" x14ac:dyDescent="0.2">
      <c r="A42" t="s">
        <v>47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>
        <f t="shared" si="0"/>
        <v>0</v>
      </c>
      <c r="K42">
        <f t="shared" si="1"/>
        <v>0</v>
      </c>
      <c r="L42">
        <f t="shared" si="2"/>
        <v>0</v>
      </c>
      <c r="M42">
        <f t="shared" si="3"/>
        <v>0</v>
      </c>
    </row>
    <row r="43" spans="1:13" ht="15" customHeight="1" x14ac:dyDescent="0.2">
      <c r="A43" t="s">
        <v>48</v>
      </c>
      <c r="B43" s="22">
        <v>0</v>
      </c>
      <c r="C43" s="22">
        <v>0</v>
      </c>
      <c r="D43" s="22">
        <v>0</v>
      </c>
      <c r="E43" s="22">
        <v>1</v>
      </c>
      <c r="F43" s="22">
        <v>0</v>
      </c>
      <c r="G43" s="22">
        <v>0</v>
      </c>
      <c r="H43" s="22">
        <v>0</v>
      </c>
      <c r="I43" s="22">
        <v>0</v>
      </c>
      <c r="J43">
        <f t="shared" si="0"/>
        <v>1</v>
      </c>
      <c r="K43">
        <f t="shared" si="1"/>
        <v>0</v>
      </c>
      <c r="L43">
        <f t="shared" si="2"/>
        <v>0</v>
      </c>
      <c r="M43">
        <f t="shared" si="3"/>
        <v>0</v>
      </c>
    </row>
    <row r="44" spans="1:13" ht="15" customHeight="1" x14ac:dyDescent="0.2">
      <c r="A44" t="s">
        <v>49</v>
      </c>
      <c r="B44" s="22">
        <v>0</v>
      </c>
      <c r="C44" s="22">
        <v>1</v>
      </c>
      <c r="D44" s="22">
        <v>1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>
        <f t="shared" si="0"/>
        <v>0</v>
      </c>
      <c r="K44">
        <f t="shared" si="1"/>
        <v>1</v>
      </c>
      <c r="L44">
        <f t="shared" si="2"/>
        <v>1</v>
      </c>
      <c r="M44">
        <f t="shared" si="3"/>
        <v>0</v>
      </c>
    </row>
    <row r="45" spans="1:13" ht="15" customHeight="1" x14ac:dyDescent="0.2">
      <c r="A45" t="s">
        <v>50</v>
      </c>
      <c r="B45" s="22">
        <v>0</v>
      </c>
      <c r="C45" s="22">
        <v>0</v>
      </c>
      <c r="D45" s="22">
        <v>0</v>
      </c>
      <c r="E45" s="22">
        <v>0</v>
      </c>
      <c r="F45" s="22">
        <v>1</v>
      </c>
      <c r="G45" s="22">
        <v>0</v>
      </c>
      <c r="H45" s="22">
        <v>0</v>
      </c>
      <c r="I45" s="22">
        <v>0</v>
      </c>
      <c r="J45">
        <f t="shared" si="0"/>
        <v>0</v>
      </c>
      <c r="K45">
        <f t="shared" si="1"/>
        <v>0</v>
      </c>
      <c r="L45">
        <f t="shared" si="2"/>
        <v>1</v>
      </c>
      <c r="M45">
        <f t="shared" si="3"/>
        <v>0</v>
      </c>
    </row>
    <row r="46" spans="1:13" ht="15" customHeight="1" x14ac:dyDescent="0.2">
      <c r="A46" t="s">
        <v>51</v>
      </c>
      <c r="B46" s="22">
        <v>0</v>
      </c>
      <c r="C46" s="22">
        <v>0</v>
      </c>
      <c r="D46" s="22">
        <v>0</v>
      </c>
      <c r="E46" s="22">
        <v>0</v>
      </c>
      <c r="F46" s="22">
        <v>2</v>
      </c>
      <c r="G46" s="22">
        <v>0</v>
      </c>
      <c r="H46" s="22">
        <v>0</v>
      </c>
      <c r="I46" s="22">
        <v>0</v>
      </c>
      <c r="J46">
        <f t="shared" si="0"/>
        <v>0</v>
      </c>
      <c r="K46">
        <f t="shared" si="1"/>
        <v>0</v>
      </c>
      <c r="L46">
        <f t="shared" si="2"/>
        <v>2</v>
      </c>
      <c r="M46">
        <f t="shared" si="3"/>
        <v>0</v>
      </c>
    </row>
    <row r="47" spans="1:13" ht="15" customHeight="1" x14ac:dyDescent="0.2">
      <c r="A47" t="s">
        <v>52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>
        <f t="shared" si="0"/>
        <v>0</v>
      </c>
      <c r="K47">
        <f t="shared" si="1"/>
        <v>0</v>
      </c>
      <c r="L47">
        <f t="shared" si="2"/>
        <v>0</v>
      </c>
      <c r="M47">
        <f t="shared" si="3"/>
        <v>0</v>
      </c>
    </row>
    <row r="48" spans="1:13" ht="15" customHeight="1" x14ac:dyDescent="0.2">
      <c r="A48" t="s">
        <v>53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2">
        <v>1</v>
      </c>
      <c r="H48" s="22">
        <v>0</v>
      </c>
      <c r="I48" s="22">
        <v>0</v>
      </c>
      <c r="J48">
        <f t="shared" si="0"/>
        <v>1</v>
      </c>
      <c r="K48">
        <f t="shared" si="1"/>
        <v>0</v>
      </c>
      <c r="L48">
        <f t="shared" si="2"/>
        <v>0</v>
      </c>
      <c r="M48">
        <f t="shared" si="3"/>
        <v>0</v>
      </c>
    </row>
    <row r="49" spans="1:13" ht="15" customHeight="1" x14ac:dyDescent="0.2">
      <c r="A49" t="s">
        <v>54</v>
      </c>
      <c r="B49" s="22">
        <v>0</v>
      </c>
      <c r="C49" s="22">
        <v>0</v>
      </c>
      <c r="D49" s="22">
        <v>0</v>
      </c>
      <c r="E49" s="22">
        <v>0</v>
      </c>
      <c r="F49" s="22">
        <v>1</v>
      </c>
      <c r="G49" s="22">
        <v>0</v>
      </c>
      <c r="H49" s="22">
        <v>0</v>
      </c>
      <c r="I49" s="22">
        <v>0</v>
      </c>
      <c r="J49">
        <f t="shared" si="0"/>
        <v>0</v>
      </c>
      <c r="K49">
        <f t="shared" si="1"/>
        <v>0</v>
      </c>
      <c r="L49">
        <f t="shared" si="2"/>
        <v>1</v>
      </c>
      <c r="M49">
        <f t="shared" si="3"/>
        <v>0</v>
      </c>
    </row>
    <row r="50" spans="1:13" ht="15" customHeight="1" x14ac:dyDescent="0.2">
      <c r="A50" t="s">
        <v>55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1</v>
      </c>
      <c r="H50" s="22">
        <v>0</v>
      </c>
      <c r="I50" s="22">
        <v>0</v>
      </c>
      <c r="J50">
        <f t="shared" si="0"/>
        <v>1</v>
      </c>
      <c r="K50">
        <f t="shared" si="1"/>
        <v>0</v>
      </c>
      <c r="L50">
        <f t="shared" si="2"/>
        <v>0</v>
      </c>
      <c r="M50">
        <f t="shared" si="3"/>
        <v>0</v>
      </c>
    </row>
    <row r="51" spans="1:13" ht="15" customHeight="1" x14ac:dyDescent="0.2">
      <c r="A51" t="s">
        <v>56</v>
      </c>
      <c r="B51" s="22">
        <v>0</v>
      </c>
      <c r="C51" s="22">
        <v>0</v>
      </c>
      <c r="D51" s="22">
        <v>1</v>
      </c>
      <c r="E51" s="22">
        <v>1</v>
      </c>
      <c r="F51" s="22">
        <v>0</v>
      </c>
      <c r="G51" s="22">
        <v>0</v>
      </c>
      <c r="H51" s="22">
        <v>0</v>
      </c>
      <c r="I51" s="22">
        <v>0</v>
      </c>
      <c r="J51">
        <f t="shared" si="0"/>
        <v>1</v>
      </c>
      <c r="K51">
        <f t="shared" si="1"/>
        <v>0</v>
      </c>
      <c r="L51">
        <f t="shared" si="2"/>
        <v>1</v>
      </c>
      <c r="M51">
        <f t="shared" si="3"/>
        <v>0</v>
      </c>
    </row>
    <row r="52" spans="1:13" ht="15" customHeight="1" x14ac:dyDescent="0.2">
      <c r="A52" t="s">
        <v>57</v>
      </c>
      <c r="B52" s="22">
        <v>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>
        <f t="shared" si="0"/>
        <v>0</v>
      </c>
      <c r="K52">
        <f t="shared" si="1"/>
        <v>0</v>
      </c>
      <c r="L52">
        <f t="shared" si="2"/>
        <v>0</v>
      </c>
      <c r="M52">
        <f t="shared" si="3"/>
        <v>0</v>
      </c>
    </row>
    <row r="53" spans="1:13" ht="15" customHeight="1" x14ac:dyDescent="0.2">
      <c r="A53" t="s">
        <v>58</v>
      </c>
      <c r="B53" s="22">
        <v>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>
        <f t="shared" si="0"/>
        <v>0</v>
      </c>
      <c r="K53">
        <f t="shared" si="1"/>
        <v>0</v>
      </c>
      <c r="L53">
        <f t="shared" si="2"/>
        <v>0</v>
      </c>
      <c r="M53">
        <f t="shared" si="3"/>
        <v>0</v>
      </c>
    </row>
    <row r="54" spans="1:13" ht="15" customHeight="1" x14ac:dyDescent="0.2">
      <c r="A54" t="s">
        <v>59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>
        <f t="shared" si="0"/>
        <v>0</v>
      </c>
      <c r="K54">
        <f t="shared" si="1"/>
        <v>0</v>
      </c>
      <c r="L54">
        <f t="shared" si="2"/>
        <v>0</v>
      </c>
      <c r="M54">
        <f t="shared" si="3"/>
        <v>0</v>
      </c>
    </row>
    <row r="55" spans="1:13" ht="15" customHeight="1" x14ac:dyDescent="0.2">
      <c r="A55" t="s">
        <v>60</v>
      </c>
      <c r="B55" s="22">
        <v>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>
        <f t="shared" si="0"/>
        <v>0</v>
      </c>
      <c r="K55">
        <f t="shared" si="1"/>
        <v>0</v>
      </c>
      <c r="L55">
        <f t="shared" si="2"/>
        <v>0</v>
      </c>
      <c r="M55">
        <f t="shared" si="3"/>
        <v>0</v>
      </c>
    </row>
    <row r="56" spans="1:13" ht="15" customHeight="1" x14ac:dyDescent="0.2">
      <c r="A56" t="s">
        <v>61</v>
      </c>
      <c r="B56" s="22">
        <v>0</v>
      </c>
      <c r="C56" s="22">
        <v>0</v>
      </c>
      <c r="D56" s="22">
        <v>0</v>
      </c>
      <c r="E56" s="22">
        <v>1</v>
      </c>
      <c r="F56" s="22">
        <v>0</v>
      </c>
      <c r="G56" s="22">
        <v>0</v>
      </c>
      <c r="H56" s="22">
        <v>0</v>
      </c>
      <c r="I56" s="22">
        <v>0</v>
      </c>
      <c r="J56">
        <f t="shared" si="0"/>
        <v>1</v>
      </c>
      <c r="K56">
        <f t="shared" si="1"/>
        <v>0</v>
      </c>
      <c r="L56">
        <f t="shared" si="2"/>
        <v>0</v>
      </c>
      <c r="M56">
        <f t="shared" si="3"/>
        <v>0</v>
      </c>
    </row>
    <row r="57" spans="1:13" ht="15" customHeight="1" x14ac:dyDescent="0.2">
      <c r="A57" t="s">
        <v>62</v>
      </c>
      <c r="B57" s="22">
        <v>0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>
        <f t="shared" si="0"/>
        <v>0</v>
      </c>
      <c r="K57">
        <f t="shared" si="1"/>
        <v>0</v>
      </c>
      <c r="L57">
        <f t="shared" si="2"/>
        <v>0</v>
      </c>
      <c r="M57">
        <f t="shared" si="3"/>
        <v>0</v>
      </c>
    </row>
    <row r="58" spans="1:13" ht="15" customHeight="1" x14ac:dyDescent="0.2">
      <c r="A58" t="s">
        <v>63</v>
      </c>
      <c r="B58" s="22">
        <v>0</v>
      </c>
      <c r="C58" s="22">
        <v>0</v>
      </c>
      <c r="D58" s="22">
        <v>0</v>
      </c>
      <c r="E58" s="22">
        <v>0</v>
      </c>
      <c r="F58" s="22">
        <v>2</v>
      </c>
      <c r="G58" s="22">
        <v>0</v>
      </c>
      <c r="H58" s="22">
        <v>0</v>
      </c>
      <c r="I58" s="22">
        <v>0</v>
      </c>
      <c r="J58">
        <f t="shared" si="0"/>
        <v>0</v>
      </c>
      <c r="K58">
        <f t="shared" si="1"/>
        <v>0</v>
      </c>
      <c r="L58">
        <f t="shared" si="2"/>
        <v>2</v>
      </c>
      <c r="M58">
        <f t="shared" si="3"/>
        <v>0</v>
      </c>
    </row>
    <row r="59" spans="1:13" ht="15" customHeight="1" x14ac:dyDescent="0.2">
      <c r="A59" t="s">
        <v>64</v>
      </c>
      <c r="B59" s="22">
        <v>0</v>
      </c>
      <c r="C59" s="22">
        <v>0</v>
      </c>
      <c r="D59" s="22">
        <v>0</v>
      </c>
      <c r="E59" s="22">
        <v>0</v>
      </c>
      <c r="F59" s="22">
        <v>2</v>
      </c>
      <c r="G59" s="22">
        <v>0</v>
      </c>
      <c r="H59" s="22">
        <v>0</v>
      </c>
      <c r="I59" s="22">
        <v>0</v>
      </c>
      <c r="J59">
        <f t="shared" si="0"/>
        <v>0</v>
      </c>
      <c r="K59">
        <f t="shared" si="1"/>
        <v>0</v>
      </c>
      <c r="L59">
        <f t="shared" si="2"/>
        <v>2</v>
      </c>
      <c r="M59">
        <f t="shared" si="3"/>
        <v>0</v>
      </c>
    </row>
    <row r="60" spans="1:13" ht="15" customHeight="1" x14ac:dyDescent="0.2">
      <c r="A60" t="s">
        <v>65</v>
      </c>
      <c r="B60" s="22">
        <v>0</v>
      </c>
      <c r="C60" s="22">
        <v>0</v>
      </c>
      <c r="D60" s="22">
        <v>0</v>
      </c>
      <c r="E60" s="22">
        <v>1</v>
      </c>
      <c r="F60" s="22">
        <v>0</v>
      </c>
      <c r="G60" s="22">
        <v>0</v>
      </c>
      <c r="H60" s="22">
        <v>0</v>
      </c>
      <c r="I60" s="22">
        <v>0</v>
      </c>
      <c r="J60">
        <f t="shared" si="0"/>
        <v>1</v>
      </c>
      <c r="K60">
        <f t="shared" si="1"/>
        <v>0</v>
      </c>
      <c r="L60">
        <f t="shared" si="2"/>
        <v>0</v>
      </c>
      <c r="M60">
        <f t="shared" si="3"/>
        <v>0</v>
      </c>
    </row>
    <row r="61" spans="1:13" ht="15" customHeight="1" x14ac:dyDescent="0.2">
      <c r="A61" t="s">
        <v>66</v>
      </c>
      <c r="B61" s="22">
        <v>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>
        <f t="shared" si="0"/>
        <v>0</v>
      </c>
      <c r="K61">
        <f t="shared" si="1"/>
        <v>0</v>
      </c>
      <c r="L61">
        <f t="shared" si="2"/>
        <v>0</v>
      </c>
      <c r="M61">
        <f t="shared" si="3"/>
        <v>0</v>
      </c>
    </row>
    <row r="62" spans="1:13" ht="15" customHeight="1" x14ac:dyDescent="0.2">
      <c r="A62" t="s">
        <v>67</v>
      </c>
      <c r="B62" s="22">
        <v>0</v>
      </c>
      <c r="C62" s="22">
        <v>1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>
        <f t="shared" si="0"/>
        <v>0</v>
      </c>
      <c r="K62">
        <f t="shared" si="1"/>
        <v>1</v>
      </c>
      <c r="L62">
        <f t="shared" si="2"/>
        <v>0</v>
      </c>
      <c r="M62">
        <f t="shared" si="3"/>
        <v>0</v>
      </c>
    </row>
    <row r="63" spans="1:13" ht="15" customHeight="1" x14ac:dyDescent="0.2">
      <c r="A63" t="s">
        <v>68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>
        <f t="shared" si="0"/>
        <v>0</v>
      </c>
      <c r="K63">
        <f t="shared" si="1"/>
        <v>0</v>
      </c>
      <c r="L63">
        <f t="shared" si="2"/>
        <v>0</v>
      </c>
      <c r="M63">
        <f t="shared" si="3"/>
        <v>0</v>
      </c>
    </row>
    <row r="64" spans="1:13" ht="15" customHeight="1" x14ac:dyDescent="0.2">
      <c r="A64" t="s">
        <v>69</v>
      </c>
      <c r="B64" s="22">
        <v>0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>
        <f t="shared" si="0"/>
        <v>0</v>
      </c>
      <c r="K64">
        <f t="shared" si="1"/>
        <v>0</v>
      </c>
      <c r="L64">
        <f t="shared" si="2"/>
        <v>0</v>
      </c>
      <c r="M64">
        <f t="shared" si="3"/>
        <v>0</v>
      </c>
    </row>
    <row r="65" spans="1:13" ht="15" customHeight="1" x14ac:dyDescent="0.2">
      <c r="A65" t="s">
        <v>70</v>
      </c>
      <c r="B65" s="22">
        <v>0</v>
      </c>
      <c r="C65" s="22">
        <v>0</v>
      </c>
      <c r="D65" s="22">
        <v>0</v>
      </c>
      <c r="E65" s="22">
        <v>0</v>
      </c>
      <c r="F65" s="22">
        <v>1</v>
      </c>
      <c r="G65" s="22">
        <v>0</v>
      </c>
      <c r="H65" s="22">
        <v>0</v>
      </c>
      <c r="I65" s="22">
        <v>0</v>
      </c>
      <c r="J65">
        <f t="shared" si="0"/>
        <v>0</v>
      </c>
      <c r="K65">
        <f t="shared" si="1"/>
        <v>0</v>
      </c>
      <c r="L65">
        <f t="shared" si="2"/>
        <v>1</v>
      </c>
      <c r="M65">
        <f t="shared" si="3"/>
        <v>0</v>
      </c>
    </row>
    <row r="66" spans="1:13" ht="15" customHeight="1" x14ac:dyDescent="0.2">
      <c r="A66" t="s">
        <v>71</v>
      </c>
      <c r="B66" s="22">
        <v>0</v>
      </c>
      <c r="C66" s="22">
        <v>1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1</v>
      </c>
      <c r="J66">
        <f t="shared" si="0"/>
        <v>0</v>
      </c>
      <c r="K66">
        <f t="shared" si="1"/>
        <v>2</v>
      </c>
      <c r="L66">
        <f t="shared" si="2"/>
        <v>0</v>
      </c>
      <c r="M66">
        <f t="shared" si="3"/>
        <v>0</v>
      </c>
    </row>
    <row r="67" spans="1:13" ht="15" customHeight="1" x14ac:dyDescent="0.2">
      <c r="A67" t="s">
        <v>72</v>
      </c>
      <c r="B67" s="22">
        <v>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>
        <f t="shared" si="0"/>
        <v>0</v>
      </c>
      <c r="K67">
        <f t="shared" si="1"/>
        <v>0</v>
      </c>
      <c r="L67">
        <f t="shared" si="2"/>
        <v>0</v>
      </c>
      <c r="M67">
        <f t="shared" si="3"/>
        <v>0</v>
      </c>
    </row>
    <row r="68" spans="1:13" ht="15" customHeight="1" x14ac:dyDescent="0.2">
      <c r="A68" t="s">
        <v>73</v>
      </c>
      <c r="B68" s="22">
        <v>0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>
        <f t="shared" si="0"/>
        <v>0</v>
      </c>
      <c r="K68">
        <f t="shared" si="1"/>
        <v>0</v>
      </c>
      <c r="L68">
        <f t="shared" si="2"/>
        <v>0</v>
      </c>
      <c r="M68">
        <f t="shared" si="3"/>
        <v>0</v>
      </c>
    </row>
    <row r="69" spans="1:13" ht="15" customHeight="1" x14ac:dyDescent="0.2">
      <c r="A69" t="s">
        <v>74</v>
      </c>
      <c r="B69" s="22">
        <v>0</v>
      </c>
      <c r="C69" s="22">
        <v>0</v>
      </c>
      <c r="D69" s="22">
        <v>0</v>
      </c>
      <c r="E69" s="22">
        <v>0</v>
      </c>
      <c r="F69" s="22">
        <v>0</v>
      </c>
      <c r="G69" s="22">
        <v>1</v>
      </c>
      <c r="H69" s="22">
        <v>0</v>
      </c>
      <c r="I69" s="22">
        <v>0</v>
      </c>
      <c r="J69">
        <f t="shared" si="0"/>
        <v>1</v>
      </c>
      <c r="K69">
        <f t="shared" si="1"/>
        <v>0</v>
      </c>
      <c r="L69">
        <f t="shared" si="2"/>
        <v>0</v>
      </c>
      <c r="M69">
        <f t="shared" si="3"/>
        <v>0</v>
      </c>
    </row>
    <row r="70" spans="1:13" ht="15" customHeight="1" x14ac:dyDescent="0.2">
      <c r="A70" t="s">
        <v>75</v>
      </c>
      <c r="B70" s="22">
        <v>0</v>
      </c>
      <c r="C70" s="22">
        <v>0</v>
      </c>
      <c r="D70" s="22">
        <v>0</v>
      </c>
      <c r="E70" s="22">
        <v>0</v>
      </c>
      <c r="F70" s="22">
        <v>1</v>
      </c>
      <c r="G70" s="22">
        <v>0</v>
      </c>
      <c r="H70" s="22">
        <v>0</v>
      </c>
      <c r="I70" s="22">
        <v>0</v>
      </c>
      <c r="J70">
        <f t="shared" si="0"/>
        <v>0</v>
      </c>
      <c r="K70">
        <f t="shared" si="1"/>
        <v>0</v>
      </c>
      <c r="L70">
        <f t="shared" si="2"/>
        <v>1</v>
      </c>
      <c r="M70">
        <f t="shared" si="3"/>
        <v>0</v>
      </c>
    </row>
    <row r="71" spans="1:13" ht="15" customHeight="1" x14ac:dyDescent="0.2">
      <c r="A71" t="s">
        <v>76</v>
      </c>
      <c r="B71" s="22">
        <v>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>
        <f t="shared" si="0"/>
        <v>0</v>
      </c>
      <c r="K71">
        <f t="shared" si="1"/>
        <v>0</v>
      </c>
      <c r="L71">
        <f t="shared" si="2"/>
        <v>0</v>
      </c>
      <c r="M71">
        <f t="shared" si="3"/>
        <v>0</v>
      </c>
    </row>
    <row r="72" spans="1:13" ht="15" customHeight="1" x14ac:dyDescent="0.2">
      <c r="A72" t="s">
        <v>77</v>
      </c>
      <c r="B72" s="22">
        <v>0</v>
      </c>
      <c r="C72" s="22">
        <v>0</v>
      </c>
      <c r="D72" s="22">
        <v>1</v>
      </c>
      <c r="E72" s="22">
        <v>0</v>
      </c>
      <c r="F72" s="22">
        <v>0</v>
      </c>
      <c r="G72" s="22">
        <v>0</v>
      </c>
      <c r="H72" s="22">
        <v>0</v>
      </c>
      <c r="I72" s="22">
        <v>1</v>
      </c>
      <c r="J72">
        <f t="shared" si="0"/>
        <v>0</v>
      </c>
      <c r="K72">
        <f t="shared" si="1"/>
        <v>1</v>
      </c>
      <c r="L72">
        <f t="shared" si="2"/>
        <v>1</v>
      </c>
      <c r="M72">
        <f t="shared" si="3"/>
        <v>0</v>
      </c>
    </row>
    <row r="73" spans="1:13" ht="15" customHeight="1" x14ac:dyDescent="0.2">
      <c r="A73" t="s">
        <v>78</v>
      </c>
      <c r="B73" s="22">
        <v>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>
        <f t="shared" si="0"/>
        <v>0</v>
      </c>
      <c r="K73">
        <f t="shared" si="1"/>
        <v>0</v>
      </c>
      <c r="L73">
        <f t="shared" si="2"/>
        <v>0</v>
      </c>
      <c r="M73">
        <f t="shared" si="3"/>
        <v>0</v>
      </c>
    </row>
    <row r="74" spans="1:13" ht="15" customHeight="1" x14ac:dyDescent="0.2">
      <c r="A74" t="s">
        <v>79</v>
      </c>
      <c r="B74" s="22">
        <v>0</v>
      </c>
      <c r="C74" s="22">
        <v>1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>
        <f t="shared" si="0"/>
        <v>0</v>
      </c>
      <c r="K74">
        <f t="shared" si="1"/>
        <v>1</v>
      </c>
      <c r="L74">
        <f t="shared" si="2"/>
        <v>0</v>
      </c>
      <c r="M74">
        <f t="shared" si="3"/>
        <v>0</v>
      </c>
    </row>
    <row r="75" spans="1:13" ht="15" customHeight="1" x14ac:dyDescent="0.2">
      <c r="A75" t="s">
        <v>80</v>
      </c>
      <c r="B75" s="22">
        <v>0</v>
      </c>
      <c r="C75" s="22">
        <v>0</v>
      </c>
      <c r="D75" s="22">
        <v>0</v>
      </c>
      <c r="E75" s="22">
        <v>1</v>
      </c>
      <c r="F75" s="22">
        <v>0</v>
      </c>
      <c r="G75" s="22">
        <v>0</v>
      </c>
      <c r="H75" s="22">
        <v>1</v>
      </c>
      <c r="I75" s="22">
        <v>0</v>
      </c>
      <c r="J75">
        <f t="shared" ref="J75:J138" si="4">SUM(E75,G75)</f>
        <v>1</v>
      </c>
      <c r="K75">
        <f t="shared" ref="K75:K138" si="5">SUM(C75,I75)</f>
        <v>0</v>
      </c>
      <c r="L75">
        <f t="shared" ref="L75:L138" si="6">SUM(D75,F75)</f>
        <v>0</v>
      </c>
      <c r="M75">
        <f t="shared" ref="M75:M138" si="7">SUM(B75,H75)</f>
        <v>1</v>
      </c>
    </row>
    <row r="76" spans="1:13" ht="15" customHeight="1" x14ac:dyDescent="0.2">
      <c r="A76" t="s">
        <v>81</v>
      </c>
      <c r="B76" s="22">
        <v>0</v>
      </c>
      <c r="C76" s="22">
        <v>0</v>
      </c>
      <c r="D76" s="22">
        <v>0</v>
      </c>
      <c r="E76" s="22">
        <v>0</v>
      </c>
      <c r="F76" s="22">
        <v>0</v>
      </c>
      <c r="G76" s="22">
        <v>1</v>
      </c>
      <c r="H76" s="22">
        <v>0</v>
      </c>
      <c r="I76" s="22">
        <v>0</v>
      </c>
      <c r="J76">
        <f t="shared" si="4"/>
        <v>1</v>
      </c>
      <c r="K76">
        <f t="shared" si="5"/>
        <v>0</v>
      </c>
      <c r="L76">
        <f t="shared" si="6"/>
        <v>0</v>
      </c>
      <c r="M76">
        <f t="shared" si="7"/>
        <v>0</v>
      </c>
    </row>
    <row r="77" spans="1:13" ht="15" customHeight="1" x14ac:dyDescent="0.2">
      <c r="A77" t="s">
        <v>82</v>
      </c>
      <c r="B77" s="22">
        <v>0</v>
      </c>
      <c r="C77" s="22">
        <v>0</v>
      </c>
      <c r="D77" s="22">
        <v>1</v>
      </c>
      <c r="E77" s="22">
        <v>0</v>
      </c>
      <c r="F77" s="22">
        <v>0</v>
      </c>
      <c r="G77" s="22">
        <v>0</v>
      </c>
      <c r="H77" s="22">
        <v>1</v>
      </c>
      <c r="I77" s="22">
        <v>0</v>
      </c>
      <c r="J77">
        <f t="shared" si="4"/>
        <v>0</v>
      </c>
      <c r="K77">
        <f t="shared" si="5"/>
        <v>0</v>
      </c>
      <c r="L77">
        <f t="shared" si="6"/>
        <v>1</v>
      </c>
      <c r="M77">
        <f t="shared" si="7"/>
        <v>1</v>
      </c>
    </row>
    <row r="78" spans="1:13" ht="15" customHeight="1" x14ac:dyDescent="0.2">
      <c r="A78" t="s">
        <v>83</v>
      </c>
      <c r="B78" s="22">
        <v>0</v>
      </c>
      <c r="C78" s="22">
        <v>0</v>
      </c>
      <c r="D78" s="22">
        <v>0</v>
      </c>
      <c r="E78" s="22">
        <v>0</v>
      </c>
      <c r="F78" s="22">
        <v>1</v>
      </c>
      <c r="G78" s="22">
        <v>0</v>
      </c>
      <c r="H78" s="22">
        <v>0</v>
      </c>
      <c r="I78" s="22">
        <v>0</v>
      </c>
      <c r="J78">
        <f t="shared" si="4"/>
        <v>0</v>
      </c>
      <c r="K78">
        <f t="shared" si="5"/>
        <v>0</v>
      </c>
      <c r="L78">
        <f t="shared" si="6"/>
        <v>1</v>
      </c>
      <c r="M78">
        <f t="shared" si="7"/>
        <v>0</v>
      </c>
    </row>
    <row r="79" spans="1:13" ht="15" customHeight="1" x14ac:dyDescent="0.2">
      <c r="A79" t="s">
        <v>84</v>
      </c>
      <c r="B79" s="22">
        <v>0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>
        <f t="shared" si="4"/>
        <v>0</v>
      </c>
      <c r="K79">
        <f t="shared" si="5"/>
        <v>0</v>
      </c>
      <c r="L79">
        <f t="shared" si="6"/>
        <v>0</v>
      </c>
      <c r="M79">
        <f t="shared" si="7"/>
        <v>0</v>
      </c>
    </row>
    <row r="80" spans="1:13" ht="15" customHeight="1" x14ac:dyDescent="0.2">
      <c r="A80" t="s">
        <v>85</v>
      </c>
      <c r="B80" s="22">
        <v>0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>
        <f t="shared" si="4"/>
        <v>0</v>
      </c>
      <c r="K80">
        <f t="shared" si="5"/>
        <v>0</v>
      </c>
      <c r="L80">
        <f t="shared" si="6"/>
        <v>0</v>
      </c>
      <c r="M80">
        <f t="shared" si="7"/>
        <v>0</v>
      </c>
    </row>
    <row r="81" spans="1:13" ht="15" customHeight="1" x14ac:dyDescent="0.2">
      <c r="A81" t="s">
        <v>86</v>
      </c>
      <c r="B81" s="22">
        <v>1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>
        <f t="shared" si="4"/>
        <v>0</v>
      </c>
      <c r="K81">
        <f t="shared" si="5"/>
        <v>0</v>
      </c>
      <c r="L81">
        <f t="shared" si="6"/>
        <v>0</v>
      </c>
      <c r="M81">
        <f t="shared" si="7"/>
        <v>1</v>
      </c>
    </row>
    <row r="82" spans="1:13" ht="15" customHeight="1" x14ac:dyDescent="0.2">
      <c r="A82" t="s">
        <v>87</v>
      </c>
      <c r="B82" s="22">
        <v>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>
        <f t="shared" si="4"/>
        <v>0</v>
      </c>
      <c r="K82">
        <f t="shared" si="5"/>
        <v>0</v>
      </c>
      <c r="L82">
        <f t="shared" si="6"/>
        <v>0</v>
      </c>
      <c r="M82">
        <f t="shared" si="7"/>
        <v>0</v>
      </c>
    </row>
    <row r="83" spans="1:13" ht="15" customHeight="1" x14ac:dyDescent="0.2">
      <c r="A83" t="s">
        <v>88</v>
      </c>
      <c r="B83" s="22">
        <v>0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>
        <f t="shared" si="4"/>
        <v>0</v>
      </c>
      <c r="K83">
        <f t="shared" si="5"/>
        <v>0</v>
      </c>
      <c r="L83">
        <f t="shared" si="6"/>
        <v>0</v>
      </c>
      <c r="M83">
        <f t="shared" si="7"/>
        <v>0</v>
      </c>
    </row>
    <row r="84" spans="1:13" ht="15" customHeight="1" x14ac:dyDescent="0.2">
      <c r="A84" t="s">
        <v>89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1</v>
      </c>
      <c r="H84" s="22">
        <v>0</v>
      </c>
      <c r="I84" s="22">
        <v>2</v>
      </c>
      <c r="J84">
        <f t="shared" si="4"/>
        <v>1</v>
      </c>
      <c r="K84">
        <f t="shared" si="5"/>
        <v>2</v>
      </c>
      <c r="L84">
        <f t="shared" si="6"/>
        <v>0</v>
      </c>
      <c r="M84">
        <f t="shared" si="7"/>
        <v>0</v>
      </c>
    </row>
    <row r="85" spans="1:13" ht="15" customHeight="1" x14ac:dyDescent="0.2">
      <c r="A85" t="s">
        <v>90</v>
      </c>
      <c r="B85" s="22">
        <v>0</v>
      </c>
      <c r="C85" s="22">
        <v>0</v>
      </c>
      <c r="D85" s="22">
        <v>0</v>
      </c>
      <c r="E85" s="22">
        <v>1</v>
      </c>
      <c r="F85" s="22">
        <v>0</v>
      </c>
      <c r="G85" s="22">
        <v>0</v>
      </c>
      <c r="H85" s="22">
        <v>0</v>
      </c>
      <c r="I85" s="22">
        <v>0</v>
      </c>
      <c r="J85">
        <f t="shared" si="4"/>
        <v>1</v>
      </c>
      <c r="K85">
        <f t="shared" si="5"/>
        <v>0</v>
      </c>
      <c r="L85">
        <f t="shared" si="6"/>
        <v>0</v>
      </c>
      <c r="M85">
        <f t="shared" si="7"/>
        <v>0</v>
      </c>
    </row>
    <row r="86" spans="1:13" ht="15" customHeight="1" x14ac:dyDescent="0.2">
      <c r="A86" t="s">
        <v>91</v>
      </c>
      <c r="B86" s="22">
        <v>0</v>
      </c>
      <c r="C86" s="22">
        <v>1</v>
      </c>
      <c r="D86" s="22">
        <v>0</v>
      </c>
      <c r="E86" s="22">
        <v>1</v>
      </c>
      <c r="F86" s="22">
        <v>0</v>
      </c>
      <c r="G86" s="22">
        <v>0</v>
      </c>
      <c r="H86" s="22">
        <v>0</v>
      </c>
      <c r="I86" s="22">
        <v>0</v>
      </c>
      <c r="J86">
        <f t="shared" si="4"/>
        <v>1</v>
      </c>
      <c r="K86">
        <f t="shared" si="5"/>
        <v>1</v>
      </c>
      <c r="L86">
        <f t="shared" si="6"/>
        <v>0</v>
      </c>
      <c r="M86">
        <f t="shared" si="7"/>
        <v>0</v>
      </c>
    </row>
    <row r="87" spans="1:13" ht="15" customHeight="1" x14ac:dyDescent="0.2">
      <c r="A87" t="s">
        <v>92</v>
      </c>
      <c r="B87" s="22">
        <v>0</v>
      </c>
      <c r="C87" s="22">
        <v>0</v>
      </c>
      <c r="D87" s="22">
        <v>0</v>
      </c>
      <c r="E87" s="22">
        <v>0</v>
      </c>
      <c r="F87" s="22">
        <v>1</v>
      </c>
      <c r="G87" s="22">
        <v>0</v>
      </c>
      <c r="H87" s="22">
        <v>0</v>
      </c>
      <c r="I87" s="22">
        <v>0</v>
      </c>
      <c r="J87">
        <f t="shared" si="4"/>
        <v>0</v>
      </c>
      <c r="K87">
        <f t="shared" si="5"/>
        <v>0</v>
      </c>
      <c r="L87">
        <f t="shared" si="6"/>
        <v>1</v>
      </c>
      <c r="M87">
        <f t="shared" si="7"/>
        <v>0</v>
      </c>
    </row>
    <row r="88" spans="1:13" ht="15" customHeight="1" x14ac:dyDescent="0.2">
      <c r="A88" t="s">
        <v>93</v>
      </c>
      <c r="B88" s="22">
        <v>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>
        <f t="shared" si="4"/>
        <v>0</v>
      </c>
      <c r="K88">
        <f t="shared" si="5"/>
        <v>0</v>
      </c>
      <c r="L88">
        <f t="shared" si="6"/>
        <v>0</v>
      </c>
      <c r="M88">
        <f t="shared" si="7"/>
        <v>0</v>
      </c>
    </row>
    <row r="89" spans="1:13" ht="15" customHeight="1" x14ac:dyDescent="0.2">
      <c r="A89" t="s">
        <v>94</v>
      </c>
      <c r="B89" s="22">
        <v>0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>
        <f t="shared" si="4"/>
        <v>0</v>
      </c>
      <c r="K89">
        <f t="shared" si="5"/>
        <v>0</v>
      </c>
      <c r="L89">
        <f t="shared" si="6"/>
        <v>0</v>
      </c>
      <c r="M89">
        <f t="shared" si="7"/>
        <v>0</v>
      </c>
    </row>
    <row r="90" spans="1:13" ht="15" customHeight="1" x14ac:dyDescent="0.2">
      <c r="A90" t="s">
        <v>95</v>
      </c>
      <c r="B90" s="22">
        <v>0</v>
      </c>
      <c r="C90" s="22">
        <v>0</v>
      </c>
      <c r="D90" s="22">
        <v>1</v>
      </c>
      <c r="E90" s="22">
        <v>1</v>
      </c>
      <c r="F90" s="22">
        <v>0</v>
      </c>
      <c r="G90" s="22">
        <v>0</v>
      </c>
      <c r="H90" s="22">
        <v>0</v>
      </c>
      <c r="I90" s="22">
        <v>1</v>
      </c>
      <c r="J90">
        <f t="shared" si="4"/>
        <v>1</v>
      </c>
      <c r="K90">
        <f t="shared" si="5"/>
        <v>1</v>
      </c>
      <c r="L90">
        <f t="shared" si="6"/>
        <v>1</v>
      </c>
      <c r="M90">
        <f t="shared" si="7"/>
        <v>0</v>
      </c>
    </row>
    <row r="91" spans="1:13" ht="15" customHeight="1" x14ac:dyDescent="0.2">
      <c r="A91" t="s">
        <v>96</v>
      </c>
      <c r="B91" s="22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>
        <f t="shared" si="4"/>
        <v>0</v>
      </c>
      <c r="K91">
        <f t="shared" si="5"/>
        <v>0</v>
      </c>
      <c r="L91">
        <f t="shared" si="6"/>
        <v>0</v>
      </c>
      <c r="M91">
        <f t="shared" si="7"/>
        <v>0</v>
      </c>
    </row>
    <row r="92" spans="1:13" ht="15" customHeight="1" x14ac:dyDescent="0.2">
      <c r="A92" t="s">
        <v>97</v>
      </c>
      <c r="B92" s="22">
        <v>0</v>
      </c>
      <c r="C92" s="22">
        <v>0</v>
      </c>
      <c r="D92" s="22">
        <v>0</v>
      </c>
      <c r="E92" s="22">
        <v>0</v>
      </c>
      <c r="F92" s="22">
        <v>0</v>
      </c>
      <c r="G92" s="22">
        <v>0</v>
      </c>
      <c r="H92" s="22">
        <v>0</v>
      </c>
      <c r="I92" s="22">
        <v>0</v>
      </c>
      <c r="J92">
        <f t="shared" si="4"/>
        <v>0</v>
      </c>
      <c r="K92">
        <f t="shared" si="5"/>
        <v>0</v>
      </c>
      <c r="L92">
        <f t="shared" si="6"/>
        <v>0</v>
      </c>
      <c r="M92">
        <f t="shared" si="7"/>
        <v>0</v>
      </c>
    </row>
    <row r="93" spans="1:13" ht="15" customHeight="1" x14ac:dyDescent="0.2">
      <c r="A93" t="s">
        <v>98</v>
      </c>
      <c r="B93" s="22">
        <v>0</v>
      </c>
      <c r="C93" s="22"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>
        <f t="shared" si="4"/>
        <v>0</v>
      </c>
      <c r="K93">
        <f t="shared" si="5"/>
        <v>0</v>
      </c>
      <c r="L93">
        <f t="shared" si="6"/>
        <v>0</v>
      </c>
      <c r="M93">
        <f t="shared" si="7"/>
        <v>0</v>
      </c>
    </row>
    <row r="94" spans="1:13" ht="15" customHeight="1" x14ac:dyDescent="0.2">
      <c r="A94" t="s">
        <v>99</v>
      </c>
      <c r="B94" s="22">
        <v>0</v>
      </c>
      <c r="C94" s="22">
        <v>0</v>
      </c>
      <c r="D94" s="22">
        <v>0</v>
      </c>
      <c r="E94" s="22">
        <v>0</v>
      </c>
      <c r="F94" s="22">
        <v>0</v>
      </c>
      <c r="G94" s="22">
        <v>0</v>
      </c>
      <c r="H94" s="22">
        <v>0</v>
      </c>
      <c r="I94" s="22">
        <v>2</v>
      </c>
      <c r="J94">
        <f t="shared" si="4"/>
        <v>0</v>
      </c>
      <c r="K94">
        <f t="shared" si="5"/>
        <v>2</v>
      </c>
      <c r="L94">
        <f t="shared" si="6"/>
        <v>0</v>
      </c>
      <c r="M94">
        <f t="shared" si="7"/>
        <v>0</v>
      </c>
    </row>
    <row r="95" spans="1:13" ht="15" customHeight="1" x14ac:dyDescent="0.2">
      <c r="A95" t="s">
        <v>100</v>
      </c>
      <c r="B95" s="22">
        <v>0</v>
      </c>
      <c r="C95" s="22"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>
        <f t="shared" si="4"/>
        <v>0</v>
      </c>
      <c r="K95">
        <f t="shared" si="5"/>
        <v>0</v>
      </c>
      <c r="L95">
        <f t="shared" si="6"/>
        <v>0</v>
      </c>
      <c r="M95">
        <f t="shared" si="7"/>
        <v>0</v>
      </c>
    </row>
    <row r="96" spans="1:13" ht="15" customHeight="1" x14ac:dyDescent="0.2">
      <c r="A96" t="s">
        <v>101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1</v>
      </c>
      <c r="I96" s="22">
        <v>0</v>
      </c>
      <c r="J96">
        <f t="shared" si="4"/>
        <v>0</v>
      </c>
      <c r="K96">
        <f t="shared" si="5"/>
        <v>0</v>
      </c>
      <c r="L96">
        <f t="shared" si="6"/>
        <v>0</v>
      </c>
      <c r="M96">
        <f t="shared" si="7"/>
        <v>1</v>
      </c>
    </row>
    <row r="97" spans="1:13" ht="15" customHeight="1" x14ac:dyDescent="0.2">
      <c r="A97" t="s">
        <v>102</v>
      </c>
      <c r="B97" s="22">
        <v>0</v>
      </c>
      <c r="C97" s="22">
        <v>0</v>
      </c>
      <c r="D97" s="22">
        <v>0</v>
      </c>
      <c r="E97" s="22">
        <v>0</v>
      </c>
      <c r="F97" s="22">
        <v>0</v>
      </c>
      <c r="G97" s="22">
        <v>2</v>
      </c>
      <c r="H97" s="22">
        <v>0</v>
      </c>
      <c r="I97" s="22">
        <v>0</v>
      </c>
      <c r="J97">
        <f t="shared" si="4"/>
        <v>2</v>
      </c>
      <c r="K97">
        <f t="shared" si="5"/>
        <v>0</v>
      </c>
      <c r="L97">
        <f t="shared" si="6"/>
        <v>0</v>
      </c>
      <c r="M97">
        <f t="shared" si="7"/>
        <v>0</v>
      </c>
    </row>
    <row r="98" spans="1:13" ht="15" customHeight="1" x14ac:dyDescent="0.2">
      <c r="A98" t="s">
        <v>103</v>
      </c>
      <c r="B98" s="22">
        <v>0</v>
      </c>
      <c r="C98" s="22">
        <v>0</v>
      </c>
      <c r="D98" s="22">
        <v>1</v>
      </c>
      <c r="E98" s="22">
        <v>0</v>
      </c>
      <c r="F98" s="22">
        <v>0</v>
      </c>
      <c r="G98" s="22">
        <v>0</v>
      </c>
      <c r="H98" s="22">
        <v>0</v>
      </c>
      <c r="I98" s="22">
        <v>1</v>
      </c>
      <c r="J98">
        <f t="shared" si="4"/>
        <v>0</v>
      </c>
      <c r="K98">
        <f t="shared" si="5"/>
        <v>1</v>
      </c>
      <c r="L98">
        <f t="shared" si="6"/>
        <v>1</v>
      </c>
      <c r="M98">
        <f t="shared" si="7"/>
        <v>0</v>
      </c>
    </row>
    <row r="99" spans="1:13" ht="15" customHeight="1" x14ac:dyDescent="0.2">
      <c r="A99" t="s">
        <v>104</v>
      </c>
      <c r="B99" s="22">
        <v>0</v>
      </c>
      <c r="C99" s="22"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>
        <f t="shared" si="4"/>
        <v>0</v>
      </c>
      <c r="K99">
        <f t="shared" si="5"/>
        <v>0</v>
      </c>
      <c r="L99">
        <f t="shared" si="6"/>
        <v>0</v>
      </c>
      <c r="M99">
        <f t="shared" si="7"/>
        <v>0</v>
      </c>
    </row>
    <row r="100" spans="1:13" ht="15" customHeight="1" x14ac:dyDescent="0.2">
      <c r="A100" t="s">
        <v>105</v>
      </c>
      <c r="B100" s="22">
        <v>0</v>
      </c>
      <c r="C100" s="22">
        <v>0</v>
      </c>
      <c r="D100" s="22">
        <v>0</v>
      </c>
      <c r="E100" s="22">
        <v>0</v>
      </c>
      <c r="F100" s="22">
        <v>0</v>
      </c>
      <c r="G100" s="22">
        <v>0</v>
      </c>
      <c r="H100" s="22">
        <v>0</v>
      </c>
      <c r="I100" s="22">
        <v>0</v>
      </c>
      <c r="J100">
        <f t="shared" si="4"/>
        <v>0</v>
      </c>
      <c r="K100">
        <f t="shared" si="5"/>
        <v>0</v>
      </c>
      <c r="L100">
        <f t="shared" si="6"/>
        <v>0</v>
      </c>
      <c r="M100">
        <f t="shared" si="7"/>
        <v>0</v>
      </c>
    </row>
    <row r="101" spans="1:13" ht="15" customHeight="1" x14ac:dyDescent="0.2">
      <c r="A101" t="s">
        <v>106</v>
      </c>
      <c r="B101" s="22">
        <v>0</v>
      </c>
      <c r="C101" s="22">
        <v>0</v>
      </c>
      <c r="D101" s="22">
        <v>1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>
        <f t="shared" si="4"/>
        <v>0</v>
      </c>
      <c r="K101">
        <f t="shared" si="5"/>
        <v>0</v>
      </c>
      <c r="L101">
        <f t="shared" si="6"/>
        <v>1</v>
      </c>
      <c r="M101">
        <f t="shared" si="7"/>
        <v>0</v>
      </c>
    </row>
    <row r="102" spans="1:13" ht="15" customHeight="1" x14ac:dyDescent="0.2">
      <c r="A102" t="s">
        <v>107</v>
      </c>
      <c r="B102" s="22">
        <v>0</v>
      </c>
      <c r="C102" s="22">
        <v>0</v>
      </c>
      <c r="D102" s="22">
        <v>0</v>
      </c>
      <c r="E102" s="22">
        <v>0</v>
      </c>
      <c r="F102" s="22">
        <v>0</v>
      </c>
      <c r="G102" s="22">
        <v>0</v>
      </c>
      <c r="H102" s="22">
        <v>0</v>
      </c>
      <c r="I102" s="22">
        <v>0</v>
      </c>
      <c r="J102">
        <f t="shared" si="4"/>
        <v>0</v>
      </c>
      <c r="K102">
        <f t="shared" si="5"/>
        <v>0</v>
      </c>
      <c r="L102">
        <f t="shared" si="6"/>
        <v>0</v>
      </c>
      <c r="M102">
        <f t="shared" si="7"/>
        <v>0</v>
      </c>
    </row>
    <row r="103" spans="1:13" ht="15" customHeight="1" x14ac:dyDescent="0.2">
      <c r="A103" t="s">
        <v>108</v>
      </c>
      <c r="B103" s="22">
        <v>0</v>
      </c>
      <c r="C103" s="22"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>
        <f t="shared" si="4"/>
        <v>0</v>
      </c>
      <c r="K103">
        <f t="shared" si="5"/>
        <v>0</v>
      </c>
      <c r="L103">
        <f t="shared" si="6"/>
        <v>0</v>
      </c>
      <c r="M103">
        <f t="shared" si="7"/>
        <v>0</v>
      </c>
    </row>
    <row r="104" spans="1:13" ht="15" customHeight="1" x14ac:dyDescent="0.2">
      <c r="A104" t="s">
        <v>109</v>
      </c>
      <c r="B104" s="22">
        <v>0</v>
      </c>
      <c r="C104" s="22">
        <v>0</v>
      </c>
      <c r="D104" s="22">
        <v>0</v>
      </c>
      <c r="E104" s="22">
        <v>2</v>
      </c>
      <c r="F104" s="22">
        <v>0</v>
      </c>
      <c r="G104" s="22">
        <v>0</v>
      </c>
      <c r="H104" s="22">
        <v>0</v>
      </c>
      <c r="I104" s="22">
        <v>0</v>
      </c>
      <c r="J104">
        <f t="shared" si="4"/>
        <v>2</v>
      </c>
      <c r="K104">
        <f t="shared" si="5"/>
        <v>0</v>
      </c>
      <c r="L104">
        <f t="shared" si="6"/>
        <v>0</v>
      </c>
      <c r="M104">
        <f t="shared" si="7"/>
        <v>0</v>
      </c>
    </row>
    <row r="105" spans="1:13" ht="15" customHeight="1" x14ac:dyDescent="0.2">
      <c r="A105" t="s">
        <v>110</v>
      </c>
      <c r="B105" s="22">
        <v>0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>
        <f t="shared" si="4"/>
        <v>0</v>
      </c>
      <c r="K105">
        <f t="shared" si="5"/>
        <v>0</v>
      </c>
      <c r="L105">
        <f t="shared" si="6"/>
        <v>0</v>
      </c>
      <c r="M105">
        <f t="shared" si="7"/>
        <v>0</v>
      </c>
    </row>
    <row r="106" spans="1:13" ht="15" customHeight="1" x14ac:dyDescent="0.2">
      <c r="A106" t="s">
        <v>5</v>
      </c>
      <c r="B106" s="22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>
        <f t="shared" si="4"/>
        <v>0</v>
      </c>
      <c r="K106">
        <f t="shared" si="5"/>
        <v>0</v>
      </c>
      <c r="L106">
        <f t="shared" si="6"/>
        <v>0</v>
      </c>
      <c r="M106">
        <f t="shared" si="7"/>
        <v>0</v>
      </c>
    </row>
    <row r="107" spans="1:13" ht="15" customHeight="1" x14ac:dyDescent="0.2">
      <c r="A107" t="s">
        <v>16</v>
      </c>
      <c r="B107" s="22">
        <v>0</v>
      </c>
      <c r="C107" s="22"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>
        <f t="shared" si="4"/>
        <v>0</v>
      </c>
      <c r="K107">
        <f t="shared" si="5"/>
        <v>0</v>
      </c>
      <c r="L107">
        <f t="shared" si="6"/>
        <v>0</v>
      </c>
      <c r="M107">
        <f t="shared" si="7"/>
        <v>0</v>
      </c>
    </row>
    <row r="108" spans="1:13" ht="15" customHeight="1" x14ac:dyDescent="0.2">
      <c r="A108" t="s">
        <v>17</v>
      </c>
      <c r="B108" s="22">
        <v>0</v>
      </c>
      <c r="C108" s="22">
        <v>0</v>
      </c>
      <c r="D108" s="22">
        <v>0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>
        <f t="shared" si="4"/>
        <v>0</v>
      </c>
      <c r="K108">
        <f t="shared" si="5"/>
        <v>0</v>
      </c>
      <c r="L108">
        <f t="shared" si="6"/>
        <v>0</v>
      </c>
      <c r="M108">
        <f t="shared" si="7"/>
        <v>0</v>
      </c>
    </row>
    <row r="109" spans="1:13" ht="15" customHeight="1" x14ac:dyDescent="0.2">
      <c r="A109" t="s">
        <v>18</v>
      </c>
      <c r="B109" s="22">
        <v>0</v>
      </c>
      <c r="C109" s="22"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>
        <f t="shared" si="4"/>
        <v>0</v>
      </c>
      <c r="K109">
        <f t="shared" si="5"/>
        <v>0</v>
      </c>
      <c r="L109">
        <f t="shared" si="6"/>
        <v>0</v>
      </c>
      <c r="M109">
        <f t="shared" si="7"/>
        <v>0</v>
      </c>
    </row>
    <row r="110" spans="1:13" ht="15" customHeight="1" x14ac:dyDescent="0.2">
      <c r="A110" t="s">
        <v>19</v>
      </c>
      <c r="B110" s="22">
        <v>0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>
        <f t="shared" si="4"/>
        <v>0</v>
      </c>
      <c r="K110">
        <f t="shared" si="5"/>
        <v>0</v>
      </c>
      <c r="L110">
        <f t="shared" si="6"/>
        <v>0</v>
      </c>
      <c r="M110">
        <f t="shared" si="7"/>
        <v>0</v>
      </c>
    </row>
    <row r="111" spans="1:13" ht="15" customHeight="1" x14ac:dyDescent="0.2">
      <c r="A111" t="s">
        <v>20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>
        <f t="shared" si="4"/>
        <v>0</v>
      </c>
      <c r="K111">
        <f t="shared" si="5"/>
        <v>0</v>
      </c>
      <c r="L111">
        <f t="shared" si="6"/>
        <v>0</v>
      </c>
      <c r="M111">
        <f t="shared" si="7"/>
        <v>0</v>
      </c>
    </row>
    <row r="112" spans="1:13" ht="15" customHeight="1" x14ac:dyDescent="0.2">
      <c r="A112" t="s">
        <v>21</v>
      </c>
      <c r="B112" s="22">
        <v>0</v>
      </c>
      <c r="C112" s="22">
        <v>0</v>
      </c>
      <c r="D112" s="22">
        <v>0</v>
      </c>
      <c r="E112" s="22">
        <v>0</v>
      </c>
      <c r="F112" s="22">
        <v>0</v>
      </c>
      <c r="G112" s="22">
        <v>0</v>
      </c>
      <c r="H112" s="22">
        <v>0</v>
      </c>
      <c r="I112" s="22">
        <v>0</v>
      </c>
      <c r="J112">
        <f t="shared" si="4"/>
        <v>0</v>
      </c>
      <c r="K112">
        <f t="shared" si="5"/>
        <v>0</v>
      </c>
      <c r="L112">
        <f t="shared" si="6"/>
        <v>0</v>
      </c>
      <c r="M112">
        <f t="shared" si="7"/>
        <v>0</v>
      </c>
    </row>
    <row r="113" spans="1:13" ht="15" customHeight="1" x14ac:dyDescent="0.2">
      <c r="A113" t="s">
        <v>22</v>
      </c>
      <c r="B113" s="22">
        <v>0</v>
      </c>
      <c r="C113" s="22">
        <v>0</v>
      </c>
      <c r="D113" s="22">
        <v>0</v>
      </c>
      <c r="E113" s="22">
        <v>0</v>
      </c>
      <c r="F113" s="22">
        <v>0</v>
      </c>
      <c r="G113" s="22">
        <v>0</v>
      </c>
      <c r="H113" s="22">
        <v>0</v>
      </c>
      <c r="I113" s="22">
        <v>0</v>
      </c>
      <c r="J113">
        <f t="shared" si="4"/>
        <v>0</v>
      </c>
      <c r="K113">
        <f t="shared" si="5"/>
        <v>0</v>
      </c>
      <c r="L113">
        <f t="shared" si="6"/>
        <v>0</v>
      </c>
      <c r="M113">
        <f t="shared" si="7"/>
        <v>0</v>
      </c>
    </row>
    <row r="114" spans="1:13" ht="15" customHeight="1" x14ac:dyDescent="0.2">
      <c r="A114" t="s">
        <v>23</v>
      </c>
      <c r="B114" s="22">
        <v>0</v>
      </c>
      <c r="C114" s="22">
        <v>0</v>
      </c>
      <c r="D114" s="22">
        <v>0</v>
      </c>
      <c r="E114" s="22">
        <v>0</v>
      </c>
      <c r="F114" s="22">
        <v>0</v>
      </c>
      <c r="G114" s="22">
        <v>0</v>
      </c>
      <c r="H114" s="22">
        <v>0</v>
      </c>
      <c r="I114" s="22">
        <v>0</v>
      </c>
      <c r="J114">
        <f t="shared" si="4"/>
        <v>0</v>
      </c>
      <c r="K114">
        <f t="shared" si="5"/>
        <v>0</v>
      </c>
      <c r="L114">
        <f t="shared" si="6"/>
        <v>0</v>
      </c>
      <c r="M114">
        <f t="shared" si="7"/>
        <v>0</v>
      </c>
    </row>
    <row r="115" spans="1:13" ht="15" customHeight="1" x14ac:dyDescent="0.2">
      <c r="A115" t="s">
        <v>24</v>
      </c>
      <c r="B115" s="22">
        <v>0</v>
      </c>
      <c r="C115" s="22">
        <v>0</v>
      </c>
      <c r="D115" s="22">
        <v>0</v>
      </c>
      <c r="E115" s="22">
        <v>0</v>
      </c>
      <c r="F115" s="22">
        <v>0</v>
      </c>
      <c r="G115" s="22">
        <v>0</v>
      </c>
      <c r="H115" s="22">
        <v>0</v>
      </c>
      <c r="I115" s="22">
        <v>0</v>
      </c>
      <c r="J115">
        <f t="shared" si="4"/>
        <v>0</v>
      </c>
      <c r="K115">
        <f t="shared" si="5"/>
        <v>0</v>
      </c>
      <c r="L115">
        <f t="shared" si="6"/>
        <v>0</v>
      </c>
      <c r="M115">
        <f t="shared" si="7"/>
        <v>0</v>
      </c>
    </row>
    <row r="116" spans="1:13" ht="15" customHeight="1" x14ac:dyDescent="0.2">
      <c r="A116" t="s">
        <v>25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>
        <f t="shared" si="4"/>
        <v>0</v>
      </c>
      <c r="K116">
        <f t="shared" si="5"/>
        <v>0</v>
      </c>
      <c r="L116">
        <f t="shared" si="6"/>
        <v>0</v>
      </c>
      <c r="M116">
        <f t="shared" si="7"/>
        <v>0</v>
      </c>
    </row>
    <row r="117" spans="1:13" ht="15" customHeight="1" x14ac:dyDescent="0.2">
      <c r="A117" t="s">
        <v>26</v>
      </c>
      <c r="B117" s="22">
        <v>0</v>
      </c>
      <c r="C117" s="22">
        <v>0</v>
      </c>
      <c r="D117" s="22">
        <v>0</v>
      </c>
      <c r="E117" s="22">
        <v>0</v>
      </c>
      <c r="F117" s="22">
        <v>0</v>
      </c>
      <c r="G117" s="22">
        <v>0</v>
      </c>
      <c r="H117" s="22">
        <v>0</v>
      </c>
      <c r="I117" s="22">
        <v>0</v>
      </c>
      <c r="J117">
        <f t="shared" si="4"/>
        <v>0</v>
      </c>
      <c r="K117">
        <f t="shared" si="5"/>
        <v>0</v>
      </c>
      <c r="L117">
        <f t="shared" si="6"/>
        <v>0</v>
      </c>
      <c r="M117">
        <f t="shared" si="7"/>
        <v>0</v>
      </c>
    </row>
    <row r="118" spans="1:13" ht="15" customHeight="1" x14ac:dyDescent="0.2">
      <c r="A118" t="s">
        <v>27</v>
      </c>
      <c r="B118" s="22">
        <v>0</v>
      </c>
      <c r="C118" s="22">
        <v>0</v>
      </c>
      <c r="D118" s="22">
        <v>0</v>
      </c>
      <c r="E118" s="22">
        <v>0</v>
      </c>
      <c r="F118" s="22">
        <v>0</v>
      </c>
      <c r="G118" s="22">
        <v>0</v>
      </c>
      <c r="H118" s="22">
        <v>0</v>
      </c>
      <c r="I118" s="22">
        <v>0</v>
      </c>
      <c r="J118">
        <f t="shared" si="4"/>
        <v>0</v>
      </c>
      <c r="K118">
        <f t="shared" si="5"/>
        <v>0</v>
      </c>
      <c r="L118">
        <f t="shared" si="6"/>
        <v>0</v>
      </c>
      <c r="M118">
        <f t="shared" si="7"/>
        <v>0</v>
      </c>
    </row>
    <row r="119" spans="1:13" ht="15" customHeight="1" x14ac:dyDescent="0.2">
      <c r="A119" t="s">
        <v>28</v>
      </c>
      <c r="B119" s="22">
        <v>0</v>
      </c>
      <c r="C119" s="22">
        <v>0</v>
      </c>
      <c r="D119" s="22">
        <v>0</v>
      </c>
      <c r="E119" s="22">
        <v>0</v>
      </c>
      <c r="F119" s="22">
        <v>0</v>
      </c>
      <c r="G119" s="22">
        <v>0</v>
      </c>
      <c r="H119" s="22">
        <v>0</v>
      </c>
      <c r="I119" s="22">
        <v>0</v>
      </c>
      <c r="J119">
        <f t="shared" si="4"/>
        <v>0</v>
      </c>
      <c r="K119">
        <f t="shared" si="5"/>
        <v>0</v>
      </c>
      <c r="L119">
        <f t="shared" si="6"/>
        <v>0</v>
      </c>
      <c r="M119">
        <f t="shared" si="7"/>
        <v>0</v>
      </c>
    </row>
    <row r="120" spans="1:13" ht="15" customHeight="1" x14ac:dyDescent="0.2">
      <c r="A120" t="s">
        <v>29</v>
      </c>
      <c r="B120" s="22">
        <v>0</v>
      </c>
      <c r="C120" s="22">
        <v>0</v>
      </c>
      <c r="D120" s="22">
        <v>0</v>
      </c>
      <c r="E120" s="22">
        <v>0</v>
      </c>
      <c r="F120" s="22">
        <v>0</v>
      </c>
      <c r="G120" s="22">
        <v>0</v>
      </c>
      <c r="H120" s="22">
        <v>0</v>
      </c>
      <c r="I120" s="22">
        <v>0</v>
      </c>
      <c r="J120">
        <f t="shared" si="4"/>
        <v>0</v>
      </c>
      <c r="K120">
        <f t="shared" si="5"/>
        <v>0</v>
      </c>
      <c r="L120">
        <f t="shared" si="6"/>
        <v>0</v>
      </c>
      <c r="M120">
        <f t="shared" si="7"/>
        <v>0</v>
      </c>
    </row>
    <row r="121" spans="1:13" ht="15" customHeight="1" x14ac:dyDescent="0.2">
      <c r="A121" t="s">
        <v>30</v>
      </c>
      <c r="B121" s="22">
        <v>0</v>
      </c>
      <c r="C121" s="22">
        <v>0</v>
      </c>
      <c r="D121" s="22">
        <v>0</v>
      </c>
      <c r="E121" s="22">
        <v>0</v>
      </c>
      <c r="F121" s="22">
        <v>0</v>
      </c>
      <c r="G121" s="22">
        <v>0</v>
      </c>
      <c r="H121" s="22">
        <v>0</v>
      </c>
      <c r="I121" s="22">
        <v>0</v>
      </c>
      <c r="J121">
        <f t="shared" si="4"/>
        <v>0</v>
      </c>
      <c r="K121">
        <f t="shared" si="5"/>
        <v>0</v>
      </c>
      <c r="L121">
        <f t="shared" si="6"/>
        <v>0</v>
      </c>
      <c r="M121">
        <f t="shared" si="7"/>
        <v>0</v>
      </c>
    </row>
    <row r="122" spans="1:13" ht="15" customHeight="1" x14ac:dyDescent="0.2">
      <c r="A122" t="s">
        <v>31</v>
      </c>
      <c r="B122" s="22">
        <v>1</v>
      </c>
      <c r="C122" s="22">
        <v>0</v>
      </c>
      <c r="D122" s="22">
        <v>0</v>
      </c>
      <c r="E122" s="22">
        <v>0</v>
      </c>
      <c r="F122" s="22">
        <v>1</v>
      </c>
      <c r="G122" s="22">
        <v>0</v>
      </c>
      <c r="H122" s="22">
        <v>0</v>
      </c>
      <c r="I122" s="22">
        <v>0</v>
      </c>
      <c r="J122">
        <f t="shared" si="4"/>
        <v>0</v>
      </c>
      <c r="K122">
        <f t="shared" si="5"/>
        <v>0</v>
      </c>
      <c r="L122">
        <f t="shared" si="6"/>
        <v>1</v>
      </c>
      <c r="M122">
        <f t="shared" si="7"/>
        <v>1</v>
      </c>
    </row>
    <row r="123" spans="1:13" ht="15" customHeight="1" x14ac:dyDescent="0.2">
      <c r="A123" t="s">
        <v>32</v>
      </c>
      <c r="B123" s="22">
        <v>0</v>
      </c>
      <c r="C123" s="22">
        <v>0</v>
      </c>
      <c r="D123" s="22">
        <v>0</v>
      </c>
      <c r="E123" s="22">
        <v>0</v>
      </c>
      <c r="F123" s="22">
        <v>0</v>
      </c>
      <c r="G123" s="22">
        <v>0</v>
      </c>
      <c r="H123" s="22">
        <v>0</v>
      </c>
      <c r="I123" s="22">
        <v>0</v>
      </c>
      <c r="J123">
        <f t="shared" si="4"/>
        <v>0</v>
      </c>
      <c r="K123">
        <f t="shared" si="5"/>
        <v>0</v>
      </c>
      <c r="L123">
        <f t="shared" si="6"/>
        <v>0</v>
      </c>
      <c r="M123">
        <f t="shared" si="7"/>
        <v>0</v>
      </c>
    </row>
    <row r="124" spans="1:13" ht="15" customHeight="1" x14ac:dyDescent="0.2">
      <c r="A124" t="s">
        <v>33</v>
      </c>
      <c r="B124" s="22">
        <v>0</v>
      </c>
      <c r="C124" s="22">
        <v>0</v>
      </c>
      <c r="D124" s="22">
        <v>0</v>
      </c>
      <c r="E124" s="22">
        <v>0</v>
      </c>
      <c r="F124" s="22">
        <v>0</v>
      </c>
      <c r="G124" s="22">
        <v>0</v>
      </c>
      <c r="H124" s="22">
        <v>0</v>
      </c>
      <c r="I124" s="22">
        <v>0</v>
      </c>
      <c r="J124">
        <f t="shared" si="4"/>
        <v>0</v>
      </c>
      <c r="K124">
        <f t="shared" si="5"/>
        <v>0</v>
      </c>
      <c r="L124">
        <f t="shared" si="6"/>
        <v>0</v>
      </c>
      <c r="M124">
        <f t="shared" si="7"/>
        <v>0</v>
      </c>
    </row>
    <row r="125" spans="1:13" ht="15" customHeight="1" x14ac:dyDescent="0.2">
      <c r="A125" t="s">
        <v>34</v>
      </c>
      <c r="B125" s="22">
        <v>0</v>
      </c>
      <c r="C125" s="22">
        <v>0</v>
      </c>
      <c r="D125" s="22">
        <v>0</v>
      </c>
      <c r="E125" s="22">
        <v>0</v>
      </c>
      <c r="F125" s="22">
        <v>0</v>
      </c>
      <c r="G125" s="22">
        <v>0</v>
      </c>
      <c r="H125" s="22">
        <v>0</v>
      </c>
      <c r="I125" s="22">
        <v>0</v>
      </c>
      <c r="J125">
        <f t="shared" si="4"/>
        <v>0</v>
      </c>
      <c r="K125">
        <f t="shared" si="5"/>
        <v>0</v>
      </c>
      <c r="L125">
        <f t="shared" si="6"/>
        <v>0</v>
      </c>
      <c r="M125">
        <f t="shared" si="7"/>
        <v>0</v>
      </c>
    </row>
    <row r="126" spans="1:13" ht="15" customHeight="1" x14ac:dyDescent="0.2">
      <c r="A126" t="s">
        <v>35</v>
      </c>
      <c r="B126" s="22">
        <v>0</v>
      </c>
      <c r="C126" s="22">
        <v>0</v>
      </c>
      <c r="D126" s="22">
        <v>0</v>
      </c>
      <c r="E126" s="22">
        <v>0</v>
      </c>
      <c r="F126" s="22">
        <v>0</v>
      </c>
      <c r="G126" s="22">
        <v>0</v>
      </c>
      <c r="H126" s="22">
        <v>0</v>
      </c>
      <c r="I126" s="22">
        <v>0</v>
      </c>
      <c r="J126">
        <f t="shared" si="4"/>
        <v>0</v>
      </c>
      <c r="K126">
        <f t="shared" si="5"/>
        <v>0</v>
      </c>
      <c r="L126">
        <f t="shared" si="6"/>
        <v>0</v>
      </c>
      <c r="M126">
        <f t="shared" si="7"/>
        <v>0</v>
      </c>
    </row>
    <row r="127" spans="1:13" ht="15" customHeight="1" x14ac:dyDescent="0.2">
      <c r="A127" t="s">
        <v>36</v>
      </c>
      <c r="B127" s="22">
        <v>0</v>
      </c>
      <c r="C127" s="22">
        <v>0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>
        <f t="shared" si="4"/>
        <v>0</v>
      </c>
      <c r="K127">
        <f t="shared" si="5"/>
        <v>0</v>
      </c>
      <c r="L127">
        <f t="shared" si="6"/>
        <v>0</v>
      </c>
      <c r="M127">
        <f t="shared" si="7"/>
        <v>0</v>
      </c>
    </row>
    <row r="128" spans="1:13" ht="15" customHeight="1" x14ac:dyDescent="0.2">
      <c r="A128" t="s">
        <v>37</v>
      </c>
      <c r="B128" s="22">
        <v>0</v>
      </c>
      <c r="C128" s="22">
        <v>0</v>
      </c>
      <c r="D128" s="22">
        <v>0</v>
      </c>
      <c r="E128" s="22">
        <v>0</v>
      </c>
      <c r="F128" s="22">
        <v>0</v>
      </c>
      <c r="G128" s="22">
        <v>0</v>
      </c>
      <c r="H128" s="22">
        <v>0</v>
      </c>
      <c r="I128" s="22">
        <v>0</v>
      </c>
      <c r="J128">
        <f t="shared" si="4"/>
        <v>0</v>
      </c>
      <c r="K128">
        <f t="shared" si="5"/>
        <v>0</v>
      </c>
      <c r="L128">
        <f t="shared" si="6"/>
        <v>0</v>
      </c>
      <c r="M128">
        <f t="shared" si="7"/>
        <v>0</v>
      </c>
    </row>
    <row r="129" spans="1:13" ht="15" customHeight="1" x14ac:dyDescent="0.2">
      <c r="A129" t="s">
        <v>38</v>
      </c>
      <c r="B129" s="22">
        <v>0</v>
      </c>
      <c r="C129" s="22">
        <v>0</v>
      </c>
      <c r="D129" s="22">
        <v>0</v>
      </c>
      <c r="E129" s="22">
        <v>0</v>
      </c>
      <c r="F129" s="22">
        <v>0</v>
      </c>
      <c r="G129" s="22">
        <v>0</v>
      </c>
      <c r="H129" s="22">
        <v>0</v>
      </c>
      <c r="I129" s="22">
        <v>0</v>
      </c>
      <c r="J129">
        <f t="shared" si="4"/>
        <v>0</v>
      </c>
      <c r="K129">
        <f t="shared" si="5"/>
        <v>0</v>
      </c>
      <c r="L129">
        <f t="shared" si="6"/>
        <v>0</v>
      </c>
      <c r="M129">
        <f t="shared" si="7"/>
        <v>0</v>
      </c>
    </row>
    <row r="130" spans="1:13" ht="15" customHeight="1" x14ac:dyDescent="0.2">
      <c r="A130" t="s">
        <v>39</v>
      </c>
      <c r="B130" s="22">
        <v>1</v>
      </c>
      <c r="C130" s="22">
        <v>0</v>
      </c>
      <c r="D130" s="22">
        <v>0</v>
      </c>
      <c r="E130" s="22">
        <v>0</v>
      </c>
      <c r="F130" s="22">
        <v>1</v>
      </c>
      <c r="G130" s="22">
        <v>0</v>
      </c>
      <c r="H130" s="22">
        <v>0</v>
      </c>
      <c r="I130" s="22">
        <v>0</v>
      </c>
      <c r="J130">
        <f t="shared" si="4"/>
        <v>0</v>
      </c>
      <c r="K130">
        <f t="shared" si="5"/>
        <v>0</v>
      </c>
      <c r="L130">
        <f t="shared" si="6"/>
        <v>1</v>
      </c>
      <c r="M130">
        <f t="shared" si="7"/>
        <v>1</v>
      </c>
    </row>
    <row r="131" spans="1:13" ht="15" customHeight="1" x14ac:dyDescent="0.2">
      <c r="A131" t="s">
        <v>40</v>
      </c>
      <c r="B131" s="22">
        <v>1</v>
      </c>
      <c r="C131" s="22">
        <v>0</v>
      </c>
      <c r="D131" s="22">
        <v>0</v>
      </c>
      <c r="E131" s="22">
        <v>1</v>
      </c>
      <c r="F131" s="22">
        <v>1</v>
      </c>
      <c r="G131" s="22">
        <v>0</v>
      </c>
      <c r="H131" s="22">
        <v>0</v>
      </c>
      <c r="I131" s="22">
        <v>1</v>
      </c>
      <c r="J131">
        <f t="shared" si="4"/>
        <v>1</v>
      </c>
      <c r="K131">
        <f t="shared" si="5"/>
        <v>1</v>
      </c>
      <c r="L131">
        <f t="shared" si="6"/>
        <v>1</v>
      </c>
      <c r="M131">
        <f t="shared" si="7"/>
        <v>1</v>
      </c>
    </row>
    <row r="132" spans="1:13" ht="15" customHeight="1" x14ac:dyDescent="0.2">
      <c r="A132" t="s">
        <v>41</v>
      </c>
      <c r="B132" s="22">
        <v>0</v>
      </c>
      <c r="C132" s="22">
        <v>0</v>
      </c>
      <c r="D132" s="22">
        <v>0</v>
      </c>
      <c r="E132" s="22">
        <v>0</v>
      </c>
      <c r="F132" s="22">
        <v>0</v>
      </c>
      <c r="G132" s="22">
        <v>0</v>
      </c>
      <c r="H132" s="22">
        <v>0</v>
      </c>
      <c r="I132" s="22">
        <v>0</v>
      </c>
      <c r="J132">
        <f t="shared" si="4"/>
        <v>0</v>
      </c>
      <c r="K132">
        <f t="shared" si="5"/>
        <v>0</v>
      </c>
      <c r="L132">
        <f t="shared" si="6"/>
        <v>0</v>
      </c>
      <c r="M132">
        <f t="shared" si="7"/>
        <v>0</v>
      </c>
    </row>
    <row r="133" spans="1:13" ht="15" customHeight="1" x14ac:dyDescent="0.2">
      <c r="A133" t="s">
        <v>42</v>
      </c>
      <c r="B133" s="22">
        <v>0</v>
      </c>
      <c r="C133" s="22">
        <v>0</v>
      </c>
      <c r="D133" s="22">
        <v>0</v>
      </c>
      <c r="E133" s="22">
        <v>0</v>
      </c>
      <c r="F133" s="22">
        <v>0</v>
      </c>
      <c r="G133" s="22">
        <v>0</v>
      </c>
      <c r="H133" s="22">
        <v>0</v>
      </c>
      <c r="I133" s="22">
        <v>0</v>
      </c>
      <c r="J133">
        <f t="shared" si="4"/>
        <v>0</v>
      </c>
      <c r="K133">
        <f t="shared" si="5"/>
        <v>0</v>
      </c>
      <c r="L133">
        <f t="shared" si="6"/>
        <v>0</v>
      </c>
      <c r="M133">
        <f t="shared" si="7"/>
        <v>0</v>
      </c>
    </row>
    <row r="134" spans="1:13" ht="15" customHeight="1" x14ac:dyDescent="0.2">
      <c r="A134" t="s">
        <v>43</v>
      </c>
      <c r="B134" s="22">
        <v>0</v>
      </c>
      <c r="C134" s="22">
        <v>0</v>
      </c>
      <c r="D134" s="22">
        <v>2</v>
      </c>
      <c r="E134" s="22">
        <v>0</v>
      </c>
      <c r="F134" s="22">
        <v>0</v>
      </c>
      <c r="G134" s="22">
        <v>0</v>
      </c>
      <c r="H134" s="22">
        <v>2</v>
      </c>
      <c r="I134" s="22">
        <v>0</v>
      </c>
      <c r="J134">
        <f t="shared" si="4"/>
        <v>0</v>
      </c>
      <c r="K134">
        <f t="shared" si="5"/>
        <v>0</v>
      </c>
      <c r="L134">
        <f t="shared" si="6"/>
        <v>2</v>
      </c>
      <c r="M134">
        <f t="shared" si="7"/>
        <v>2</v>
      </c>
    </row>
    <row r="135" spans="1:13" ht="15" customHeight="1" x14ac:dyDescent="0.2">
      <c r="A135" t="s">
        <v>44</v>
      </c>
      <c r="B135" s="22">
        <v>1</v>
      </c>
      <c r="C135" s="22">
        <v>0</v>
      </c>
      <c r="D135" s="22">
        <v>0</v>
      </c>
      <c r="E135" s="22">
        <v>0</v>
      </c>
      <c r="F135" s="22">
        <v>1</v>
      </c>
      <c r="G135" s="22">
        <v>0</v>
      </c>
      <c r="H135" s="22">
        <v>0</v>
      </c>
      <c r="I135" s="22">
        <v>0</v>
      </c>
      <c r="J135">
        <f t="shared" si="4"/>
        <v>0</v>
      </c>
      <c r="K135">
        <f t="shared" si="5"/>
        <v>0</v>
      </c>
      <c r="L135">
        <f t="shared" si="6"/>
        <v>1</v>
      </c>
      <c r="M135">
        <f t="shared" si="7"/>
        <v>1</v>
      </c>
    </row>
    <row r="136" spans="1:13" ht="15" customHeight="1" x14ac:dyDescent="0.2">
      <c r="A136" t="s">
        <v>45</v>
      </c>
      <c r="B136" s="22">
        <v>0</v>
      </c>
      <c r="C136" s="22">
        <v>0</v>
      </c>
      <c r="D136" s="22">
        <v>0</v>
      </c>
      <c r="E136" s="22">
        <v>0</v>
      </c>
      <c r="F136" s="22">
        <v>0</v>
      </c>
      <c r="G136" s="22">
        <v>0</v>
      </c>
      <c r="H136" s="22">
        <v>0</v>
      </c>
      <c r="I136" s="22">
        <v>0</v>
      </c>
      <c r="J136">
        <f t="shared" si="4"/>
        <v>0</v>
      </c>
      <c r="K136">
        <f t="shared" si="5"/>
        <v>0</v>
      </c>
      <c r="L136">
        <f t="shared" si="6"/>
        <v>0</v>
      </c>
      <c r="M136">
        <f t="shared" si="7"/>
        <v>0</v>
      </c>
    </row>
    <row r="137" spans="1:13" ht="15" customHeight="1" x14ac:dyDescent="0.2">
      <c r="A137" t="s">
        <v>46</v>
      </c>
      <c r="B137" s="22">
        <v>0</v>
      </c>
      <c r="C137" s="22">
        <v>0</v>
      </c>
      <c r="D137" s="22">
        <v>0</v>
      </c>
      <c r="E137" s="22">
        <v>0</v>
      </c>
      <c r="F137" s="22">
        <v>0</v>
      </c>
      <c r="G137" s="22">
        <v>0</v>
      </c>
      <c r="H137" s="22">
        <v>0</v>
      </c>
      <c r="I137" s="22">
        <v>0</v>
      </c>
      <c r="J137">
        <f t="shared" si="4"/>
        <v>0</v>
      </c>
      <c r="K137">
        <f t="shared" si="5"/>
        <v>0</v>
      </c>
      <c r="L137">
        <f t="shared" si="6"/>
        <v>0</v>
      </c>
      <c r="M137">
        <f t="shared" si="7"/>
        <v>0</v>
      </c>
    </row>
    <row r="138" spans="1:13" ht="15" customHeight="1" x14ac:dyDescent="0.2">
      <c r="A138" t="s">
        <v>47</v>
      </c>
      <c r="B138" s="22">
        <v>0</v>
      </c>
      <c r="C138" s="22">
        <v>0</v>
      </c>
      <c r="D138" s="22">
        <v>0</v>
      </c>
      <c r="E138" s="22">
        <v>0</v>
      </c>
      <c r="F138" s="22">
        <v>0</v>
      </c>
      <c r="G138" s="22">
        <v>0</v>
      </c>
      <c r="H138" s="22">
        <v>0</v>
      </c>
      <c r="I138" s="22">
        <v>0</v>
      </c>
      <c r="J138">
        <f t="shared" si="4"/>
        <v>0</v>
      </c>
      <c r="K138">
        <f t="shared" si="5"/>
        <v>0</v>
      </c>
      <c r="L138">
        <f t="shared" si="6"/>
        <v>0</v>
      </c>
      <c r="M138">
        <f t="shared" si="7"/>
        <v>0</v>
      </c>
    </row>
    <row r="139" spans="1:13" ht="15" customHeight="1" x14ac:dyDescent="0.2">
      <c r="A139" t="s">
        <v>48</v>
      </c>
      <c r="B139" s="22">
        <v>0</v>
      </c>
      <c r="C139" s="22">
        <v>0</v>
      </c>
      <c r="D139" s="22">
        <v>0</v>
      </c>
      <c r="E139" s="22">
        <v>0</v>
      </c>
      <c r="F139" s="22">
        <v>0</v>
      </c>
      <c r="G139" s="22">
        <v>0</v>
      </c>
      <c r="H139" s="22">
        <v>0</v>
      </c>
      <c r="I139" s="22">
        <v>0</v>
      </c>
      <c r="J139">
        <f t="shared" ref="J139:J201" si="8">SUM(E139,G139)</f>
        <v>0</v>
      </c>
      <c r="K139">
        <f t="shared" ref="K139:K201" si="9">SUM(C139,I139)</f>
        <v>0</v>
      </c>
      <c r="L139">
        <f t="shared" ref="L139:L201" si="10">SUM(D139,F139)</f>
        <v>0</v>
      </c>
      <c r="M139">
        <f t="shared" ref="M139:M201" si="11">SUM(B139,H139)</f>
        <v>0</v>
      </c>
    </row>
    <row r="140" spans="1:13" ht="15" customHeight="1" x14ac:dyDescent="0.2">
      <c r="A140" t="s">
        <v>49</v>
      </c>
      <c r="B140" s="22">
        <v>0</v>
      </c>
      <c r="C140" s="22">
        <v>0</v>
      </c>
      <c r="D140" s="22">
        <v>0</v>
      </c>
      <c r="E140" s="22">
        <v>0</v>
      </c>
      <c r="F140" s="22">
        <v>0</v>
      </c>
      <c r="G140" s="22">
        <v>0</v>
      </c>
      <c r="H140" s="22">
        <v>0</v>
      </c>
      <c r="I140" s="22">
        <v>0</v>
      </c>
      <c r="J140">
        <f t="shared" si="8"/>
        <v>0</v>
      </c>
      <c r="K140">
        <f t="shared" si="9"/>
        <v>0</v>
      </c>
      <c r="L140">
        <f t="shared" si="10"/>
        <v>0</v>
      </c>
      <c r="M140">
        <f t="shared" si="11"/>
        <v>0</v>
      </c>
    </row>
    <row r="141" spans="1:13" ht="15" customHeight="1" x14ac:dyDescent="0.2">
      <c r="A141" t="s">
        <v>50</v>
      </c>
      <c r="B141" s="22">
        <v>1</v>
      </c>
      <c r="C141" s="22">
        <v>1</v>
      </c>
      <c r="D141" s="22">
        <v>0</v>
      </c>
      <c r="E141" s="22">
        <v>0</v>
      </c>
      <c r="F141" s="22">
        <v>1</v>
      </c>
      <c r="G141" s="22">
        <v>1</v>
      </c>
      <c r="H141" s="22">
        <v>0</v>
      </c>
      <c r="I141" s="22">
        <v>0</v>
      </c>
      <c r="J141">
        <f t="shared" si="8"/>
        <v>1</v>
      </c>
      <c r="K141">
        <f t="shared" si="9"/>
        <v>1</v>
      </c>
      <c r="L141">
        <f t="shared" si="10"/>
        <v>1</v>
      </c>
      <c r="M141">
        <f t="shared" si="11"/>
        <v>1</v>
      </c>
    </row>
    <row r="142" spans="1:13" ht="15" customHeight="1" x14ac:dyDescent="0.2">
      <c r="A142" t="s">
        <v>51</v>
      </c>
      <c r="B142" s="22">
        <v>1</v>
      </c>
      <c r="C142" s="22">
        <v>0</v>
      </c>
      <c r="D142" s="22">
        <v>0</v>
      </c>
      <c r="E142" s="22">
        <v>0</v>
      </c>
      <c r="F142" s="22">
        <v>1</v>
      </c>
      <c r="G142" s="22">
        <v>0</v>
      </c>
      <c r="H142" s="22">
        <v>0</v>
      </c>
      <c r="I142" s="22">
        <v>0</v>
      </c>
      <c r="J142">
        <f t="shared" si="8"/>
        <v>0</v>
      </c>
      <c r="K142">
        <f t="shared" si="9"/>
        <v>0</v>
      </c>
      <c r="L142">
        <f t="shared" si="10"/>
        <v>1</v>
      </c>
      <c r="M142">
        <f t="shared" si="11"/>
        <v>1</v>
      </c>
    </row>
    <row r="143" spans="1:13" ht="15" customHeight="1" x14ac:dyDescent="0.2">
      <c r="A143" t="s">
        <v>52</v>
      </c>
      <c r="B143" s="22">
        <v>0</v>
      </c>
      <c r="C143" s="22">
        <v>0</v>
      </c>
      <c r="D143" s="22">
        <v>0</v>
      </c>
      <c r="E143" s="22">
        <v>0</v>
      </c>
      <c r="F143" s="22">
        <v>0</v>
      </c>
      <c r="G143" s="22">
        <v>0</v>
      </c>
      <c r="H143" s="22">
        <v>0</v>
      </c>
      <c r="I143" s="22">
        <v>0</v>
      </c>
      <c r="J143">
        <f t="shared" si="8"/>
        <v>0</v>
      </c>
      <c r="K143">
        <f t="shared" si="9"/>
        <v>0</v>
      </c>
      <c r="L143">
        <f t="shared" si="10"/>
        <v>0</v>
      </c>
      <c r="M143">
        <f t="shared" si="11"/>
        <v>0</v>
      </c>
    </row>
    <row r="144" spans="1:13" ht="15" customHeight="1" x14ac:dyDescent="0.2">
      <c r="A144" t="s">
        <v>53</v>
      </c>
      <c r="B144" s="22">
        <v>0</v>
      </c>
      <c r="C144" s="22">
        <v>0</v>
      </c>
      <c r="D144" s="22">
        <v>0</v>
      </c>
      <c r="E144" s="22">
        <v>0</v>
      </c>
      <c r="F144" s="22">
        <v>0</v>
      </c>
      <c r="G144" s="22">
        <v>0</v>
      </c>
      <c r="H144" s="22">
        <v>0</v>
      </c>
      <c r="I144" s="22">
        <v>0</v>
      </c>
      <c r="J144">
        <f t="shared" si="8"/>
        <v>0</v>
      </c>
      <c r="K144">
        <f t="shared" si="9"/>
        <v>0</v>
      </c>
      <c r="L144">
        <f t="shared" si="10"/>
        <v>0</v>
      </c>
      <c r="M144">
        <f t="shared" si="11"/>
        <v>0</v>
      </c>
    </row>
    <row r="145" spans="1:13" ht="15" customHeight="1" x14ac:dyDescent="0.2">
      <c r="A145" t="s">
        <v>54</v>
      </c>
      <c r="B145" s="22">
        <v>1</v>
      </c>
      <c r="C145" s="22">
        <v>1</v>
      </c>
      <c r="D145" s="22">
        <v>0</v>
      </c>
      <c r="E145" s="22">
        <v>0</v>
      </c>
      <c r="F145" s="22">
        <v>1</v>
      </c>
      <c r="G145" s="22">
        <v>1</v>
      </c>
      <c r="H145" s="22">
        <v>0</v>
      </c>
      <c r="I145" s="22">
        <v>0</v>
      </c>
      <c r="J145">
        <f t="shared" si="8"/>
        <v>1</v>
      </c>
      <c r="K145">
        <f t="shared" si="9"/>
        <v>1</v>
      </c>
      <c r="L145">
        <f t="shared" si="10"/>
        <v>1</v>
      </c>
      <c r="M145">
        <f t="shared" si="11"/>
        <v>1</v>
      </c>
    </row>
    <row r="146" spans="1:13" ht="15" customHeight="1" x14ac:dyDescent="0.2">
      <c r="A146" t="s">
        <v>55</v>
      </c>
      <c r="B146" s="22">
        <v>0</v>
      </c>
      <c r="C146" s="22">
        <v>0</v>
      </c>
      <c r="D146" s="22">
        <v>2</v>
      </c>
      <c r="E146" s="22">
        <v>0</v>
      </c>
      <c r="F146" s="22">
        <v>0</v>
      </c>
      <c r="G146" s="22">
        <v>0</v>
      </c>
      <c r="H146" s="22">
        <v>2</v>
      </c>
      <c r="I146" s="22">
        <v>0</v>
      </c>
      <c r="J146">
        <f t="shared" si="8"/>
        <v>0</v>
      </c>
      <c r="K146">
        <f t="shared" si="9"/>
        <v>0</v>
      </c>
      <c r="L146">
        <f t="shared" si="10"/>
        <v>2</v>
      </c>
      <c r="M146">
        <f t="shared" si="11"/>
        <v>2</v>
      </c>
    </row>
    <row r="147" spans="1:13" ht="15" customHeight="1" x14ac:dyDescent="0.2">
      <c r="A147" t="s">
        <v>56</v>
      </c>
      <c r="B147" s="22">
        <v>1</v>
      </c>
      <c r="C147" s="22">
        <v>0</v>
      </c>
      <c r="D147" s="22">
        <v>0</v>
      </c>
      <c r="E147" s="22">
        <v>0</v>
      </c>
      <c r="F147" s="22">
        <v>1</v>
      </c>
      <c r="G147" s="22">
        <v>0</v>
      </c>
      <c r="H147" s="22">
        <v>0</v>
      </c>
      <c r="I147" s="22">
        <v>0</v>
      </c>
      <c r="J147">
        <f t="shared" si="8"/>
        <v>0</v>
      </c>
      <c r="K147">
        <f t="shared" si="9"/>
        <v>0</v>
      </c>
      <c r="L147">
        <f t="shared" si="10"/>
        <v>1</v>
      </c>
      <c r="M147">
        <f t="shared" si="11"/>
        <v>1</v>
      </c>
    </row>
    <row r="148" spans="1:13" ht="15" customHeight="1" x14ac:dyDescent="0.2">
      <c r="A148" t="s">
        <v>57</v>
      </c>
      <c r="B148" s="22">
        <v>0</v>
      </c>
      <c r="C148" s="22">
        <v>0</v>
      </c>
      <c r="D148" s="22">
        <v>0</v>
      </c>
      <c r="E148" s="22">
        <v>0</v>
      </c>
      <c r="F148" s="22">
        <v>0</v>
      </c>
      <c r="G148" s="22">
        <v>0</v>
      </c>
      <c r="H148" s="22">
        <v>0</v>
      </c>
      <c r="I148" s="22">
        <v>0</v>
      </c>
      <c r="J148">
        <f t="shared" si="8"/>
        <v>0</v>
      </c>
      <c r="K148">
        <f t="shared" si="9"/>
        <v>0</v>
      </c>
      <c r="L148">
        <f t="shared" si="10"/>
        <v>0</v>
      </c>
      <c r="M148">
        <f t="shared" si="11"/>
        <v>0</v>
      </c>
    </row>
    <row r="149" spans="1:13" ht="15" customHeight="1" x14ac:dyDescent="0.2">
      <c r="A149" t="s">
        <v>58</v>
      </c>
      <c r="B149" s="22">
        <v>0</v>
      </c>
      <c r="C149" s="22">
        <v>0</v>
      </c>
      <c r="D149" s="22">
        <v>0</v>
      </c>
      <c r="E149" s="22">
        <v>0</v>
      </c>
      <c r="F149" s="22">
        <v>0</v>
      </c>
      <c r="G149" s="22">
        <v>0</v>
      </c>
      <c r="H149" s="22">
        <v>0</v>
      </c>
      <c r="I149" s="22">
        <v>0</v>
      </c>
      <c r="J149">
        <f t="shared" si="8"/>
        <v>0</v>
      </c>
      <c r="K149">
        <f t="shared" si="9"/>
        <v>0</v>
      </c>
      <c r="L149">
        <f t="shared" si="10"/>
        <v>0</v>
      </c>
      <c r="M149">
        <f t="shared" si="11"/>
        <v>0</v>
      </c>
    </row>
    <row r="150" spans="1:13" ht="15" customHeight="1" x14ac:dyDescent="0.2">
      <c r="A150" t="s">
        <v>59</v>
      </c>
      <c r="B150" s="22">
        <v>0</v>
      </c>
      <c r="C150" s="22">
        <v>0</v>
      </c>
      <c r="D150" s="22">
        <v>0</v>
      </c>
      <c r="E150" s="22">
        <v>1</v>
      </c>
      <c r="F150" s="22">
        <v>0</v>
      </c>
      <c r="G150" s="22">
        <v>0</v>
      </c>
      <c r="H150" s="22">
        <v>0</v>
      </c>
      <c r="I150" s="22">
        <v>1</v>
      </c>
      <c r="J150">
        <f t="shared" si="8"/>
        <v>1</v>
      </c>
      <c r="K150">
        <f t="shared" si="9"/>
        <v>1</v>
      </c>
      <c r="L150">
        <f t="shared" si="10"/>
        <v>0</v>
      </c>
      <c r="M150">
        <f t="shared" si="11"/>
        <v>0</v>
      </c>
    </row>
    <row r="151" spans="1:13" ht="15" customHeight="1" x14ac:dyDescent="0.2">
      <c r="A151" t="s">
        <v>60</v>
      </c>
      <c r="B151" s="22">
        <v>1</v>
      </c>
      <c r="C151" s="22">
        <v>0</v>
      </c>
      <c r="D151" s="22">
        <v>0</v>
      </c>
      <c r="E151" s="22">
        <v>1</v>
      </c>
      <c r="F151" s="22">
        <v>1</v>
      </c>
      <c r="G151" s="22">
        <v>0</v>
      </c>
      <c r="H151" s="22">
        <v>0</v>
      </c>
      <c r="I151" s="22">
        <v>1</v>
      </c>
      <c r="J151">
        <f t="shared" si="8"/>
        <v>1</v>
      </c>
      <c r="K151">
        <f t="shared" si="9"/>
        <v>1</v>
      </c>
      <c r="L151">
        <f t="shared" si="10"/>
        <v>1</v>
      </c>
      <c r="M151">
        <f t="shared" si="11"/>
        <v>1</v>
      </c>
    </row>
    <row r="152" spans="1:13" ht="15" customHeight="1" x14ac:dyDescent="0.2">
      <c r="A152" t="s">
        <v>61</v>
      </c>
      <c r="B152" s="22">
        <v>0</v>
      </c>
      <c r="C152" s="22">
        <v>0</v>
      </c>
      <c r="D152" s="22">
        <v>0</v>
      </c>
      <c r="E152" s="22">
        <v>1</v>
      </c>
      <c r="F152" s="22">
        <v>0</v>
      </c>
      <c r="G152" s="22">
        <v>0</v>
      </c>
      <c r="H152" s="22">
        <v>0</v>
      </c>
      <c r="I152" s="22">
        <v>1</v>
      </c>
      <c r="J152">
        <f t="shared" si="8"/>
        <v>1</v>
      </c>
      <c r="K152">
        <f t="shared" si="9"/>
        <v>1</v>
      </c>
      <c r="L152">
        <f t="shared" si="10"/>
        <v>0</v>
      </c>
      <c r="M152">
        <f t="shared" si="11"/>
        <v>0</v>
      </c>
    </row>
    <row r="153" spans="1:13" ht="15" customHeight="1" x14ac:dyDescent="0.2">
      <c r="A153" t="s">
        <v>62</v>
      </c>
      <c r="B153" s="22">
        <v>0</v>
      </c>
      <c r="C153" s="22">
        <v>0</v>
      </c>
      <c r="D153" s="22">
        <v>0</v>
      </c>
      <c r="E153" s="22">
        <v>0</v>
      </c>
      <c r="F153" s="22">
        <v>0</v>
      </c>
      <c r="G153" s="22">
        <v>0</v>
      </c>
      <c r="H153" s="22">
        <v>0</v>
      </c>
      <c r="I153" s="22">
        <v>0</v>
      </c>
      <c r="J153">
        <f t="shared" si="8"/>
        <v>0</v>
      </c>
      <c r="K153">
        <f t="shared" si="9"/>
        <v>0</v>
      </c>
      <c r="L153">
        <f t="shared" si="10"/>
        <v>0</v>
      </c>
      <c r="M153">
        <f t="shared" si="11"/>
        <v>0</v>
      </c>
    </row>
    <row r="154" spans="1:13" ht="15" customHeight="1" x14ac:dyDescent="0.2">
      <c r="A154" t="s">
        <v>63</v>
      </c>
      <c r="B154" s="22">
        <v>1</v>
      </c>
      <c r="C154" s="22">
        <v>0</v>
      </c>
      <c r="D154" s="22">
        <v>0</v>
      </c>
      <c r="E154" s="22">
        <v>0</v>
      </c>
      <c r="F154" s="22">
        <v>1</v>
      </c>
      <c r="G154" s="22">
        <v>0</v>
      </c>
      <c r="H154" s="22">
        <v>0</v>
      </c>
      <c r="I154" s="22">
        <v>0</v>
      </c>
      <c r="J154">
        <f t="shared" si="8"/>
        <v>0</v>
      </c>
      <c r="K154">
        <f t="shared" si="9"/>
        <v>0</v>
      </c>
      <c r="L154">
        <f t="shared" si="10"/>
        <v>1</v>
      </c>
      <c r="M154">
        <f t="shared" si="11"/>
        <v>1</v>
      </c>
    </row>
    <row r="155" spans="1:13" ht="15" customHeight="1" x14ac:dyDescent="0.2">
      <c r="A155" t="s">
        <v>64</v>
      </c>
      <c r="B155" s="22">
        <v>0</v>
      </c>
      <c r="C155" s="22">
        <v>0</v>
      </c>
      <c r="D155" s="22">
        <v>0</v>
      </c>
      <c r="E155" s="22">
        <v>0</v>
      </c>
      <c r="F155" s="22">
        <v>0</v>
      </c>
      <c r="G155" s="22">
        <v>0</v>
      </c>
      <c r="H155" s="22">
        <v>0</v>
      </c>
      <c r="I155" s="22">
        <v>0</v>
      </c>
      <c r="J155">
        <f t="shared" si="8"/>
        <v>0</v>
      </c>
      <c r="K155">
        <f t="shared" si="9"/>
        <v>0</v>
      </c>
      <c r="L155">
        <f t="shared" si="10"/>
        <v>0</v>
      </c>
      <c r="M155">
        <f t="shared" si="11"/>
        <v>0</v>
      </c>
    </row>
    <row r="156" spans="1:13" ht="15" customHeight="1" x14ac:dyDescent="0.2">
      <c r="A156" t="s">
        <v>65</v>
      </c>
      <c r="B156" s="22">
        <v>0</v>
      </c>
      <c r="C156" s="22">
        <v>0</v>
      </c>
      <c r="D156" s="22">
        <v>0</v>
      </c>
      <c r="E156" s="22">
        <v>0</v>
      </c>
      <c r="F156" s="22">
        <v>0</v>
      </c>
      <c r="G156" s="22">
        <v>0</v>
      </c>
      <c r="H156" s="22">
        <v>0</v>
      </c>
      <c r="I156" s="22">
        <v>0</v>
      </c>
      <c r="J156">
        <f t="shared" si="8"/>
        <v>0</v>
      </c>
      <c r="K156">
        <f t="shared" si="9"/>
        <v>0</v>
      </c>
      <c r="L156">
        <f t="shared" si="10"/>
        <v>0</v>
      </c>
      <c r="M156">
        <f t="shared" si="11"/>
        <v>0</v>
      </c>
    </row>
    <row r="157" spans="1:13" ht="15" customHeight="1" x14ac:dyDescent="0.2">
      <c r="A157" t="s">
        <v>66</v>
      </c>
      <c r="B157" s="22">
        <v>0</v>
      </c>
      <c r="C157" s="22">
        <v>0</v>
      </c>
      <c r="D157" s="22">
        <v>0</v>
      </c>
      <c r="E157" s="22">
        <v>0</v>
      </c>
      <c r="F157" s="22">
        <v>0</v>
      </c>
      <c r="G157" s="22">
        <v>0</v>
      </c>
      <c r="H157" s="22">
        <v>0</v>
      </c>
      <c r="I157" s="22">
        <v>0</v>
      </c>
      <c r="J157">
        <f t="shared" si="8"/>
        <v>0</v>
      </c>
      <c r="K157">
        <f t="shared" si="9"/>
        <v>0</v>
      </c>
      <c r="L157">
        <f t="shared" si="10"/>
        <v>0</v>
      </c>
      <c r="M157">
        <f t="shared" si="11"/>
        <v>0</v>
      </c>
    </row>
    <row r="158" spans="1:13" ht="15" customHeight="1" x14ac:dyDescent="0.2">
      <c r="A158" t="s">
        <v>67</v>
      </c>
      <c r="B158" s="22">
        <v>1</v>
      </c>
      <c r="C158" s="22">
        <v>0</v>
      </c>
      <c r="D158" s="22">
        <v>0</v>
      </c>
      <c r="E158" s="22">
        <v>0</v>
      </c>
      <c r="F158" s="22">
        <v>1</v>
      </c>
      <c r="G158" s="22">
        <v>0</v>
      </c>
      <c r="H158" s="22">
        <v>0</v>
      </c>
      <c r="I158" s="22">
        <v>0</v>
      </c>
      <c r="J158">
        <f t="shared" si="8"/>
        <v>0</v>
      </c>
      <c r="K158">
        <f t="shared" si="9"/>
        <v>0</v>
      </c>
      <c r="L158">
        <f t="shared" si="10"/>
        <v>1</v>
      </c>
      <c r="M158">
        <f t="shared" si="11"/>
        <v>1</v>
      </c>
    </row>
    <row r="159" spans="1:13" ht="15" customHeight="1" x14ac:dyDescent="0.2">
      <c r="A159" t="s">
        <v>68</v>
      </c>
      <c r="B159" s="22">
        <v>0</v>
      </c>
      <c r="C159" s="22">
        <v>0</v>
      </c>
      <c r="D159" s="22">
        <v>0</v>
      </c>
      <c r="E159" s="22">
        <v>0</v>
      </c>
      <c r="F159" s="22">
        <v>0</v>
      </c>
      <c r="G159" s="22">
        <v>0</v>
      </c>
      <c r="H159" s="22">
        <v>0</v>
      </c>
      <c r="I159" s="22">
        <v>0</v>
      </c>
      <c r="J159">
        <f t="shared" si="8"/>
        <v>0</v>
      </c>
      <c r="K159">
        <f t="shared" si="9"/>
        <v>0</v>
      </c>
      <c r="L159">
        <f t="shared" si="10"/>
        <v>0</v>
      </c>
      <c r="M159">
        <f t="shared" si="11"/>
        <v>0</v>
      </c>
    </row>
    <row r="160" spans="1:13" ht="15" customHeight="1" x14ac:dyDescent="0.2">
      <c r="A160" t="s">
        <v>69</v>
      </c>
      <c r="B160" s="22">
        <v>0</v>
      </c>
      <c r="C160" s="22">
        <v>0</v>
      </c>
      <c r="D160" s="22">
        <v>0</v>
      </c>
      <c r="E160" s="22">
        <v>0</v>
      </c>
      <c r="F160" s="22">
        <v>0</v>
      </c>
      <c r="G160" s="22">
        <v>0</v>
      </c>
      <c r="H160" s="22">
        <v>0</v>
      </c>
      <c r="I160" s="22">
        <v>0</v>
      </c>
      <c r="J160">
        <f t="shared" si="8"/>
        <v>0</v>
      </c>
      <c r="K160">
        <f t="shared" si="9"/>
        <v>0</v>
      </c>
      <c r="L160">
        <f t="shared" si="10"/>
        <v>0</v>
      </c>
      <c r="M160">
        <f t="shared" si="11"/>
        <v>0</v>
      </c>
    </row>
    <row r="161" spans="1:13" ht="15" customHeight="1" x14ac:dyDescent="0.2">
      <c r="A161" t="s">
        <v>70</v>
      </c>
      <c r="B161" s="22">
        <v>0</v>
      </c>
      <c r="C161" s="22">
        <v>0</v>
      </c>
      <c r="D161" s="22">
        <v>0</v>
      </c>
      <c r="E161" s="22">
        <v>0</v>
      </c>
      <c r="F161" s="22">
        <v>0</v>
      </c>
      <c r="G161" s="22">
        <v>0</v>
      </c>
      <c r="H161" s="22">
        <v>0</v>
      </c>
      <c r="I161" s="22">
        <v>0</v>
      </c>
      <c r="J161">
        <f t="shared" si="8"/>
        <v>0</v>
      </c>
      <c r="K161">
        <f t="shared" si="9"/>
        <v>0</v>
      </c>
      <c r="L161">
        <f t="shared" si="10"/>
        <v>0</v>
      </c>
      <c r="M161">
        <f t="shared" si="11"/>
        <v>0</v>
      </c>
    </row>
    <row r="162" spans="1:13" ht="15" customHeight="1" x14ac:dyDescent="0.2">
      <c r="A162" t="s">
        <v>71</v>
      </c>
      <c r="B162" s="22">
        <v>0</v>
      </c>
      <c r="C162" s="22">
        <v>0</v>
      </c>
      <c r="D162" s="22">
        <v>0</v>
      </c>
      <c r="E162" s="22">
        <v>0</v>
      </c>
      <c r="F162" s="22">
        <v>0</v>
      </c>
      <c r="G162" s="22">
        <v>0</v>
      </c>
      <c r="H162" s="22">
        <v>0</v>
      </c>
      <c r="I162" s="22">
        <v>0</v>
      </c>
      <c r="J162">
        <f t="shared" si="8"/>
        <v>0</v>
      </c>
      <c r="K162">
        <f t="shared" si="9"/>
        <v>0</v>
      </c>
      <c r="L162">
        <f t="shared" si="10"/>
        <v>0</v>
      </c>
      <c r="M162">
        <f t="shared" si="11"/>
        <v>0</v>
      </c>
    </row>
    <row r="163" spans="1:13" ht="15" customHeight="1" x14ac:dyDescent="0.2">
      <c r="A163" t="s">
        <v>72</v>
      </c>
      <c r="B163" s="22">
        <v>0</v>
      </c>
      <c r="C163" s="22">
        <v>0</v>
      </c>
      <c r="D163" s="22">
        <v>0</v>
      </c>
      <c r="E163" s="22">
        <v>0</v>
      </c>
      <c r="F163" s="22">
        <v>0</v>
      </c>
      <c r="G163" s="22">
        <v>0</v>
      </c>
      <c r="H163" s="22">
        <v>0</v>
      </c>
      <c r="I163" s="22">
        <v>0</v>
      </c>
      <c r="J163">
        <f t="shared" si="8"/>
        <v>0</v>
      </c>
      <c r="K163">
        <f t="shared" si="9"/>
        <v>0</v>
      </c>
      <c r="L163">
        <f t="shared" si="10"/>
        <v>0</v>
      </c>
      <c r="M163">
        <f t="shared" si="11"/>
        <v>0</v>
      </c>
    </row>
    <row r="164" spans="1:13" ht="15" customHeight="1" x14ac:dyDescent="0.2">
      <c r="A164" t="s">
        <v>73</v>
      </c>
      <c r="B164" s="22">
        <v>0</v>
      </c>
      <c r="C164" s="22">
        <v>0</v>
      </c>
      <c r="D164" s="22">
        <v>0</v>
      </c>
      <c r="E164" s="22">
        <v>0</v>
      </c>
      <c r="F164" s="22">
        <v>0</v>
      </c>
      <c r="G164" s="22">
        <v>0</v>
      </c>
      <c r="H164" s="22">
        <v>0</v>
      </c>
      <c r="I164" s="22">
        <v>0</v>
      </c>
      <c r="J164">
        <f t="shared" si="8"/>
        <v>0</v>
      </c>
      <c r="K164">
        <f t="shared" si="9"/>
        <v>0</v>
      </c>
      <c r="L164">
        <f t="shared" si="10"/>
        <v>0</v>
      </c>
      <c r="M164">
        <f t="shared" si="11"/>
        <v>0</v>
      </c>
    </row>
    <row r="165" spans="1:13" ht="15" customHeight="1" x14ac:dyDescent="0.2">
      <c r="A165" t="s">
        <v>74</v>
      </c>
      <c r="B165" s="22">
        <v>0</v>
      </c>
      <c r="C165" s="22">
        <v>0</v>
      </c>
      <c r="D165" s="22">
        <v>0</v>
      </c>
      <c r="E165" s="22">
        <v>0</v>
      </c>
      <c r="F165" s="22">
        <v>0</v>
      </c>
      <c r="G165" s="22">
        <v>0</v>
      </c>
      <c r="H165" s="22">
        <v>0</v>
      </c>
      <c r="I165" s="22">
        <v>0</v>
      </c>
      <c r="J165">
        <f t="shared" si="8"/>
        <v>0</v>
      </c>
      <c r="K165">
        <f t="shared" si="9"/>
        <v>0</v>
      </c>
      <c r="L165">
        <f t="shared" si="10"/>
        <v>0</v>
      </c>
      <c r="M165">
        <f t="shared" si="11"/>
        <v>0</v>
      </c>
    </row>
    <row r="166" spans="1:13" ht="15" customHeight="1" x14ac:dyDescent="0.2">
      <c r="A166" t="s">
        <v>75</v>
      </c>
      <c r="B166" s="22">
        <v>0</v>
      </c>
      <c r="C166" s="22">
        <v>0</v>
      </c>
      <c r="D166" s="22">
        <v>0</v>
      </c>
      <c r="E166" s="22">
        <v>0</v>
      </c>
      <c r="F166" s="22">
        <v>0</v>
      </c>
      <c r="G166" s="22">
        <v>0</v>
      </c>
      <c r="H166" s="22">
        <v>0</v>
      </c>
      <c r="I166" s="22">
        <v>0</v>
      </c>
      <c r="J166">
        <f t="shared" si="8"/>
        <v>0</v>
      </c>
      <c r="K166">
        <f t="shared" si="9"/>
        <v>0</v>
      </c>
      <c r="L166">
        <f t="shared" si="10"/>
        <v>0</v>
      </c>
      <c r="M166">
        <f t="shared" si="11"/>
        <v>0</v>
      </c>
    </row>
    <row r="167" spans="1:13" ht="15" customHeight="1" x14ac:dyDescent="0.2">
      <c r="A167" t="s">
        <v>76</v>
      </c>
      <c r="B167" s="22">
        <v>0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>
        <f t="shared" si="8"/>
        <v>0</v>
      </c>
      <c r="K167">
        <f t="shared" si="9"/>
        <v>0</v>
      </c>
      <c r="L167">
        <f t="shared" si="10"/>
        <v>0</v>
      </c>
      <c r="M167">
        <f t="shared" si="11"/>
        <v>0</v>
      </c>
    </row>
    <row r="168" spans="1:13" ht="15" customHeight="1" x14ac:dyDescent="0.2">
      <c r="A168" t="s">
        <v>77</v>
      </c>
      <c r="B168" s="22">
        <v>0</v>
      </c>
      <c r="C168" s="22">
        <v>0</v>
      </c>
      <c r="D168" s="22">
        <v>0</v>
      </c>
      <c r="E168" s="22">
        <v>0</v>
      </c>
      <c r="F168" s="22">
        <v>0</v>
      </c>
      <c r="G168" s="22">
        <v>0</v>
      </c>
      <c r="H168" s="22">
        <v>0</v>
      </c>
      <c r="I168" s="22">
        <v>0</v>
      </c>
      <c r="J168">
        <f t="shared" si="8"/>
        <v>0</v>
      </c>
      <c r="K168">
        <f t="shared" si="9"/>
        <v>0</v>
      </c>
      <c r="L168">
        <f t="shared" si="10"/>
        <v>0</v>
      </c>
      <c r="M168">
        <f t="shared" si="11"/>
        <v>0</v>
      </c>
    </row>
    <row r="169" spans="1:13" ht="15" customHeight="1" x14ac:dyDescent="0.2">
      <c r="A169" t="s">
        <v>78</v>
      </c>
      <c r="B169" s="22">
        <v>0</v>
      </c>
      <c r="C169" s="22">
        <v>1</v>
      </c>
      <c r="D169" s="22">
        <v>0</v>
      </c>
      <c r="E169" s="22">
        <v>0</v>
      </c>
      <c r="F169" s="22">
        <v>0</v>
      </c>
      <c r="G169" s="22">
        <v>1</v>
      </c>
      <c r="H169" s="22">
        <v>0</v>
      </c>
      <c r="I169" s="22">
        <v>0</v>
      </c>
      <c r="J169">
        <f t="shared" si="8"/>
        <v>1</v>
      </c>
      <c r="K169">
        <f t="shared" si="9"/>
        <v>1</v>
      </c>
      <c r="L169">
        <f t="shared" si="10"/>
        <v>0</v>
      </c>
      <c r="M169">
        <f t="shared" si="11"/>
        <v>0</v>
      </c>
    </row>
    <row r="170" spans="1:13" ht="15" customHeight="1" x14ac:dyDescent="0.2">
      <c r="A170" t="s">
        <v>79</v>
      </c>
      <c r="B170" s="22">
        <v>0</v>
      </c>
      <c r="C170" s="22">
        <v>0</v>
      </c>
      <c r="D170" s="22">
        <v>0</v>
      </c>
      <c r="E170" s="22">
        <v>0</v>
      </c>
      <c r="F170" s="22">
        <v>0</v>
      </c>
      <c r="G170" s="22">
        <v>0</v>
      </c>
      <c r="H170" s="22">
        <v>0</v>
      </c>
      <c r="I170" s="22">
        <v>0</v>
      </c>
      <c r="J170">
        <f t="shared" si="8"/>
        <v>0</v>
      </c>
      <c r="K170">
        <f t="shared" si="9"/>
        <v>0</v>
      </c>
      <c r="L170">
        <f t="shared" si="10"/>
        <v>0</v>
      </c>
      <c r="M170">
        <f t="shared" si="11"/>
        <v>0</v>
      </c>
    </row>
    <row r="171" spans="1:13" ht="15" customHeight="1" x14ac:dyDescent="0.2">
      <c r="A171" t="s">
        <v>80</v>
      </c>
      <c r="B171" s="22">
        <v>0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>
        <f t="shared" si="8"/>
        <v>0</v>
      </c>
      <c r="K171">
        <f t="shared" si="9"/>
        <v>0</v>
      </c>
      <c r="L171">
        <f t="shared" si="10"/>
        <v>0</v>
      </c>
      <c r="M171">
        <f t="shared" si="11"/>
        <v>0</v>
      </c>
    </row>
    <row r="172" spans="1:13" ht="15" customHeight="1" x14ac:dyDescent="0.2">
      <c r="A172" t="s">
        <v>81</v>
      </c>
      <c r="B172" s="22">
        <v>1</v>
      </c>
      <c r="C172" s="22">
        <v>0</v>
      </c>
      <c r="D172" s="22">
        <v>0</v>
      </c>
      <c r="E172" s="22">
        <v>0</v>
      </c>
      <c r="F172" s="22">
        <v>1</v>
      </c>
      <c r="G172" s="22">
        <v>0</v>
      </c>
      <c r="H172" s="22">
        <v>0</v>
      </c>
      <c r="I172" s="22">
        <v>0</v>
      </c>
      <c r="J172">
        <f t="shared" si="8"/>
        <v>0</v>
      </c>
      <c r="K172">
        <f t="shared" si="9"/>
        <v>0</v>
      </c>
      <c r="L172">
        <f t="shared" si="10"/>
        <v>1</v>
      </c>
      <c r="M172">
        <f t="shared" si="11"/>
        <v>1</v>
      </c>
    </row>
    <row r="173" spans="1:13" ht="15" customHeight="1" x14ac:dyDescent="0.2">
      <c r="A173" t="s">
        <v>82</v>
      </c>
      <c r="B173" s="22">
        <v>0</v>
      </c>
      <c r="C173" s="22">
        <v>0</v>
      </c>
      <c r="D173" s="22">
        <v>1</v>
      </c>
      <c r="E173" s="22">
        <v>1</v>
      </c>
      <c r="F173" s="22">
        <v>0</v>
      </c>
      <c r="G173" s="22">
        <v>0</v>
      </c>
      <c r="H173" s="22">
        <v>1</v>
      </c>
      <c r="I173" s="22">
        <v>1</v>
      </c>
      <c r="J173">
        <f t="shared" si="8"/>
        <v>1</v>
      </c>
      <c r="K173">
        <f t="shared" si="9"/>
        <v>1</v>
      </c>
      <c r="L173">
        <f t="shared" si="10"/>
        <v>1</v>
      </c>
      <c r="M173">
        <f t="shared" si="11"/>
        <v>1</v>
      </c>
    </row>
    <row r="174" spans="1:13" ht="15" customHeight="1" x14ac:dyDescent="0.2">
      <c r="A174" t="s">
        <v>83</v>
      </c>
      <c r="B174" s="22">
        <v>0</v>
      </c>
      <c r="C174" s="22">
        <v>0</v>
      </c>
      <c r="D174" s="22">
        <v>0</v>
      </c>
      <c r="E174" s="22">
        <v>0</v>
      </c>
      <c r="F174" s="22">
        <v>0</v>
      </c>
      <c r="G174" s="22">
        <v>0</v>
      </c>
      <c r="H174" s="22">
        <v>0</v>
      </c>
      <c r="I174" s="22">
        <v>0</v>
      </c>
      <c r="J174">
        <f t="shared" si="8"/>
        <v>0</v>
      </c>
      <c r="K174">
        <f t="shared" si="9"/>
        <v>0</v>
      </c>
      <c r="L174">
        <f t="shared" si="10"/>
        <v>0</v>
      </c>
      <c r="M174">
        <f t="shared" si="11"/>
        <v>0</v>
      </c>
    </row>
    <row r="175" spans="1:13" ht="15" customHeight="1" x14ac:dyDescent="0.2">
      <c r="A175" t="s">
        <v>84</v>
      </c>
      <c r="B175" s="22">
        <v>0</v>
      </c>
      <c r="C175" s="22">
        <v>0</v>
      </c>
      <c r="D175" s="22">
        <v>0</v>
      </c>
      <c r="E175" s="22">
        <v>0</v>
      </c>
      <c r="F175" s="22">
        <v>0</v>
      </c>
      <c r="G175" s="22">
        <v>0</v>
      </c>
      <c r="H175" s="22">
        <v>0</v>
      </c>
      <c r="I175" s="22">
        <v>0</v>
      </c>
      <c r="J175">
        <f t="shared" si="8"/>
        <v>0</v>
      </c>
      <c r="K175">
        <f t="shared" si="9"/>
        <v>0</v>
      </c>
      <c r="L175">
        <f t="shared" si="10"/>
        <v>0</v>
      </c>
      <c r="M175">
        <f t="shared" si="11"/>
        <v>0</v>
      </c>
    </row>
    <row r="176" spans="1:13" ht="15" customHeight="1" x14ac:dyDescent="0.2">
      <c r="A176" t="s">
        <v>85</v>
      </c>
      <c r="B176" s="22">
        <v>1</v>
      </c>
      <c r="C176" s="22">
        <v>0</v>
      </c>
      <c r="D176" s="22">
        <v>1</v>
      </c>
      <c r="E176" s="22">
        <v>0</v>
      </c>
      <c r="F176" s="22">
        <v>1</v>
      </c>
      <c r="G176" s="22">
        <v>0</v>
      </c>
      <c r="H176" s="22">
        <v>1</v>
      </c>
      <c r="I176" s="22">
        <v>0</v>
      </c>
      <c r="J176">
        <f t="shared" si="8"/>
        <v>0</v>
      </c>
      <c r="K176">
        <f t="shared" si="9"/>
        <v>0</v>
      </c>
      <c r="L176">
        <f t="shared" si="10"/>
        <v>2</v>
      </c>
      <c r="M176">
        <f t="shared" si="11"/>
        <v>2</v>
      </c>
    </row>
    <row r="177" spans="1:13" ht="15" customHeight="1" x14ac:dyDescent="0.2">
      <c r="A177" t="s">
        <v>86</v>
      </c>
      <c r="B177" s="22">
        <v>0</v>
      </c>
      <c r="C177" s="22">
        <v>0</v>
      </c>
      <c r="D177" s="22">
        <v>0</v>
      </c>
      <c r="E177" s="22">
        <v>0</v>
      </c>
      <c r="F177" s="22">
        <v>0</v>
      </c>
      <c r="G177" s="22">
        <v>0</v>
      </c>
      <c r="H177" s="22">
        <v>0</v>
      </c>
      <c r="I177" s="22">
        <v>0</v>
      </c>
      <c r="J177">
        <f t="shared" si="8"/>
        <v>0</v>
      </c>
      <c r="K177">
        <f t="shared" si="9"/>
        <v>0</v>
      </c>
      <c r="L177">
        <f t="shared" si="10"/>
        <v>0</v>
      </c>
      <c r="M177">
        <f t="shared" si="11"/>
        <v>0</v>
      </c>
    </row>
    <row r="178" spans="1:13" ht="15" customHeight="1" x14ac:dyDescent="0.2">
      <c r="A178" t="s">
        <v>87</v>
      </c>
      <c r="B178" s="22">
        <v>0</v>
      </c>
      <c r="C178" s="22">
        <v>0</v>
      </c>
      <c r="D178" s="22">
        <v>0</v>
      </c>
      <c r="E178" s="22">
        <v>0</v>
      </c>
      <c r="F178" s="22">
        <v>0</v>
      </c>
      <c r="G178" s="22">
        <v>0</v>
      </c>
      <c r="H178" s="22">
        <v>0</v>
      </c>
      <c r="I178" s="22">
        <v>0</v>
      </c>
      <c r="J178">
        <f t="shared" si="8"/>
        <v>0</v>
      </c>
      <c r="K178">
        <f t="shared" si="9"/>
        <v>0</v>
      </c>
      <c r="L178">
        <f t="shared" si="10"/>
        <v>0</v>
      </c>
      <c r="M178">
        <f t="shared" si="11"/>
        <v>0</v>
      </c>
    </row>
    <row r="179" spans="1:13" ht="15" customHeight="1" x14ac:dyDescent="0.2">
      <c r="A179" t="s">
        <v>88</v>
      </c>
      <c r="B179" s="22">
        <v>1</v>
      </c>
      <c r="C179" s="22">
        <v>0</v>
      </c>
      <c r="D179" s="22">
        <v>0</v>
      </c>
      <c r="E179" s="22">
        <v>2</v>
      </c>
      <c r="F179" s="22">
        <v>1</v>
      </c>
      <c r="G179" s="22">
        <v>0</v>
      </c>
      <c r="H179" s="22">
        <v>0</v>
      </c>
      <c r="I179" s="22">
        <v>2</v>
      </c>
      <c r="J179">
        <f t="shared" si="8"/>
        <v>2</v>
      </c>
      <c r="K179">
        <f t="shared" si="9"/>
        <v>2</v>
      </c>
      <c r="L179">
        <f t="shared" si="10"/>
        <v>1</v>
      </c>
      <c r="M179">
        <f t="shared" si="11"/>
        <v>1</v>
      </c>
    </row>
    <row r="180" spans="1:13" ht="15" customHeight="1" x14ac:dyDescent="0.2">
      <c r="A180" t="s">
        <v>89</v>
      </c>
      <c r="B180" s="22">
        <v>0</v>
      </c>
      <c r="C180" s="22">
        <v>0</v>
      </c>
      <c r="D180" s="22">
        <v>0</v>
      </c>
      <c r="E180" s="22">
        <v>0</v>
      </c>
      <c r="F180" s="22">
        <v>0</v>
      </c>
      <c r="G180" s="22">
        <v>0</v>
      </c>
      <c r="H180" s="22">
        <v>0</v>
      </c>
      <c r="I180" s="22">
        <v>0</v>
      </c>
      <c r="J180">
        <f t="shared" si="8"/>
        <v>0</v>
      </c>
      <c r="K180">
        <f t="shared" si="9"/>
        <v>0</v>
      </c>
      <c r="L180">
        <f t="shared" si="10"/>
        <v>0</v>
      </c>
      <c r="M180">
        <f t="shared" si="11"/>
        <v>0</v>
      </c>
    </row>
    <row r="181" spans="1:13" ht="15" customHeight="1" x14ac:dyDescent="0.2">
      <c r="A181" t="s">
        <v>90</v>
      </c>
      <c r="B181" s="22">
        <v>0</v>
      </c>
      <c r="C181" s="22">
        <v>0</v>
      </c>
      <c r="D181" s="22">
        <v>0</v>
      </c>
      <c r="E181" s="22">
        <v>0</v>
      </c>
      <c r="F181" s="22">
        <v>0</v>
      </c>
      <c r="G181" s="22">
        <v>0</v>
      </c>
      <c r="H181" s="22">
        <v>0</v>
      </c>
      <c r="I181" s="22">
        <v>0</v>
      </c>
      <c r="J181">
        <f t="shared" si="8"/>
        <v>0</v>
      </c>
      <c r="K181">
        <f t="shared" si="9"/>
        <v>0</v>
      </c>
      <c r="L181">
        <f t="shared" si="10"/>
        <v>0</v>
      </c>
      <c r="M181">
        <f t="shared" si="11"/>
        <v>0</v>
      </c>
    </row>
    <row r="182" spans="1:13" ht="15" customHeight="1" x14ac:dyDescent="0.2">
      <c r="A182" t="s">
        <v>91</v>
      </c>
      <c r="B182" s="22">
        <v>0</v>
      </c>
      <c r="C182" s="22">
        <v>0</v>
      </c>
      <c r="D182" s="22">
        <v>0</v>
      </c>
      <c r="E182" s="22">
        <v>0</v>
      </c>
      <c r="F182" s="22">
        <v>0</v>
      </c>
      <c r="G182" s="22">
        <v>0</v>
      </c>
      <c r="H182" s="22">
        <v>0</v>
      </c>
      <c r="I182" s="22">
        <v>0</v>
      </c>
      <c r="J182">
        <f t="shared" si="8"/>
        <v>0</v>
      </c>
      <c r="K182">
        <f t="shared" si="9"/>
        <v>0</v>
      </c>
      <c r="L182">
        <f t="shared" si="10"/>
        <v>0</v>
      </c>
      <c r="M182">
        <f t="shared" si="11"/>
        <v>0</v>
      </c>
    </row>
    <row r="183" spans="1:13" ht="15" customHeight="1" x14ac:dyDescent="0.2">
      <c r="A183" t="s">
        <v>92</v>
      </c>
      <c r="B183" s="22">
        <v>0</v>
      </c>
      <c r="C183" s="22">
        <v>0</v>
      </c>
      <c r="D183" s="22">
        <v>0</v>
      </c>
      <c r="E183" s="22">
        <v>0</v>
      </c>
      <c r="F183" s="22">
        <v>0</v>
      </c>
      <c r="G183" s="22">
        <v>0</v>
      </c>
      <c r="H183" s="22">
        <v>0</v>
      </c>
      <c r="I183" s="22">
        <v>0</v>
      </c>
      <c r="J183">
        <f t="shared" si="8"/>
        <v>0</v>
      </c>
      <c r="K183">
        <f t="shared" si="9"/>
        <v>0</v>
      </c>
      <c r="L183">
        <f t="shared" si="10"/>
        <v>0</v>
      </c>
      <c r="M183">
        <f t="shared" si="11"/>
        <v>0</v>
      </c>
    </row>
    <row r="184" spans="1:13" ht="15" customHeight="1" x14ac:dyDescent="0.2">
      <c r="A184" t="s">
        <v>93</v>
      </c>
      <c r="B184" s="22">
        <v>0</v>
      </c>
      <c r="C184" s="22">
        <v>0</v>
      </c>
      <c r="D184" s="22">
        <v>0</v>
      </c>
      <c r="E184" s="22">
        <v>0</v>
      </c>
      <c r="F184" s="22">
        <v>0</v>
      </c>
      <c r="G184" s="22">
        <v>0</v>
      </c>
      <c r="H184" s="22">
        <v>0</v>
      </c>
      <c r="I184" s="22">
        <v>0</v>
      </c>
      <c r="J184">
        <f t="shared" si="8"/>
        <v>0</v>
      </c>
      <c r="K184">
        <f t="shared" si="9"/>
        <v>0</v>
      </c>
      <c r="L184">
        <f t="shared" si="10"/>
        <v>0</v>
      </c>
      <c r="M184">
        <f t="shared" si="11"/>
        <v>0</v>
      </c>
    </row>
    <row r="185" spans="1:13" ht="15" customHeight="1" x14ac:dyDescent="0.2">
      <c r="A185" t="s">
        <v>94</v>
      </c>
      <c r="B185" s="22">
        <v>0</v>
      </c>
      <c r="C185" s="22">
        <v>0</v>
      </c>
      <c r="D185" s="22">
        <v>0</v>
      </c>
      <c r="E185" s="22">
        <v>0</v>
      </c>
      <c r="F185" s="22">
        <v>0</v>
      </c>
      <c r="G185" s="22">
        <v>0</v>
      </c>
      <c r="H185" s="22">
        <v>0</v>
      </c>
      <c r="I185" s="22">
        <v>0</v>
      </c>
      <c r="J185">
        <f t="shared" si="8"/>
        <v>0</v>
      </c>
      <c r="K185">
        <f t="shared" si="9"/>
        <v>0</v>
      </c>
      <c r="L185">
        <f t="shared" si="10"/>
        <v>0</v>
      </c>
      <c r="M185">
        <f t="shared" si="11"/>
        <v>0</v>
      </c>
    </row>
    <row r="186" spans="1:13" ht="15" customHeight="1" x14ac:dyDescent="0.2">
      <c r="A186" t="s">
        <v>95</v>
      </c>
      <c r="B186" s="22">
        <v>0</v>
      </c>
      <c r="C186" s="22">
        <v>0</v>
      </c>
      <c r="D186" s="22">
        <v>0</v>
      </c>
      <c r="E186" s="22">
        <v>1</v>
      </c>
      <c r="F186" s="22">
        <v>0</v>
      </c>
      <c r="G186" s="22">
        <v>0</v>
      </c>
      <c r="H186" s="22">
        <v>0</v>
      </c>
      <c r="I186" s="22">
        <v>1</v>
      </c>
      <c r="J186">
        <f t="shared" si="8"/>
        <v>1</v>
      </c>
      <c r="K186">
        <f t="shared" si="9"/>
        <v>1</v>
      </c>
      <c r="L186">
        <f t="shared" si="10"/>
        <v>0</v>
      </c>
      <c r="M186">
        <f t="shared" si="11"/>
        <v>0</v>
      </c>
    </row>
    <row r="187" spans="1:13" ht="15" customHeight="1" x14ac:dyDescent="0.2">
      <c r="A187" t="s">
        <v>96</v>
      </c>
      <c r="B187" s="22">
        <v>0</v>
      </c>
      <c r="C187" s="22">
        <v>0</v>
      </c>
      <c r="D187" s="22">
        <v>0</v>
      </c>
      <c r="E187" s="22">
        <v>0</v>
      </c>
      <c r="F187" s="22">
        <v>0</v>
      </c>
      <c r="G187" s="22">
        <v>0</v>
      </c>
      <c r="H187" s="22">
        <v>0</v>
      </c>
      <c r="I187" s="22">
        <v>0</v>
      </c>
      <c r="J187">
        <f t="shared" si="8"/>
        <v>0</v>
      </c>
      <c r="K187">
        <f t="shared" si="9"/>
        <v>0</v>
      </c>
      <c r="L187">
        <f t="shared" si="10"/>
        <v>0</v>
      </c>
      <c r="M187">
        <f t="shared" si="11"/>
        <v>0</v>
      </c>
    </row>
    <row r="188" spans="1:13" ht="15" customHeight="1" x14ac:dyDescent="0.2">
      <c r="A188" t="s">
        <v>97</v>
      </c>
      <c r="B188" s="22">
        <v>1</v>
      </c>
      <c r="C188" s="22">
        <v>0</v>
      </c>
      <c r="D188" s="22">
        <v>0</v>
      </c>
      <c r="E188" s="22">
        <v>0</v>
      </c>
      <c r="F188" s="22">
        <v>1</v>
      </c>
      <c r="G188" s="22">
        <v>0</v>
      </c>
      <c r="H188" s="22">
        <v>0</v>
      </c>
      <c r="I188" s="22">
        <v>0</v>
      </c>
      <c r="J188">
        <f t="shared" si="8"/>
        <v>0</v>
      </c>
      <c r="K188">
        <f t="shared" si="9"/>
        <v>0</v>
      </c>
      <c r="L188">
        <f t="shared" si="10"/>
        <v>1</v>
      </c>
      <c r="M188">
        <f t="shared" si="11"/>
        <v>1</v>
      </c>
    </row>
    <row r="189" spans="1:13" ht="15" customHeight="1" x14ac:dyDescent="0.2">
      <c r="A189" t="s">
        <v>98</v>
      </c>
      <c r="B189" s="22">
        <v>0</v>
      </c>
      <c r="C189" s="22">
        <v>1</v>
      </c>
      <c r="D189" s="22">
        <v>0</v>
      </c>
      <c r="E189" s="22">
        <v>0</v>
      </c>
      <c r="F189" s="22">
        <v>0</v>
      </c>
      <c r="G189" s="22">
        <v>1</v>
      </c>
      <c r="H189" s="22">
        <v>0</v>
      </c>
      <c r="I189" s="22">
        <v>0</v>
      </c>
      <c r="J189">
        <f t="shared" si="8"/>
        <v>1</v>
      </c>
      <c r="K189">
        <f t="shared" si="9"/>
        <v>1</v>
      </c>
      <c r="L189">
        <f t="shared" si="10"/>
        <v>0</v>
      </c>
      <c r="M189">
        <f t="shared" si="11"/>
        <v>0</v>
      </c>
    </row>
    <row r="190" spans="1:13" ht="15" customHeight="1" x14ac:dyDescent="0.2">
      <c r="A190" t="s">
        <v>99</v>
      </c>
      <c r="B190" s="22">
        <v>0</v>
      </c>
      <c r="C190" s="22">
        <v>0</v>
      </c>
      <c r="D190" s="22">
        <v>0</v>
      </c>
      <c r="E190" s="22">
        <v>0</v>
      </c>
      <c r="F190" s="22">
        <v>0</v>
      </c>
      <c r="G190" s="22">
        <v>0</v>
      </c>
      <c r="H190" s="22">
        <v>0</v>
      </c>
      <c r="I190" s="22">
        <v>0</v>
      </c>
      <c r="J190">
        <f t="shared" si="8"/>
        <v>0</v>
      </c>
      <c r="K190">
        <f t="shared" si="9"/>
        <v>0</v>
      </c>
      <c r="L190">
        <f t="shared" si="10"/>
        <v>0</v>
      </c>
      <c r="M190">
        <f t="shared" si="11"/>
        <v>0</v>
      </c>
    </row>
    <row r="191" spans="1:13" ht="15" customHeight="1" x14ac:dyDescent="0.2">
      <c r="A191" t="s">
        <v>100</v>
      </c>
      <c r="B191" s="22">
        <v>0</v>
      </c>
      <c r="C191" s="22">
        <v>0</v>
      </c>
      <c r="D191" s="22">
        <v>0</v>
      </c>
      <c r="E191" s="22">
        <v>0</v>
      </c>
      <c r="F191" s="22">
        <v>0</v>
      </c>
      <c r="G191" s="22">
        <v>0</v>
      </c>
      <c r="H191" s="22">
        <v>0</v>
      </c>
      <c r="I191" s="22">
        <v>0</v>
      </c>
      <c r="J191">
        <f t="shared" si="8"/>
        <v>0</v>
      </c>
      <c r="K191">
        <f t="shared" si="9"/>
        <v>0</v>
      </c>
      <c r="L191">
        <f t="shared" si="10"/>
        <v>0</v>
      </c>
      <c r="M191">
        <f t="shared" si="11"/>
        <v>0</v>
      </c>
    </row>
    <row r="192" spans="1:13" ht="15" customHeight="1" x14ac:dyDescent="0.2">
      <c r="A192" t="s">
        <v>101</v>
      </c>
      <c r="B192" s="22">
        <v>0</v>
      </c>
      <c r="C192" s="22">
        <v>0</v>
      </c>
      <c r="D192" s="22">
        <v>0</v>
      </c>
      <c r="E192" s="22">
        <v>0</v>
      </c>
      <c r="F192" s="22">
        <v>0</v>
      </c>
      <c r="G192" s="22">
        <v>0</v>
      </c>
      <c r="H192" s="22">
        <v>0</v>
      </c>
      <c r="I192" s="22">
        <v>0</v>
      </c>
      <c r="J192">
        <f t="shared" si="8"/>
        <v>0</v>
      </c>
      <c r="K192">
        <f t="shared" si="9"/>
        <v>0</v>
      </c>
      <c r="L192">
        <f t="shared" si="10"/>
        <v>0</v>
      </c>
      <c r="M192">
        <f t="shared" si="11"/>
        <v>0</v>
      </c>
    </row>
    <row r="193" spans="1:13" ht="15" customHeight="1" x14ac:dyDescent="0.2">
      <c r="A193" t="s">
        <v>102</v>
      </c>
      <c r="B193" s="22">
        <v>0</v>
      </c>
      <c r="C193" s="22">
        <v>0</v>
      </c>
      <c r="D193" s="22">
        <v>0</v>
      </c>
      <c r="E193" s="22">
        <v>0</v>
      </c>
      <c r="F193" s="22">
        <v>0</v>
      </c>
      <c r="G193" s="22">
        <v>0</v>
      </c>
      <c r="H193" s="22">
        <v>0</v>
      </c>
      <c r="I193" s="22">
        <v>0</v>
      </c>
      <c r="J193">
        <f t="shared" si="8"/>
        <v>0</v>
      </c>
      <c r="K193">
        <f t="shared" si="9"/>
        <v>0</v>
      </c>
      <c r="L193">
        <f t="shared" si="10"/>
        <v>0</v>
      </c>
      <c r="M193">
        <f t="shared" si="11"/>
        <v>0</v>
      </c>
    </row>
    <row r="194" spans="1:13" ht="15" customHeight="1" x14ac:dyDescent="0.2">
      <c r="A194" t="s">
        <v>103</v>
      </c>
      <c r="B194" s="22">
        <v>0</v>
      </c>
      <c r="C194" s="22">
        <v>0</v>
      </c>
      <c r="D194" s="22">
        <v>0</v>
      </c>
      <c r="E194" s="22">
        <v>0</v>
      </c>
      <c r="F194" s="22">
        <v>0</v>
      </c>
      <c r="G194" s="22">
        <v>0</v>
      </c>
      <c r="H194" s="22">
        <v>0</v>
      </c>
      <c r="I194" s="22">
        <v>0</v>
      </c>
      <c r="J194">
        <f t="shared" si="8"/>
        <v>0</v>
      </c>
      <c r="K194">
        <f t="shared" si="9"/>
        <v>0</v>
      </c>
      <c r="L194">
        <f t="shared" si="10"/>
        <v>0</v>
      </c>
      <c r="M194">
        <f t="shared" si="11"/>
        <v>0</v>
      </c>
    </row>
    <row r="195" spans="1:13" ht="15" customHeight="1" x14ac:dyDescent="0.2">
      <c r="A195" t="s">
        <v>104</v>
      </c>
      <c r="B195" s="22">
        <v>0</v>
      </c>
      <c r="C195" s="22">
        <v>0</v>
      </c>
      <c r="D195" s="22">
        <v>0</v>
      </c>
      <c r="E195" s="22">
        <v>0</v>
      </c>
      <c r="F195" s="22">
        <v>0</v>
      </c>
      <c r="G195" s="22">
        <v>0</v>
      </c>
      <c r="H195" s="22">
        <v>0</v>
      </c>
      <c r="I195" s="22">
        <v>0</v>
      </c>
      <c r="J195">
        <f t="shared" si="8"/>
        <v>0</v>
      </c>
      <c r="K195">
        <f t="shared" si="9"/>
        <v>0</v>
      </c>
      <c r="L195">
        <f t="shared" si="10"/>
        <v>0</v>
      </c>
      <c r="M195">
        <f t="shared" si="11"/>
        <v>0</v>
      </c>
    </row>
    <row r="196" spans="1:13" ht="15" customHeight="1" x14ac:dyDescent="0.2">
      <c r="A196" t="s">
        <v>105</v>
      </c>
      <c r="B196" s="22">
        <v>0</v>
      </c>
      <c r="C196" s="22">
        <v>0</v>
      </c>
      <c r="D196" s="22">
        <v>0</v>
      </c>
      <c r="E196" s="22">
        <v>0</v>
      </c>
      <c r="F196" s="22">
        <v>0</v>
      </c>
      <c r="G196" s="22">
        <v>0</v>
      </c>
      <c r="H196" s="22">
        <v>0</v>
      </c>
      <c r="I196" s="22">
        <v>0</v>
      </c>
      <c r="J196">
        <f t="shared" si="8"/>
        <v>0</v>
      </c>
      <c r="K196">
        <f t="shared" si="9"/>
        <v>0</v>
      </c>
      <c r="L196">
        <f t="shared" si="10"/>
        <v>0</v>
      </c>
      <c r="M196">
        <f t="shared" si="11"/>
        <v>0</v>
      </c>
    </row>
    <row r="197" spans="1:13" ht="15" customHeight="1" x14ac:dyDescent="0.2">
      <c r="A197" t="s">
        <v>106</v>
      </c>
      <c r="B197" s="22">
        <v>0</v>
      </c>
      <c r="C197" s="22">
        <v>0</v>
      </c>
      <c r="D197" s="22">
        <v>0</v>
      </c>
      <c r="E197" s="22">
        <v>0</v>
      </c>
      <c r="F197" s="22">
        <v>0</v>
      </c>
      <c r="G197" s="22">
        <v>0</v>
      </c>
      <c r="H197" s="22">
        <v>0</v>
      </c>
      <c r="I197" s="22">
        <v>0</v>
      </c>
      <c r="J197">
        <f t="shared" si="8"/>
        <v>0</v>
      </c>
      <c r="K197">
        <f t="shared" si="9"/>
        <v>0</v>
      </c>
      <c r="L197">
        <f t="shared" si="10"/>
        <v>0</v>
      </c>
      <c r="M197">
        <f t="shared" si="11"/>
        <v>0</v>
      </c>
    </row>
    <row r="198" spans="1:13" ht="15" customHeight="1" x14ac:dyDescent="0.2">
      <c r="A198" t="s">
        <v>107</v>
      </c>
      <c r="B198" s="22">
        <v>0</v>
      </c>
      <c r="C198" s="22">
        <v>0</v>
      </c>
      <c r="D198" s="22">
        <v>0</v>
      </c>
      <c r="E198" s="22">
        <v>0</v>
      </c>
      <c r="F198" s="22">
        <v>0</v>
      </c>
      <c r="G198" s="22">
        <v>0</v>
      </c>
      <c r="H198" s="22">
        <v>0</v>
      </c>
      <c r="I198" s="22">
        <v>0</v>
      </c>
      <c r="J198">
        <f t="shared" si="8"/>
        <v>0</v>
      </c>
      <c r="K198">
        <f t="shared" si="9"/>
        <v>0</v>
      </c>
      <c r="L198">
        <f t="shared" si="10"/>
        <v>0</v>
      </c>
      <c r="M198">
        <f t="shared" si="11"/>
        <v>0</v>
      </c>
    </row>
    <row r="199" spans="1:13" ht="15" customHeight="1" x14ac:dyDescent="0.2">
      <c r="A199" t="s">
        <v>108</v>
      </c>
      <c r="B199" s="22">
        <v>0</v>
      </c>
      <c r="C199" s="22">
        <v>0</v>
      </c>
      <c r="D199" s="22">
        <v>0</v>
      </c>
      <c r="E199" s="22">
        <v>1</v>
      </c>
      <c r="F199" s="22">
        <v>0</v>
      </c>
      <c r="G199" s="22">
        <v>0</v>
      </c>
      <c r="H199" s="22">
        <v>0</v>
      </c>
      <c r="I199" s="22">
        <v>1</v>
      </c>
      <c r="J199">
        <f t="shared" si="8"/>
        <v>1</v>
      </c>
      <c r="K199">
        <f t="shared" si="9"/>
        <v>1</v>
      </c>
      <c r="L199">
        <f t="shared" si="10"/>
        <v>0</v>
      </c>
      <c r="M199">
        <f t="shared" si="11"/>
        <v>0</v>
      </c>
    </row>
    <row r="200" spans="1:13" ht="15" customHeight="1" x14ac:dyDescent="0.2">
      <c r="A200" t="s">
        <v>109</v>
      </c>
      <c r="B200" s="22">
        <v>0</v>
      </c>
      <c r="C200" s="22">
        <v>0</v>
      </c>
      <c r="D200" s="22">
        <v>0</v>
      </c>
      <c r="E200" s="22">
        <v>0</v>
      </c>
      <c r="F200" s="22">
        <v>0</v>
      </c>
      <c r="G200" s="22">
        <v>0</v>
      </c>
      <c r="H200" s="22">
        <v>0</v>
      </c>
      <c r="I200" s="22">
        <v>0</v>
      </c>
      <c r="J200">
        <f t="shared" si="8"/>
        <v>0</v>
      </c>
      <c r="K200">
        <f t="shared" si="9"/>
        <v>0</v>
      </c>
      <c r="L200">
        <f t="shared" si="10"/>
        <v>0</v>
      </c>
      <c r="M200">
        <f t="shared" si="11"/>
        <v>0</v>
      </c>
    </row>
    <row r="201" spans="1:13" ht="15" customHeight="1" x14ac:dyDescent="0.2">
      <c r="A201" t="s">
        <v>110</v>
      </c>
      <c r="B201" s="22">
        <v>0</v>
      </c>
      <c r="C201" s="22">
        <v>0</v>
      </c>
      <c r="D201" s="22">
        <v>0</v>
      </c>
      <c r="E201" s="22">
        <v>0</v>
      </c>
      <c r="F201" s="22">
        <v>0</v>
      </c>
      <c r="G201" s="22">
        <v>0</v>
      </c>
      <c r="H201" s="22">
        <v>0</v>
      </c>
      <c r="I201" s="22">
        <v>0</v>
      </c>
      <c r="J201">
        <f t="shared" si="8"/>
        <v>0</v>
      </c>
      <c r="K201">
        <f t="shared" si="9"/>
        <v>0</v>
      </c>
      <c r="L201">
        <f t="shared" si="10"/>
        <v>0</v>
      </c>
      <c r="M201">
        <f t="shared" si="11"/>
        <v>0</v>
      </c>
    </row>
    <row r="202" spans="1:13" ht="15" customHeight="1" x14ac:dyDescent="0.2">
      <c r="B202">
        <f t="shared" ref="B202:M202" si="12">SUM(B10:B201)</f>
        <v>18</v>
      </c>
      <c r="C202">
        <f t="shared" si="12"/>
        <v>15</v>
      </c>
      <c r="D202">
        <f t="shared" si="12"/>
        <v>14</v>
      </c>
      <c r="E202">
        <f t="shared" si="12"/>
        <v>20</v>
      </c>
      <c r="F202">
        <f t="shared" si="12"/>
        <v>31</v>
      </c>
      <c r="G202">
        <f t="shared" si="12"/>
        <v>12</v>
      </c>
      <c r="H202">
        <f t="shared" si="12"/>
        <v>9</v>
      </c>
      <c r="I202">
        <f t="shared" si="12"/>
        <v>18</v>
      </c>
      <c r="J202">
        <f t="shared" si="12"/>
        <v>32</v>
      </c>
      <c r="K202">
        <f t="shared" si="12"/>
        <v>33</v>
      </c>
      <c r="L202">
        <f t="shared" si="12"/>
        <v>45</v>
      </c>
      <c r="M202">
        <f t="shared" si="12"/>
        <v>27</v>
      </c>
    </row>
    <row r="204" spans="1:13" ht="15" customHeight="1" x14ac:dyDescent="0.2">
      <c r="K204" s="88" t="s">
        <v>212</v>
      </c>
      <c r="L204" s="6">
        <f>SUM(L38:L89,L134:L185)</f>
        <v>33</v>
      </c>
    </row>
    <row r="205" spans="1:13" ht="15" customHeight="1" x14ac:dyDescent="0.2">
      <c r="K205" s="88" t="s">
        <v>213</v>
      </c>
      <c r="L205" s="6">
        <f>L202-L204</f>
        <v>12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J205" sqref="J205"/>
    </sheetView>
  </sheetViews>
  <sheetFormatPr defaultColWidth="12.140625" defaultRowHeight="15" customHeight="1" x14ac:dyDescent="0.2"/>
  <cols>
    <col min="1" max="1" width="12.140625" bestFit="1" customWidth="1"/>
    <col min="2" max="3" width="10.42578125" customWidth="1"/>
    <col min="4" max="4" width="9.85546875" customWidth="1"/>
    <col min="5" max="5" width="11.140625" customWidth="1"/>
    <col min="6" max="6" width="11.28515625" customWidth="1"/>
  </cols>
  <sheetData>
    <row r="1" spans="1:10" ht="15" customHeight="1" x14ac:dyDescent="0.3">
      <c r="A1" s="111" t="s">
        <v>0</v>
      </c>
      <c r="B1" s="111"/>
      <c r="C1" s="112" t="s">
        <v>203</v>
      </c>
      <c r="D1" s="112"/>
      <c r="E1" s="112"/>
      <c r="F1" s="112"/>
    </row>
    <row r="2" spans="1:10" ht="15" customHeight="1" x14ac:dyDescent="0.3">
      <c r="A2" s="111" t="s">
        <v>2</v>
      </c>
      <c r="B2" s="111"/>
      <c r="C2" s="112" t="s">
        <v>204</v>
      </c>
      <c r="D2" s="112"/>
      <c r="E2" s="112"/>
      <c r="F2" s="112"/>
    </row>
    <row r="3" spans="1:10" ht="15" customHeight="1" x14ac:dyDescent="0.3">
      <c r="A3" s="111" t="s">
        <v>4</v>
      </c>
      <c r="B3" s="111"/>
      <c r="C3" s="112" t="s">
        <v>5</v>
      </c>
      <c r="D3" s="112"/>
      <c r="E3" s="112"/>
      <c r="F3" s="112"/>
    </row>
    <row r="4" spans="1:10" ht="15" customHeight="1" x14ac:dyDescent="0.3">
      <c r="A4" s="111" t="s">
        <v>6</v>
      </c>
      <c r="B4" s="111"/>
      <c r="C4" s="112" t="s">
        <v>7</v>
      </c>
      <c r="D4" s="112"/>
      <c r="E4" s="112"/>
      <c r="F4" s="112"/>
    </row>
    <row r="7" spans="1:10" s="1" customFormat="1" ht="28.5" customHeight="1" x14ac:dyDescent="0.3">
      <c r="A7" s="2" t="s">
        <v>8</v>
      </c>
      <c r="B7" s="35" t="s">
        <v>205</v>
      </c>
      <c r="C7" s="39" t="s">
        <v>206</v>
      </c>
      <c r="D7" s="39" t="s">
        <v>205</v>
      </c>
      <c r="E7" s="37" t="s">
        <v>206</v>
      </c>
    </row>
    <row r="8" spans="1:10" s="1" customFormat="1" ht="28.5" customHeight="1" x14ac:dyDescent="0.3">
      <c r="A8" s="2" t="s">
        <v>13</v>
      </c>
      <c r="B8" s="35" t="s">
        <v>128</v>
      </c>
      <c r="C8" s="39" t="s">
        <v>128</v>
      </c>
      <c r="D8" s="39" t="s">
        <v>129</v>
      </c>
      <c r="E8" s="37" t="s">
        <v>129</v>
      </c>
    </row>
    <row r="9" spans="1:10" s="1" customFormat="1" ht="28.5" customHeight="1" x14ac:dyDescent="0.2">
      <c r="B9" s="36" t="s">
        <v>112</v>
      </c>
      <c r="C9" s="16" t="s">
        <v>114</v>
      </c>
      <c r="D9" s="16" t="s">
        <v>114</v>
      </c>
      <c r="E9" s="38" t="s">
        <v>112</v>
      </c>
      <c r="F9" s="17" t="s">
        <v>113</v>
      </c>
      <c r="G9" s="17" t="s">
        <v>111</v>
      </c>
      <c r="H9" s="16" t="s">
        <v>114</v>
      </c>
      <c r="I9" s="16" t="s">
        <v>112</v>
      </c>
    </row>
    <row r="10" spans="1:10" ht="15" customHeight="1" x14ac:dyDescent="0.2">
      <c r="A10" t="s">
        <v>5</v>
      </c>
      <c r="B10" s="22">
        <v>0</v>
      </c>
      <c r="C10" s="40">
        <v>0</v>
      </c>
      <c r="D10" s="40">
        <v>0</v>
      </c>
      <c r="E10" s="22">
        <v>0</v>
      </c>
      <c r="H10">
        <f>SUM(C10:D10)</f>
        <v>0</v>
      </c>
      <c r="I10">
        <f>SUM(B10+E10)</f>
        <v>0</v>
      </c>
      <c r="J10">
        <v>15</v>
      </c>
    </row>
    <row r="11" spans="1:10" ht="15" customHeight="1" x14ac:dyDescent="0.2">
      <c r="A11" t="s">
        <v>16</v>
      </c>
      <c r="B11" s="22">
        <v>0</v>
      </c>
      <c r="C11" s="40">
        <v>0</v>
      </c>
      <c r="D11" s="40">
        <v>0</v>
      </c>
      <c r="E11" s="22">
        <v>0</v>
      </c>
      <c r="H11">
        <f t="shared" ref="H11:H74" si="0">SUM(C11:D11)</f>
        <v>0</v>
      </c>
      <c r="I11">
        <f t="shared" ref="I11:I74" si="1">SUM(B11+E11)</f>
        <v>0</v>
      </c>
      <c r="J11">
        <v>15</v>
      </c>
    </row>
    <row r="12" spans="1:10" ht="15" customHeight="1" x14ac:dyDescent="0.2">
      <c r="A12" t="s">
        <v>17</v>
      </c>
      <c r="B12" s="22">
        <v>0</v>
      </c>
      <c r="C12" s="40">
        <v>0</v>
      </c>
      <c r="D12" s="40">
        <v>0</v>
      </c>
      <c r="E12" s="22">
        <v>0</v>
      </c>
      <c r="H12">
        <f t="shared" si="0"/>
        <v>0</v>
      </c>
      <c r="I12">
        <f t="shared" si="1"/>
        <v>0</v>
      </c>
      <c r="J12">
        <v>15</v>
      </c>
    </row>
    <row r="13" spans="1:10" ht="15" customHeight="1" x14ac:dyDescent="0.2">
      <c r="A13" t="s">
        <v>18</v>
      </c>
      <c r="B13" s="22">
        <v>0</v>
      </c>
      <c r="C13" s="40">
        <v>0</v>
      </c>
      <c r="D13" s="40">
        <v>0</v>
      </c>
      <c r="E13" s="22">
        <v>0</v>
      </c>
      <c r="H13">
        <f t="shared" si="0"/>
        <v>0</v>
      </c>
      <c r="I13">
        <f t="shared" si="1"/>
        <v>0</v>
      </c>
      <c r="J13">
        <v>15</v>
      </c>
    </row>
    <row r="14" spans="1:10" ht="15" customHeight="1" x14ac:dyDescent="0.2">
      <c r="A14" t="s">
        <v>19</v>
      </c>
      <c r="B14" s="22">
        <v>0</v>
      </c>
      <c r="C14" s="40">
        <v>0</v>
      </c>
      <c r="D14" s="40">
        <v>0</v>
      </c>
      <c r="E14" s="22">
        <v>0</v>
      </c>
      <c r="H14">
        <f t="shared" si="0"/>
        <v>0</v>
      </c>
      <c r="I14">
        <f t="shared" si="1"/>
        <v>0</v>
      </c>
      <c r="J14">
        <v>15</v>
      </c>
    </row>
    <row r="15" spans="1:10" ht="15" customHeight="1" x14ac:dyDescent="0.2">
      <c r="A15" t="s">
        <v>20</v>
      </c>
      <c r="B15" s="22">
        <v>0</v>
      </c>
      <c r="C15" s="40">
        <v>0</v>
      </c>
      <c r="D15" s="40">
        <v>0</v>
      </c>
      <c r="E15" s="22">
        <v>0</v>
      </c>
      <c r="H15">
        <f t="shared" si="0"/>
        <v>0</v>
      </c>
      <c r="I15">
        <f t="shared" si="1"/>
        <v>0</v>
      </c>
      <c r="J15">
        <v>15</v>
      </c>
    </row>
    <row r="16" spans="1:10" ht="15" customHeight="1" x14ac:dyDescent="0.2">
      <c r="A16" t="s">
        <v>21</v>
      </c>
      <c r="B16" s="22">
        <v>0</v>
      </c>
      <c r="C16" s="40">
        <v>0</v>
      </c>
      <c r="D16" s="40">
        <v>0</v>
      </c>
      <c r="E16" s="22">
        <v>0</v>
      </c>
      <c r="H16">
        <f t="shared" si="0"/>
        <v>0</v>
      </c>
      <c r="I16">
        <f t="shared" si="1"/>
        <v>0</v>
      </c>
      <c r="J16">
        <v>15</v>
      </c>
    </row>
    <row r="17" spans="1:10" ht="15" customHeight="1" x14ac:dyDescent="0.2">
      <c r="A17" t="s">
        <v>22</v>
      </c>
      <c r="B17" s="22">
        <v>0</v>
      </c>
      <c r="C17" s="40">
        <v>0</v>
      </c>
      <c r="D17" s="40">
        <v>0</v>
      </c>
      <c r="E17" s="22">
        <v>0</v>
      </c>
      <c r="H17">
        <f t="shared" si="0"/>
        <v>0</v>
      </c>
      <c r="I17">
        <f t="shared" si="1"/>
        <v>0</v>
      </c>
      <c r="J17">
        <v>15</v>
      </c>
    </row>
    <row r="18" spans="1:10" ht="15" customHeight="1" x14ac:dyDescent="0.2">
      <c r="A18" t="s">
        <v>23</v>
      </c>
      <c r="B18" s="22">
        <v>0</v>
      </c>
      <c r="C18" s="40">
        <v>0</v>
      </c>
      <c r="D18" s="40">
        <v>0</v>
      </c>
      <c r="E18" s="22">
        <v>0</v>
      </c>
      <c r="H18">
        <f t="shared" si="0"/>
        <v>0</v>
      </c>
      <c r="I18">
        <f t="shared" si="1"/>
        <v>0</v>
      </c>
      <c r="J18">
        <v>15</v>
      </c>
    </row>
    <row r="19" spans="1:10" ht="15" customHeight="1" x14ac:dyDescent="0.2">
      <c r="A19" t="s">
        <v>24</v>
      </c>
      <c r="B19" s="22">
        <v>0</v>
      </c>
      <c r="C19" s="40">
        <v>0</v>
      </c>
      <c r="D19" s="40">
        <v>0</v>
      </c>
      <c r="E19" s="22">
        <v>0</v>
      </c>
      <c r="H19">
        <f t="shared" si="0"/>
        <v>0</v>
      </c>
      <c r="I19">
        <f t="shared" si="1"/>
        <v>0</v>
      </c>
      <c r="J19">
        <v>15</v>
      </c>
    </row>
    <row r="20" spans="1:10" ht="15" customHeight="1" x14ac:dyDescent="0.2">
      <c r="A20" t="s">
        <v>25</v>
      </c>
      <c r="B20" s="22">
        <v>0</v>
      </c>
      <c r="C20" s="40">
        <v>0</v>
      </c>
      <c r="D20" s="40">
        <v>0</v>
      </c>
      <c r="E20" s="22">
        <v>0</v>
      </c>
      <c r="H20">
        <f t="shared" si="0"/>
        <v>0</v>
      </c>
      <c r="I20">
        <f t="shared" si="1"/>
        <v>0</v>
      </c>
      <c r="J20">
        <v>15</v>
      </c>
    </row>
    <row r="21" spans="1:10" ht="15" customHeight="1" x14ac:dyDescent="0.2">
      <c r="A21" t="s">
        <v>26</v>
      </c>
      <c r="B21" s="22">
        <v>0</v>
      </c>
      <c r="C21" s="40">
        <v>0</v>
      </c>
      <c r="D21" s="40">
        <v>0</v>
      </c>
      <c r="E21" s="22">
        <v>0</v>
      </c>
      <c r="H21">
        <f t="shared" si="0"/>
        <v>0</v>
      </c>
      <c r="I21">
        <f t="shared" si="1"/>
        <v>0</v>
      </c>
      <c r="J21">
        <v>15</v>
      </c>
    </row>
    <row r="22" spans="1:10" ht="15" customHeight="1" x14ac:dyDescent="0.2">
      <c r="A22" t="s">
        <v>27</v>
      </c>
      <c r="B22" s="22">
        <v>0</v>
      </c>
      <c r="C22" s="40">
        <v>0</v>
      </c>
      <c r="D22" s="40">
        <v>0</v>
      </c>
      <c r="E22" s="22">
        <v>0</v>
      </c>
      <c r="H22">
        <f t="shared" si="0"/>
        <v>0</v>
      </c>
      <c r="I22">
        <f t="shared" si="1"/>
        <v>0</v>
      </c>
      <c r="J22">
        <v>15</v>
      </c>
    </row>
    <row r="23" spans="1:10" ht="15" customHeight="1" x14ac:dyDescent="0.2">
      <c r="A23" t="s">
        <v>28</v>
      </c>
      <c r="B23" s="22">
        <v>0</v>
      </c>
      <c r="C23" s="40">
        <v>0</v>
      </c>
      <c r="D23" s="40">
        <v>0</v>
      </c>
      <c r="E23" s="22">
        <v>0</v>
      </c>
      <c r="H23">
        <f t="shared" si="0"/>
        <v>0</v>
      </c>
      <c r="I23">
        <f t="shared" si="1"/>
        <v>0</v>
      </c>
      <c r="J23">
        <v>15</v>
      </c>
    </row>
    <row r="24" spans="1:10" ht="15" customHeight="1" x14ac:dyDescent="0.2">
      <c r="A24" t="s">
        <v>29</v>
      </c>
      <c r="B24" s="22">
        <v>0</v>
      </c>
      <c r="C24" s="40">
        <v>0</v>
      </c>
      <c r="D24" s="40">
        <v>0</v>
      </c>
      <c r="E24" s="22">
        <v>0</v>
      </c>
      <c r="H24">
        <f t="shared" si="0"/>
        <v>0</v>
      </c>
      <c r="I24">
        <f t="shared" si="1"/>
        <v>0</v>
      </c>
      <c r="J24">
        <v>15</v>
      </c>
    </row>
    <row r="25" spans="1:10" ht="15" customHeight="1" x14ac:dyDescent="0.2">
      <c r="A25" t="s">
        <v>30</v>
      </c>
      <c r="B25" s="22">
        <v>0</v>
      </c>
      <c r="C25" s="40">
        <v>0</v>
      </c>
      <c r="D25" s="40">
        <v>0</v>
      </c>
      <c r="E25" s="22">
        <v>0</v>
      </c>
      <c r="H25">
        <f t="shared" si="0"/>
        <v>0</v>
      </c>
      <c r="I25">
        <f t="shared" si="1"/>
        <v>0</v>
      </c>
      <c r="J25">
        <v>15</v>
      </c>
    </row>
    <row r="26" spans="1:10" ht="15" customHeight="1" x14ac:dyDescent="0.2">
      <c r="A26" t="s">
        <v>31</v>
      </c>
      <c r="B26" s="22">
        <v>0</v>
      </c>
      <c r="C26" s="40">
        <v>0</v>
      </c>
      <c r="D26" s="40">
        <v>0</v>
      </c>
      <c r="E26" s="22">
        <v>0</v>
      </c>
      <c r="H26">
        <f t="shared" si="0"/>
        <v>0</v>
      </c>
      <c r="I26">
        <f t="shared" si="1"/>
        <v>0</v>
      </c>
      <c r="J26">
        <v>15</v>
      </c>
    </row>
    <row r="27" spans="1:10" ht="15" customHeight="1" x14ac:dyDescent="0.2">
      <c r="A27" t="s">
        <v>32</v>
      </c>
      <c r="B27" s="22">
        <v>0</v>
      </c>
      <c r="C27" s="40">
        <v>0</v>
      </c>
      <c r="D27" s="40">
        <v>0</v>
      </c>
      <c r="E27" s="22">
        <v>0</v>
      </c>
      <c r="H27">
        <f t="shared" si="0"/>
        <v>0</v>
      </c>
      <c r="I27">
        <f t="shared" si="1"/>
        <v>0</v>
      </c>
      <c r="J27">
        <v>15</v>
      </c>
    </row>
    <row r="28" spans="1:10" ht="15" customHeight="1" x14ac:dyDescent="0.2">
      <c r="A28" t="s">
        <v>33</v>
      </c>
      <c r="B28" s="22">
        <v>0</v>
      </c>
      <c r="C28" s="40">
        <v>0</v>
      </c>
      <c r="D28" s="40">
        <v>0</v>
      </c>
      <c r="E28" s="22">
        <v>0</v>
      </c>
      <c r="H28">
        <f t="shared" si="0"/>
        <v>0</v>
      </c>
      <c r="I28">
        <f t="shared" si="1"/>
        <v>0</v>
      </c>
      <c r="J28">
        <v>15</v>
      </c>
    </row>
    <row r="29" spans="1:10" ht="15" customHeight="1" x14ac:dyDescent="0.2">
      <c r="A29" t="s">
        <v>34</v>
      </c>
      <c r="B29" s="22">
        <v>0</v>
      </c>
      <c r="C29" s="40">
        <v>0</v>
      </c>
      <c r="D29" s="40">
        <v>0</v>
      </c>
      <c r="E29" s="22">
        <v>0</v>
      </c>
      <c r="H29">
        <f t="shared" si="0"/>
        <v>0</v>
      </c>
      <c r="I29">
        <f t="shared" si="1"/>
        <v>0</v>
      </c>
      <c r="J29">
        <v>15</v>
      </c>
    </row>
    <row r="30" spans="1:10" ht="15" customHeight="1" x14ac:dyDescent="0.2">
      <c r="A30" t="s">
        <v>35</v>
      </c>
      <c r="B30" s="22">
        <v>0</v>
      </c>
      <c r="C30" s="40">
        <v>0</v>
      </c>
      <c r="D30" s="40">
        <v>0</v>
      </c>
      <c r="E30" s="22">
        <v>0</v>
      </c>
      <c r="H30">
        <f t="shared" si="0"/>
        <v>0</v>
      </c>
      <c r="I30">
        <f t="shared" si="1"/>
        <v>0</v>
      </c>
      <c r="J30">
        <v>15</v>
      </c>
    </row>
    <row r="31" spans="1:10" ht="15" customHeight="1" x14ac:dyDescent="0.2">
      <c r="A31" t="s">
        <v>36</v>
      </c>
      <c r="B31" s="22">
        <v>0</v>
      </c>
      <c r="C31" s="40">
        <v>0</v>
      </c>
      <c r="D31" s="40">
        <v>0</v>
      </c>
      <c r="E31" s="22">
        <v>0</v>
      </c>
      <c r="H31">
        <f t="shared" si="0"/>
        <v>0</v>
      </c>
      <c r="I31">
        <f t="shared" si="1"/>
        <v>0</v>
      </c>
      <c r="J31">
        <v>15</v>
      </c>
    </row>
    <row r="32" spans="1:10" ht="15" customHeight="1" x14ac:dyDescent="0.2">
      <c r="A32" t="s">
        <v>37</v>
      </c>
      <c r="B32" s="22">
        <v>0</v>
      </c>
      <c r="C32" s="40">
        <v>0</v>
      </c>
      <c r="D32" s="40">
        <v>0</v>
      </c>
      <c r="E32" s="22">
        <v>0</v>
      </c>
      <c r="H32">
        <f t="shared" si="0"/>
        <v>0</v>
      </c>
      <c r="I32">
        <f t="shared" si="1"/>
        <v>0</v>
      </c>
      <c r="J32">
        <v>15</v>
      </c>
    </row>
    <row r="33" spans="1:10" ht="15" customHeight="1" x14ac:dyDescent="0.2">
      <c r="A33" t="s">
        <v>38</v>
      </c>
      <c r="B33" s="22">
        <v>0</v>
      </c>
      <c r="C33" s="40">
        <v>0</v>
      </c>
      <c r="D33" s="40">
        <v>0</v>
      </c>
      <c r="E33" s="22">
        <v>0</v>
      </c>
      <c r="H33">
        <f t="shared" si="0"/>
        <v>0</v>
      </c>
      <c r="I33">
        <f t="shared" si="1"/>
        <v>0</v>
      </c>
      <c r="J33">
        <v>15</v>
      </c>
    </row>
    <row r="34" spans="1:10" ht="15" customHeight="1" x14ac:dyDescent="0.2">
      <c r="A34" t="s">
        <v>39</v>
      </c>
      <c r="B34" s="22">
        <v>0</v>
      </c>
      <c r="C34" s="40">
        <v>0</v>
      </c>
      <c r="D34" s="40">
        <v>0</v>
      </c>
      <c r="E34" s="22">
        <v>0</v>
      </c>
      <c r="H34">
        <f t="shared" si="0"/>
        <v>0</v>
      </c>
      <c r="I34">
        <f t="shared" si="1"/>
        <v>0</v>
      </c>
      <c r="J34">
        <v>15</v>
      </c>
    </row>
    <row r="35" spans="1:10" ht="15" customHeight="1" x14ac:dyDescent="0.2">
      <c r="A35" t="s">
        <v>40</v>
      </c>
      <c r="B35" s="22">
        <v>0</v>
      </c>
      <c r="C35" s="40">
        <v>0</v>
      </c>
      <c r="D35" s="40">
        <v>0</v>
      </c>
      <c r="E35" s="22">
        <v>0</v>
      </c>
      <c r="H35">
        <f t="shared" si="0"/>
        <v>0</v>
      </c>
      <c r="I35">
        <f t="shared" si="1"/>
        <v>0</v>
      </c>
      <c r="J35">
        <v>15</v>
      </c>
    </row>
    <row r="36" spans="1:10" ht="15" customHeight="1" x14ac:dyDescent="0.2">
      <c r="A36" t="s">
        <v>41</v>
      </c>
      <c r="B36" s="22">
        <v>0</v>
      </c>
      <c r="C36" s="40">
        <v>0</v>
      </c>
      <c r="D36" s="40">
        <v>0</v>
      </c>
      <c r="E36" s="22">
        <v>0</v>
      </c>
      <c r="H36">
        <f t="shared" si="0"/>
        <v>0</v>
      </c>
      <c r="I36">
        <f t="shared" si="1"/>
        <v>0</v>
      </c>
      <c r="J36">
        <v>15</v>
      </c>
    </row>
    <row r="37" spans="1:10" ht="15" customHeight="1" x14ac:dyDescent="0.2">
      <c r="A37" t="s">
        <v>42</v>
      </c>
      <c r="B37" s="22">
        <v>0</v>
      </c>
      <c r="C37" s="40">
        <v>0</v>
      </c>
      <c r="D37" s="40">
        <v>0</v>
      </c>
      <c r="E37" s="22">
        <v>0</v>
      </c>
      <c r="H37">
        <f t="shared" si="0"/>
        <v>0</v>
      </c>
      <c r="I37">
        <f t="shared" si="1"/>
        <v>0</v>
      </c>
      <c r="J37">
        <v>15</v>
      </c>
    </row>
    <row r="38" spans="1:10" ht="15" customHeight="1" x14ac:dyDescent="0.2">
      <c r="A38" t="s">
        <v>43</v>
      </c>
      <c r="B38" s="22">
        <v>0</v>
      </c>
      <c r="C38" s="40">
        <v>0</v>
      </c>
      <c r="D38" s="40">
        <v>0</v>
      </c>
      <c r="E38" s="22">
        <v>0</v>
      </c>
      <c r="H38">
        <f t="shared" si="0"/>
        <v>0</v>
      </c>
      <c r="I38">
        <f t="shared" si="1"/>
        <v>0</v>
      </c>
      <c r="J38">
        <v>15</v>
      </c>
    </row>
    <row r="39" spans="1:10" ht="15" customHeight="1" x14ac:dyDescent="0.2">
      <c r="A39" t="s">
        <v>44</v>
      </c>
      <c r="B39" s="22">
        <v>0</v>
      </c>
      <c r="C39" s="40">
        <v>0</v>
      </c>
      <c r="D39" s="40">
        <v>0</v>
      </c>
      <c r="E39" s="22">
        <v>0</v>
      </c>
      <c r="H39">
        <f t="shared" si="0"/>
        <v>0</v>
      </c>
      <c r="I39">
        <f t="shared" si="1"/>
        <v>0</v>
      </c>
      <c r="J39">
        <v>15</v>
      </c>
    </row>
    <row r="40" spans="1:10" ht="15" customHeight="1" x14ac:dyDescent="0.2">
      <c r="A40" t="s">
        <v>45</v>
      </c>
      <c r="B40" s="22">
        <v>0</v>
      </c>
      <c r="C40" s="40">
        <v>0</v>
      </c>
      <c r="D40" s="40">
        <v>0</v>
      </c>
      <c r="E40" s="22">
        <v>0</v>
      </c>
      <c r="H40">
        <f t="shared" si="0"/>
        <v>0</v>
      </c>
      <c r="I40">
        <f t="shared" si="1"/>
        <v>0</v>
      </c>
      <c r="J40">
        <v>15</v>
      </c>
    </row>
    <row r="41" spans="1:10" ht="15" customHeight="1" x14ac:dyDescent="0.2">
      <c r="A41" t="s">
        <v>46</v>
      </c>
      <c r="B41" s="22">
        <v>0</v>
      </c>
      <c r="C41" s="40">
        <v>0</v>
      </c>
      <c r="D41" s="40">
        <v>0</v>
      </c>
      <c r="E41" s="22">
        <v>0</v>
      </c>
      <c r="H41">
        <f t="shared" si="0"/>
        <v>0</v>
      </c>
      <c r="I41">
        <f t="shared" si="1"/>
        <v>0</v>
      </c>
      <c r="J41">
        <v>15</v>
      </c>
    </row>
    <row r="42" spans="1:10" ht="15" customHeight="1" x14ac:dyDescent="0.2">
      <c r="A42" t="s">
        <v>47</v>
      </c>
      <c r="B42" s="22">
        <v>0</v>
      </c>
      <c r="C42" s="40">
        <v>0</v>
      </c>
      <c r="D42" s="40">
        <v>0</v>
      </c>
      <c r="E42" s="22">
        <v>0</v>
      </c>
      <c r="H42">
        <f t="shared" si="0"/>
        <v>0</v>
      </c>
      <c r="I42">
        <f t="shared" si="1"/>
        <v>0</v>
      </c>
      <c r="J42">
        <v>15</v>
      </c>
    </row>
    <row r="43" spans="1:10" ht="15" customHeight="1" x14ac:dyDescent="0.2">
      <c r="A43" t="s">
        <v>48</v>
      </c>
      <c r="B43" s="22">
        <v>0</v>
      </c>
      <c r="C43" s="40">
        <v>0</v>
      </c>
      <c r="D43" s="40">
        <v>0</v>
      </c>
      <c r="E43" s="22">
        <v>0</v>
      </c>
      <c r="H43">
        <f t="shared" si="0"/>
        <v>0</v>
      </c>
      <c r="I43">
        <f t="shared" si="1"/>
        <v>0</v>
      </c>
      <c r="J43">
        <v>15</v>
      </c>
    </row>
    <row r="44" spans="1:10" ht="15" customHeight="1" x14ac:dyDescent="0.2">
      <c r="A44" t="s">
        <v>49</v>
      </c>
      <c r="B44" s="22">
        <v>0</v>
      </c>
      <c r="C44" s="40">
        <v>0</v>
      </c>
      <c r="D44" s="40">
        <v>0</v>
      </c>
      <c r="E44" s="22">
        <v>0</v>
      </c>
      <c r="H44">
        <f t="shared" si="0"/>
        <v>0</v>
      </c>
      <c r="I44">
        <f t="shared" si="1"/>
        <v>0</v>
      </c>
      <c r="J44">
        <v>15</v>
      </c>
    </row>
    <row r="45" spans="1:10" ht="15" customHeight="1" x14ac:dyDescent="0.2">
      <c r="A45" t="s">
        <v>50</v>
      </c>
      <c r="B45" s="22">
        <v>0</v>
      </c>
      <c r="C45" s="40">
        <v>0</v>
      </c>
      <c r="D45" s="40">
        <v>0</v>
      </c>
      <c r="E45" s="22">
        <v>0</v>
      </c>
      <c r="H45">
        <f t="shared" si="0"/>
        <v>0</v>
      </c>
      <c r="I45">
        <f t="shared" si="1"/>
        <v>0</v>
      </c>
      <c r="J45">
        <v>15</v>
      </c>
    </row>
    <row r="46" spans="1:10" ht="15" customHeight="1" x14ac:dyDescent="0.2">
      <c r="A46" t="s">
        <v>51</v>
      </c>
      <c r="B46" s="22">
        <v>0</v>
      </c>
      <c r="C46" s="40">
        <v>0</v>
      </c>
      <c r="D46" s="40">
        <v>0</v>
      </c>
      <c r="E46" s="22">
        <v>0</v>
      </c>
      <c r="H46">
        <f t="shared" si="0"/>
        <v>0</v>
      </c>
      <c r="I46">
        <f t="shared" si="1"/>
        <v>0</v>
      </c>
      <c r="J46">
        <v>15</v>
      </c>
    </row>
    <row r="47" spans="1:10" ht="15" customHeight="1" x14ac:dyDescent="0.2">
      <c r="A47" t="s">
        <v>52</v>
      </c>
      <c r="B47" s="22">
        <v>0</v>
      </c>
      <c r="C47" s="40">
        <v>0</v>
      </c>
      <c r="D47" s="40">
        <v>0</v>
      </c>
      <c r="E47" s="22">
        <v>0</v>
      </c>
      <c r="H47">
        <f t="shared" si="0"/>
        <v>0</v>
      </c>
      <c r="I47">
        <f t="shared" si="1"/>
        <v>0</v>
      </c>
      <c r="J47">
        <v>15</v>
      </c>
    </row>
    <row r="48" spans="1:10" ht="15" customHeight="1" x14ac:dyDescent="0.2">
      <c r="A48" t="s">
        <v>53</v>
      </c>
      <c r="B48" s="22">
        <v>0</v>
      </c>
      <c r="C48" s="40">
        <v>0</v>
      </c>
      <c r="D48" s="40">
        <v>0</v>
      </c>
      <c r="E48" s="22">
        <v>0</v>
      </c>
      <c r="H48">
        <f t="shared" si="0"/>
        <v>0</v>
      </c>
      <c r="I48">
        <f t="shared" si="1"/>
        <v>0</v>
      </c>
      <c r="J48">
        <v>15</v>
      </c>
    </row>
    <row r="49" spans="1:10" ht="15" customHeight="1" x14ac:dyDescent="0.2">
      <c r="A49" t="s">
        <v>54</v>
      </c>
      <c r="B49" s="22">
        <v>0</v>
      </c>
      <c r="C49" s="40">
        <v>0</v>
      </c>
      <c r="D49" s="40">
        <v>0</v>
      </c>
      <c r="E49" s="22">
        <v>0</v>
      </c>
      <c r="H49">
        <f t="shared" si="0"/>
        <v>0</v>
      </c>
      <c r="I49">
        <f t="shared" si="1"/>
        <v>0</v>
      </c>
      <c r="J49">
        <v>15</v>
      </c>
    </row>
    <row r="50" spans="1:10" ht="15" customHeight="1" x14ac:dyDescent="0.2">
      <c r="A50" t="s">
        <v>55</v>
      </c>
      <c r="B50" s="22">
        <v>0</v>
      </c>
      <c r="C50" s="40">
        <v>0</v>
      </c>
      <c r="D50" s="40">
        <v>0</v>
      </c>
      <c r="E50" s="22">
        <v>0</v>
      </c>
      <c r="H50">
        <f t="shared" si="0"/>
        <v>0</v>
      </c>
      <c r="I50">
        <f t="shared" si="1"/>
        <v>0</v>
      </c>
      <c r="J50">
        <v>15</v>
      </c>
    </row>
    <row r="51" spans="1:10" ht="15" customHeight="1" x14ac:dyDescent="0.2">
      <c r="A51" t="s">
        <v>56</v>
      </c>
      <c r="B51" s="22">
        <v>0</v>
      </c>
      <c r="C51" s="40">
        <v>0</v>
      </c>
      <c r="D51" s="40">
        <v>0</v>
      </c>
      <c r="E51" s="22">
        <v>0</v>
      </c>
      <c r="H51">
        <f t="shared" si="0"/>
        <v>0</v>
      </c>
      <c r="I51">
        <f t="shared" si="1"/>
        <v>0</v>
      </c>
      <c r="J51">
        <v>15</v>
      </c>
    </row>
    <row r="52" spans="1:10" ht="15" customHeight="1" x14ac:dyDescent="0.2">
      <c r="A52" t="s">
        <v>57</v>
      </c>
      <c r="B52" s="22">
        <v>0</v>
      </c>
      <c r="C52" s="40">
        <v>0</v>
      </c>
      <c r="D52" s="40">
        <v>0</v>
      </c>
      <c r="E52" s="22">
        <v>0</v>
      </c>
      <c r="H52">
        <f t="shared" si="0"/>
        <v>0</v>
      </c>
      <c r="I52">
        <f t="shared" si="1"/>
        <v>0</v>
      </c>
      <c r="J52">
        <v>15</v>
      </c>
    </row>
    <row r="53" spans="1:10" ht="15" customHeight="1" x14ac:dyDescent="0.2">
      <c r="A53" t="s">
        <v>58</v>
      </c>
      <c r="B53" s="22">
        <v>0</v>
      </c>
      <c r="C53" s="40">
        <v>0</v>
      </c>
      <c r="D53" s="40">
        <v>0</v>
      </c>
      <c r="E53" s="22">
        <v>0</v>
      </c>
      <c r="H53">
        <f t="shared" si="0"/>
        <v>0</v>
      </c>
      <c r="I53">
        <f t="shared" si="1"/>
        <v>0</v>
      </c>
      <c r="J53">
        <v>15</v>
      </c>
    </row>
    <row r="54" spans="1:10" s="33" customFormat="1" ht="15" customHeight="1" x14ac:dyDescent="0.2">
      <c r="A54" s="33" t="s">
        <v>59</v>
      </c>
      <c r="B54" s="34">
        <v>0</v>
      </c>
      <c r="C54" s="41">
        <v>0</v>
      </c>
      <c r="D54" s="41">
        <v>2</v>
      </c>
      <c r="E54" s="34">
        <v>0</v>
      </c>
      <c r="H54" s="33">
        <f t="shared" si="0"/>
        <v>2</v>
      </c>
      <c r="I54" s="33">
        <f t="shared" si="1"/>
        <v>0</v>
      </c>
      <c r="J54">
        <v>15</v>
      </c>
    </row>
    <row r="55" spans="1:10" s="33" customFormat="1" ht="15" customHeight="1" x14ac:dyDescent="0.2">
      <c r="A55" s="33" t="s">
        <v>60</v>
      </c>
      <c r="B55" s="34">
        <v>1</v>
      </c>
      <c r="C55" s="41">
        <v>2</v>
      </c>
      <c r="D55" s="41">
        <v>0</v>
      </c>
      <c r="E55" s="34">
        <v>0</v>
      </c>
      <c r="H55" s="33">
        <f t="shared" si="0"/>
        <v>2</v>
      </c>
      <c r="I55" s="33">
        <f t="shared" si="1"/>
        <v>1</v>
      </c>
      <c r="J55">
        <v>15</v>
      </c>
    </row>
    <row r="56" spans="1:10" s="33" customFormat="1" ht="15" customHeight="1" x14ac:dyDescent="0.2">
      <c r="A56" s="33" t="s">
        <v>61</v>
      </c>
      <c r="B56" s="34">
        <v>0</v>
      </c>
      <c r="C56" s="41">
        <v>1</v>
      </c>
      <c r="D56" s="41">
        <v>0</v>
      </c>
      <c r="E56" s="34">
        <v>0</v>
      </c>
      <c r="H56" s="33">
        <f t="shared" si="0"/>
        <v>1</v>
      </c>
      <c r="I56" s="33">
        <f t="shared" si="1"/>
        <v>0</v>
      </c>
      <c r="J56">
        <v>15</v>
      </c>
    </row>
    <row r="57" spans="1:10" ht="15" customHeight="1" x14ac:dyDescent="0.2">
      <c r="A57" t="s">
        <v>62</v>
      </c>
      <c r="B57" s="22">
        <v>0</v>
      </c>
      <c r="C57" s="40">
        <v>0</v>
      </c>
      <c r="D57" s="40">
        <v>0</v>
      </c>
      <c r="E57" s="22">
        <v>0</v>
      </c>
      <c r="H57">
        <f t="shared" si="0"/>
        <v>0</v>
      </c>
      <c r="I57">
        <f t="shared" si="1"/>
        <v>0</v>
      </c>
      <c r="J57">
        <v>15</v>
      </c>
    </row>
    <row r="58" spans="1:10" ht="15" customHeight="1" x14ac:dyDescent="0.2">
      <c r="A58" t="s">
        <v>63</v>
      </c>
      <c r="B58" s="22">
        <v>0</v>
      </c>
      <c r="C58" s="40">
        <v>0</v>
      </c>
      <c r="D58" s="40">
        <v>0</v>
      </c>
      <c r="E58" s="22">
        <v>0</v>
      </c>
      <c r="H58">
        <f t="shared" si="0"/>
        <v>0</v>
      </c>
      <c r="I58">
        <f t="shared" si="1"/>
        <v>0</v>
      </c>
      <c r="J58">
        <v>15</v>
      </c>
    </row>
    <row r="59" spans="1:10" ht="15" customHeight="1" x14ac:dyDescent="0.2">
      <c r="A59" t="s">
        <v>64</v>
      </c>
      <c r="B59" s="22">
        <v>0</v>
      </c>
      <c r="C59" s="40">
        <v>0</v>
      </c>
      <c r="D59" s="40">
        <v>0</v>
      </c>
      <c r="E59" s="22">
        <v>0</v>
      </c>
      <c r="H59">
        <f t="shared" si="0"/>
        <v>0</v>
      </c>
      <c r="I59">
        <f t="shared" si="1"/>
        <v>0</v>
      </c>
      <c r="J59">
        <v>15</v>
      </c>
    </row>
    <row r="60" spans="1:10" s="33" customFormat="1" ht="15" customHeight="1" x14ac:dyDescent="0.2">
      <c r="A60" s="33" t="s">
        <v>65</v>
      </c>
      <c r="B60" s="34">
        <v>1</v>
      </c>
      <c r="C60" s="41">
        <v>0</v>
      </c>
      <c r="D60" s="41">
        <v>1</v>
      </c>
      <c r="E60" s="34">
        <v>0</v>
      </c>
      <c r="H60" s="33">
        <f t="shared" si="0"/>
        <v>1</v>
      </c>
      <c r="I60" s="33">
        <f t="shared" si="1"/>
        <v>1</v>
      </c>
      <c r="J60">
        <v>15</v>
      </c>
    </row>
    <row r="61" spans="1:10" ht="15" customHeight="1" x14ac:dyDescent="0.2">
      <c r="A61" t="s">
        <v>66</v>
      </c>
      <c r="B61" s="22">
        <v>0</v>
      </c>
      <c r="C61" s="40">
        <v>0</v>
      </c>
      <c r="D61" s="40">
        <v>0</v>
      </c>
      <c r="E61" s="22">
        <v>0</v>
      </c>
      <c r="H61">
        <f t="shared" si="0"/>
        <v>0</v>
      </c>
      <c r="I61">
        <f t="shared" si="1"/>
        <v>0</v>
      </c>
      <c r="J61">
        <v>15</v>
      </c>
    </row>
    <row r="62" spans="1:10" ht="15" customHeight="1" x14ac:dyDescent="0.2">
      <c r="A62" t="s">
        <v>67</v>
      </c>
      <c r="B62" s="22">
        <v>0</v>
      </c>
      <c r="C62" s="40">
        <v>0</v>
      </c>
      <c r="D62" s="40">
        <v>0</v>
      </c>
      <c r="E62" s="22">
        <v>0</v>
      </c>
      <c r="H62">
        <f t="shared" si="0"/>
        <v>0</v>
      </c>
      <c r="I62">
        <f t="shared" si="1"/>
        <v>0</v>
      </c>
      <c r="J62">
        <v>15</v>
      </c>
    </row>
    <row r="63" spans="1:10" ht="15" customHeight="1" x14ac:dyDescent="0.2">
      <c r="A63" t="s">
        <v>68</v>
      </c>
      <c r="B63" s="22">
        <v>0</v>
      </c>
      <c r="C63" s="40">
        <v>0</v>
      </c>
      <c r="D63" s="40">
        <v>0</v>
      </c>
      <c r="E63" s="22">
        <v>0</v>
      </c>
      <c r="H63">
        <f t="shared" si="0"/>
        <v>0</v>
      </c>
      <c r="I63">
        <f t="shared" si="1"/>
        <v>0</v>
      </c>
      <c r="J63">
        <v>15</v>
      </c>
    </row>
    <row r="64" spans="1:10" ht="15" customHeight="1" x14ac:dyDescent="0.2">
      <c r="A64" t="s">
        <v>69</v>
      </c>
      <c r="B64" s="22">
        <v>0</v>
      </c>
      <c r="C64" s="40">
        <v>0</v>
      </c>
      <c r="D64" s="40">
        <v>0</v>
      </c>
      <c r="E64" s="22">
        <v>0</v>
      </c>
      <c r="H64">
        <f t="shared" si="0"/>
        <v>0</v>
      </c>
      <c r="I64">
        <f t="shared" si="1"/>
        <v>0</v>
      </c>
      <c r="J64">
        <v>15</v>
      </c>
    </row>
    <row r="65" spans="1:10" ht="15" customHeight="1" x14ac:dyDescent="0.2">
      <c r="A65" t="s">
        <v>70</v>
      </c>
      <c r="B65" s="22">
        <v>0</v>
      </c>
      <c r="C65" s="40">
        <v>0</v>
      </c>
      <c r="D65" s="40">
        <v>0</v>
      </c>
      <c r="E65" s="22">
        <v>0</v>
      </c>
      <c r="H65">
        <f t="shared" si="0"/>
        <v>0</v>
      </c>
      <c r="I65">
        <f t="shared" si="1"/>
        <v>0</v>
      </c>
      <c r="J65">
        <v>15</v>
      </c>
    </row>
    <row r="66" spans="1:10" ht="15" customHeight="1" x14ac:dyDescent="0.2">
      <c r="A66" t="s">
        <v>71</v>
      </c>
      <c r="B66" s="22">
        <v>0</v>
      </c>
      <c r="C66" s="40">
        <v>0</v>
      </c>
      <c r="D66" s="40">
        <v>0</v>
      </c>
      <c r="E66" s="22">
        <v>0</v>
      </c>
      <c r="H66">
        <f t="shared" si="0"/>
        <v>0</v>
      </c>
      <c r="I66">
        <f t="shared" si="1"/>
        <v>0</v>
      </c>
      <c r="J66">
        <v>15</v>
      </c>
    </row>
    <row r="67" spans="1:10" ht="15" customHeight="1" x14ac:dyDescent="0.2">
      <c r="A67" t="s">
        <v>72</v>
      </c>
      <c r="B67" s="22">
        <v>0</v>
      </c>
      <c r="C67" s="40">
        <v>0</v>
      </c>
      <c r="D67" s="40">
        <v>0</v>
      </c>
      <c r="E67" s="22">
        <v>0</v>
      </c>
      <c r="H67">
        <f t="shared" si="0"/>
        <v>0</v>
      </c>
      <c r="I67">
        <f t="shared" si="1"/>
        <v>0</v>
      </c>
      <c r="J67">
        <v>15</v>
      </c>
    </row>
    <row r="68" spans="1:10" ht="15" customHeight="1" x14ac:dyDescent="0.2">
      <c r="A68" t="s">
        <v>73</v>
      </c>
      <c r="B68" s="22">
        <v>0</v>
      </c>
      <c r="C68" s="40">
        <v>0</v>
      </c>
      <c r="D68" s="40">
        <v>0</v>
      </c>
      <c r="E68" s="22">
        <v>0</v>
      </c>
      <c r="H68">
        <f t="shared" si="0"/>
        <v>0</v>
      </c>
      <c r="I68">
        <f t="shared" si="1"/>
        <v>0</v>
      </c>
      <c r="J68">
        <v>15</v>
      </c>
    </row>
    <row r="69" spans="1:10" ht="15" customHeight="1" x14ac:dyDescent="0.2">
      <c r="A69" t="s">
        <v>74</v>
      </c>
      <c r="B69" s="22">
        <v>0</v>
      </c>
      <c r="C69" s="40">
        <v>0</v>
      </c>
      <c r="D69" s="40">
        <v>0</v>
      </c>
      <c r="E69" s="22">
        <v>0</v>
      </c>
      <c r="H69">
        <f t="shared" si="0"/>
        <v>0</v>
      </c>
      <c r="I69">
        <f t="shared" si="1"/>
        <v>0</v>
      </c>
      <c r="J69">
        <v>15</v>
      </c>
    </row>
    <row r="70" spans="1:10" s="33" customFormat="1" ht="15" customHeight="1" x14ac:dyDescent="0.2">
      <c r="A70" s="33" t="s">
        <v>75</v>
      </c>
      <c r="B70" s="34">
        <v>0</v>
      </c>
      <c r="C70" s="41">
        <v>0</v>
      </c>
      <c r="D70" s="41">
        <v>1</v>
      </c>
      <c r="E70" s="34">
        <v>0</v>
      </c>
      <c r="H70" s="33">
        <f t="shared" si="0"/>
        <v>1</v>
      </c>
      <c r="I70" s="33">
        <f t="shared" si="1"/>
        <v>0</v>
      </c>
      <c r="J70">
        <v>15</v>
      </c>
    </row>
    <row r="71" spans="1:10" ht="15" customHeight="1" x14ac:dyDescent="0.2">
      <c r="A71" t="s">
        <v>76</v>
      </c>
      <c r="B71" s="22">
        <v>0</v>
      </c>
      <c r="C71" s="40">
        <v>0</v>
      </c>
      <c r="D71" s="40">
        <v>0</v>
      </c>
      <c r="E71" s="22">
        <v>0</v>
      </c>
      <c r="H71">
        <f t="shared" si="0"/>
        <v>0</v>
      </c>
      <c r="I71">
        <f t="shared" si="1"/>
        <v>0</v>
      </c>
      <c r="J71">
        <v>15</v>
      </c>
    </row>
    <row r="72" spans="1:10" ht="15" customHeight="1" x14ac:dyDescent="0.2">
      <c r="A72" t="s">
        <v>77</v>
      </c>
      <c r="B72" s="22">
        <v>0</v>
      </c>
      <c r="C72" s="40">
        <v>0</v>
      </c>
      <c r="D72" s="40">
        <v>0</v>
      </c>
      <c r="E72" s="22">
        <v>0</v>
      </c>
      <c r="H72">
        <f t="shared" si="0"/>
        <v>0</v>
      </c>
      <c r="I72">
        <f t="shared" si="1"/>
        <v>0</v>
      </c>
      <c r="J72">
        <v>15</v>
      </c>
    </row>
    <row r="73" spans="1:10" ht="15" customHeight="1" x14ac:dyDescent="0.2">
      <c r="A73" t="s">
        <v>78</v>
      </c>
      <c r="B73" s="22">
        <v>0</v>
      </c>
      <c r="C73" s="40">
        <v>0</v>
      </c>
      <c r="D73" s="40">
        <v>0</v>
      </c>
      <c r="E73" s="22">
        <v>0</v>
      </c>
      <c r="H73">
        <f t="shared" si="0"/>
        <v>0</v>
      </c>
      <c r="I73">
        <f t="shared" si="1"/>
        <v>0</v>
      </c>
      <c r="J73">
        <v>15</v>
      </c>
    </row>
    <row r="74" spans="1:10" s="33" customFormat="1" ht="15" customHeight="1" x14ac:dyDescent="0.2">
      <c r="A74" s="33" t="s">
        <v>79</v>
      </c>
      <c r="B74" s="34">
        <v>0</v>
      </c>
      <c r="C74" s="41">
        <v>0</v>
      </c>
      <c r="D74" s="41">
        <v>1</v>
      </c>
      <c r="E74" s="34">
        <v>0</v>
      </c>
      <c r="H74" s="33">
        <f t="shared" si="0"/>
        <v>1</v>
      </c>
      <c r="I74" s="33">
        <f t="shared" si="1"/>
        <v>0</v>
      </c>
      <c r="J74">
        <v>15</v>
      </c>
    </row>
    <row r="75" spans="1:10" ht="15" customHeight="1" x14ac:dyDescent="0.2">
      <c r="A75" t="s">
        <v>80</v>
      </c>
      <c r="B75" s="22">
        <v>1</v>
      </c>
      <c r="C75" s="40">
        <v>0</v>
      </c>
      <c r="D75" s="40">
        <v>0</v>
      </c>
      <c r="E75" s="22">
        <v>0</v>
      </c>
      <c r="H75">
        <f t="shared" ref="H75:H138" si="2">SUM(C75:D75)</f>
        <v>0</v>
      </c>
      <c r="I75">
        <f t="shared" ref="I75:I138" si="3">SUM(B75+E75)</f>
        <v>1</v>
      </c>
      <c r="J75">
        <v>15</v>
      </c>
    </row>
    <row r="76" spans="1:10" ht="15" customHeight="1" x14ac:dyDescent="0.2">
      <c r="A76" t="s">
        <v>81</v>
      </c>
      <c r="B76" s="22">
        <v>0</v>
      </c>
      <c r="C76" s="40">
        <v>0</v>
      </c>
      <c r="D76" s="40">
        <v>0</v>
      </c>
      <c r="E76" s="22">
        <v>0</v>
      </c>
      <c r="H76">
        <f t="shared" si="2"/>
        <v>0</v>
      </c>
      <c r="I76">
        <f t="shared" si="3"/>
        <v>0</v>
      </c>
      <c r="J76">
        <v>15</v>
      </c>
    </row>
    <row r="77" spans="1:10" s="33" customFormat="1" ht="15" customHeight="1" x14ac:dyDescent="0.2">
      <c r="A77" s="33" t="s">
        <v>82</v>
      </c>
      <c r="B77" s="34">
        <v>0</v>
      </c>
      <c r="C77" s="41">
        <v>0</v>
      </c>
      <c r="D77" s="41">
        <v>2</v>
      </c>
      <c r="E77" s="34">
        <v>0</v>
      </c>
      <c r="H77" s="33">
        <f t="shared" si="2"/>
        <v>2</v>
      </c>
      <c r="I77" s="33">
        <f t="shared" si="3"/>
        <v>0</v>
      </c>
      <c r="J77">
        <v>15</v>
      </c>
    </row>
    <row r="78" spans="1:10" s="33" customFormat="1" ht="15" customHeight="1" x14ac:dyDescent="0.2">
      <c r="A78" s="33" t="s">
        <v>83</v>
      </c>
      <c r="B78" s="34">
        <v>0</v>
      </c>
      <c r="C78" s="41">
        <v>0</v>
      </c>
      <c r="D78" s="41">
        <v>1</v>
      </c>
      <c r="E78" s="34">
        <v>0</v>
      </c>
      <c r="H78" s="33">
        <f t="shared" si="2"/>
        <v>1</v>
      </c>
      <c r="I78" s="33">
        <f t="shared" si="3"/>
        <v>0</v>
      </c>
      <c r="J78">
        <v>15</v>
      </c>
    </row>
    <row r="79" spans="1:10" ht="15" customHeight="1" x14ac:dyDescent="0.2">
      <c r="A79" t="s">
        <v>84</v>
      </c>
      <c r="B79" s="22">
        <v>0</v>
      </c>
      <c r="C79" s="40">
        <v>0</v>
      </c>
      <c r="D79" s="40">
        <v>0</v>
      </c>
      <c r="E79" s="22">
        <v>0</v>
      </c>
      <c r="H79">
        <f t="shared" si="2"/>
        <v>0</v>
      </c>
      <c r="I79">
        <f t="shared" si="3"/>
        <v>0</v>
      </c>
      <c r="J79">
        <v>15</v>
      </c>
    </row>
    <row r="80" spans="1:10" ht="15" customHeight="1" x14ac:dyDescent="0.2">
      <c r="A80" t="s">
        <v>85</v>
      </c>
      <c r="B80" s="22">
        <v>0</v>
      </c>
      <c r="C80" s="40">
        <v>0</v>
      </c>
      <c r="D80" s="40">
        <v>0</v>
      </c>
      <c r="E80" s="22">
        <v>0</v>
      </c>
      <c r="H80">
        <f t="shared" si="2"/>
        <v>0</v>
      </c>
      <c r="I80">
        <f t="shared" si="3"/>
        <v>0</v>
      </c>
      <c r="J80">
        <v>15</v>
      </c>
    </row>
    <row r="81" spans="1:10" ht="15" customHeight="1" x14ac:dyDescent="0.2">
      <c r="A81" t="s">
        <v>86</v>
      </c>
      <c r="B81" s="22">
        <v>0</v>
      </c>
      <c r="C81" s="40">
        <v>0</v>
      </c>
      <c r="D81" s="40">
        <v>0</v>
      </c>
      <c r="E81" s="22">
        <v>0</v>
      </c>
      <c r="H81">
        <f t="shared" si="2"/>
        <v>0</v>
      </c>
      <c r="I81">
        <f t="shared" si="3"/>
        <v>0</v>
      </c>
      <c r="J81">
        <v>15</v>
      </c>
    </row>
    <row r="82" spans="1:10" ht="15" customHeight="1" x14ac:dyDescent="0.2">
      <c r="A82" t="s">
        <v>87</v>
      </c>
      <c r="B82" s="22">
        <v>0</v>
      </c>
      <c r="C82" s="40">
        <v>0</v>
      </c>
      <c r="D82" s="40">
        <v>0</v>
      </c>
      <c r="E82" s="22">
        <v>0</v>
      </c>
      <c r="H82">
        <f t="shared" si="2"/>
        <v>0</v>
      </c>
      <c r="I82">
        <f t="shared" si="3"/>
        <v>0</v>
      </c>
      <c r="J82">
        <v>15</v>
      </c>
    </row>
    <row r="83" spans="1:10" s="33" customFormat="1" ht="15" customHeight="1" x14ac:dyDescent="0.2">
      <c r="A83" s="33" t="s">
        <v>88</v>
      </c>
      <c r="B83" s="34">
        <v>0</v>
      </c>
      <c r="C83" s="41">
        <v>1</v>
      </c>
      <c r="D83" s="41">
        <v>0</v>
      </c>
      <c r="E83" s="34">
        <v>0</v>
      </c>
      <c r="H83" s="33">
        <f t="shared" si="2"/>
        <v>1</v>
      </c>
      <c r="I83" s="33">
        <f t="shared" si="3"/>
        <v>0</v>
      </c>
      <c r="J83">
        <v>15</v>
      </c>
    </row>
    <row r="84" spans="1:10" ht="15" customHeight="1" x14ac:dyDescent="0.2">
      <c r="A84" t="s">
        <v>89</v>
      </c>
      <c r="B84" s="22">
        <v>0</v>
      </c>
      <c r="C84" s="40">
        <v>0</v>
      </c>
      <c r="D84" s="40">
        <v>0</v>
      </c>
      <c r="E84" s="22">
        <v>0</v>
      </c>
      <c r="H84">
        <f t="shared" si="2"/>
        <v>0</v>
      </c>
      <c r="I84">
        <f t="shared" si="3"/>
        <v>0</v>
      </c>
      <c r="J84">
        <v>15</v>
      </c>
    </row>
    <row r="85" spans="1:10" ht="15" customHeight="1" x14ac:dyDescent="0.2">
      <c r="A85" t="s">
        <v>90</v>
      </c>
      <c r="B85" s="22">
        <v>0</v>
      </c>
      <c r="C85" s="40">
        <v>0</v>
      </c>
      <c r="D85" s="40">
        <v>0</v>
      </c>
      <c r="E85" s="22">
        <v>0</v>
      </c>
      <c r="H85">
        <f t="shared" si="2"/>
        <v>0</v>
      </c>
      <c r="I85">
        <f t="shared" si="3"/>
        <v>0</v>
      </c>
      <c r="J85">
        <v>15</v>
      </c>
    </row>
    <row r="86" spans="1:10" s="33" customFormat="1" ht="15" customHeight="1" x14ac:dyDescent="0.2">
      <c r="A86" s="33" t="s">
        <v>91</v>
      </c>
      <c r="B86" s="34">
        <v>0</v>
      </c>
      <c r="C86" s="41">
        <v>0</v>
      </c>
      <c r="D86" s="41">
        <v>1</v>
      </c>
      <c r="E86" s="34">
        <v>0</v>
      </c>
      <c r="H86" s="33">
        <f t="shared" si="2"/>
        <v>1</v>
      </c>
      <c r="I86" s="33">
        <f t="shared" si="3"/>
        <v>0</v>
      </c>
      <c r="J86">
        <v>15</v>
      </c>
    </row>
    <row r="87" spans="1:10" s="33" customFormat="1" ht="15" customHeight="1" x14ac:dyDescent="0.2">
      <c r="A87" s="33" t="s">
        <v>92</v>
      </c>
      <c r="B87" s="34">
        <v>0</v>
      </c>
      <c r="C87" s="41">
        <v>1</v>
      </c>
      <c r="D87" s="41">
        <v>0</v>
      </c>
      <c r="E87" s="34">
        <v>0</v>
      </c>
      <c r="H87" s="33">
        <f t="shared" si="2"/>
        <v>1</v>
      </c>
      <c r="I87" s="33">
        <f t="shared" si="3"/>
        <v>0</v>
      </c>
      <c r="J87">
        <v>15</v>
      </c>
    </row>
    <row r="88" spans="1:10" ht="15" customHeight="1" x14ac:dyDescent="0.2">
      <c r="A88" t="s">
        <v>93</v>
      </c>
      <c r="B88" s="22">
        <v>0</v>
      </c>
      <c r="C88" s="40">
        <v>0</v>
      </c>
      <c r="D88" s="40">
        <v>0</v>
      </c>
      <c r="E88" s="22">
        <v>0</v>
      </c>
      <c r="H88">
        <f t="shared" si="2"/>
        <v>0</v>
      </c>
      <c r="I88">
        <f t="shared" si="3"/>
        <v>0</v>
      </c>
      <c r="J88">
        <v>15</v>
      </c>
    </row>
    <row r="89" spans="1:10" ht="15" customHeight="1" x14ac:dyDescent="0.2">
      <c r="A89" t="s">
        <v>94</v>
      </c>
      <c r="B89" s="22">
        <v>0</v>
      </c>
      <c r="C89" s="40">
        <v>0</v>
      </c>
      <c r="D89" s="40">
        <v>0</v>
      </c>
      <c r="E89" s="22">
        <v>0</v>
      </c>
      <c r="H89">
        <f t="shared" si="2"/>
        <v>0</v>
      </c>
      <c r="I89">
        <f t="shared" si="3"/>
        <v>0</v>
      </c>
      <c r="J89">
        <v>15</v>
      </c>
    </row>
    <row r="90" spans="1:10" ht="15" customHeight="1" x14ac:dyDescent="0.2">
      <c r="A90" t="s">
        <v>95</v>
      </c>
      <c r="B90" s="22">
        <v>0</v>
      </c>
      <c r="C90" s="40">
        <v>0</v>
      </c>
      <c r="D90" s="40">
        <v>0</v>
      </c>
      <c r="E90" s="22">
        <v>0</v>
      </c>
      <c r="H90">
        <f t="shared" si="2"/>
        <v>0</v>
      </c>
      <c r="I90">
        <f t="shared" si="3"/>
        <v>0</v>
      </c>
      <c r="J90">
        <v>15</v>
      </c>
    </row>
    <row r="91" spans="1:10" ht="15" customHeight="1" x14ac:dyDescent="0.2">
      <c r="A91" t="s">
        <v>96</v>
      </c>
      <c r="B91" s="22">
        <v>0</v>
      </c>
      <c r="C91" s="40">
        <v>0</v>
      </c>
      <c r="D91" s="40">
        <v>0</v>
      </c>
      <c r="E91" s="22">
        <v>0</v>
      </c>
      <c r="H91">
        <f t="shared" si="2"/>
        <v>0</v>
      </c>
      <c r="I91">
        <f t="shared" si="3"/>
        <v>0</v>
      </c>
      <c r="J91">
        <v>15</v>
      </c>
    </row>
    <row r="92" spans="1:10" ht="15" customHeight="1" x14ac:dyDescent="0.2">
      <c r="A92" t="s">
        <v>97</v>
      </c>
      <c r="B92" s="22">
        <v>0</v>
      </c>
      <c r="C92" s="40">
        <v>0</v>
      </c>
      <c r="D92" s="40">
        <v>0</v>
      </c>
      <c r="E92" s="22">
        <v>0</v>
      </c>
      <c r="H92">
        <f t="shared" si="2"/>
        <v>0</v>
      </c>
      <c r="I92">
        <f t="shared" si="3"/>
        <v>0</v>
      </c>
      <c r="J92">
        <v>15</v>
      </c>
    </row>
    <row r="93" spans="1:10" ht="15" customHeight="1" x14ac:dyDescent="0.2">
      <c r="A93" t="s">
        <v>98</v>
      </c>
      <c r="B93" s="22">
        <v>0</v>
      </c>
      <c r="C93" s="40">
        <v>0</v>
      </c>
      <c r="D93" s="40">
        <v>0</v>
      </c>
      <c r="E93" s="22">
        <v>0</v>
      </c>
      <c r="H93">
        <f t="shared" si="2"/>
        <v>0</v>
      </c>
      <c r="I93">
        <f t="shared" si="3"/>
        <v>0</v>
      </c>
      <c r="J93">
        <v>15</v>
      </c>
    </row>
    <row r="94" spans="1:10" ht="15" customHeight="1" x14ac:dyDescent="0.2">
      <c r="A94" t="s">
        <v>99</v>
      </c>
      <c r="B94" s="22">
        <v>0</v>
      </c>
      <c r="C94" s="40">
        <v>0</v>
      </c>
      <c r="D94" s="40">
        <v>0</v>
      </c>
      <c r="E94" s="22">
        <v>0</v>
      </c>
      <c r="H94">
        <f t="shared" si="2"/>
        <v>0</v>
      </c>
      <c r="I94">
        <f t="shared" si="3"/>
        <v>0</v>
      </c>
      <c r="J94">
        <v>15</v>
      </c>
    </row>
    <row r="95" spans="1:10" ht="15" customHeight="1" x14ac:dyDescent="0.2">
      <c r="A95" t="s">
        <v>100</v>
      </c>
      <c r="B95" s="22">
        <v>0</v>
      </c>
      <c r="C95" s="40">
        <v>0</v>
      </c>
      <c r="D95" s="40">
        <v>0</v>
      </c>
      <c r="E95" s="22">
        <v>0</v>
      </c>
      <c r="H95">
        <f t="shared" si="2"/>
        <v>0</v>
      </c>
      <c r="I95">
        <f t="shared" si="3"/>
        <v>0</v>
      </c>
      <c r="J95">
        <v>15</v>
      </c>
    </row>
    <row r="96" spans="1:10" ht="15" customHeight="1" x14ac:dyDescent="0.2">
      <c r="A96" t="s">
        <v>101</v>
      </c>
      <c r="B96" s="22">
        <v>0</v>
      </c>
      <c r="C96" s="40">
        <v>0</v>
      </c>
      <c r="D96" s="40">
        <v>0</v>
      </c>
      <c r="E96" s="22">
        <v>0</v>
      </c>
      <c r="H96">
        <f t="shared" si="2"/>
        <v>0</v>
      </c>
      <c r="I96">
        <f t="shared" si="3"/>
        <v>0</v>
      </c>
      <c r="J96">
        <v>15</v>
      </c>
    </row>
    <row r="97" spans="1:10" ht="15" customHeight="1" x14ac:dyDescent="0.2">
      <c r="A97" t="s">
        <v>102</v>
      </c>
      <c r="B97" s="22">
        <v>0</v>
      </c>
      <c r="C97" s="40">
        <v>0</v>
      </c>
      <c r="D97" s="40">
        <v>0</v>
      </c>
      <c r="E97" s="22">
        <v>0</v>
      </c>
      <c r="H97">
        <f t="shared" si="2"/>
        <v>0</v>
      </c>
      <c r="I97">
        <f t="shared" si="3"/>
        <v>0</v>
      </c>
      <c r="J97">
        <v>15</v>
      </c>
    </row>
    <row r="98" spans="1:10" ht="15" customHeight="1" x14ac:dyDescent="0.2">
      <c r="A98" t="s">
        <v>103</v>
      </c>
      <c r="B98" s="22">
        <v>0</v>
      </c>
      <c r="C98" s="40">
        <v>0</v>
      </c>
      <c r="D98" s="40">
        <v>0</v>
      </c>
      <c r="E98" s="22">
        <v>0</v>
      </c>
      <c r="H98">
        <f t="shared" si="2"/>
        <v>0</v>
      </c>
      <c r="I98">
        <f t="shared" si="3"/>
        <v>0</v>
      </c>
      <c r="J98">
        <v>15</v>
      </c>
    </row>
    <row r="99" spans="1:10" ht="15" customHeight="1" x14ac:dyDescent="0.2">
      <c r="A99" t="s">
        <v>104</v>
      </c>
      <c r="B99" s="22">
        <v>0</v>
      </c>
      <c r="C99" s="40">
        <v>0</v>
      </c>
      <c r="D99" s="40">
        <v>0</v>
      </c>
      <c r="E99" s="22">
        <v>0</v>
      </c>
      <c r="H99">
        <f t="shared" si="2"/>
        <v>0</v>
      </c>
      <c r="I99">
        <f t="shared" si="3"/>
        <v>0</v>
      </c>
      <c r="J99">
        <v>15</v>
      </c>
    </row>
    <row r="100" spans="1:10" ht="15" customHeight="1" x14ac:dyDescent="0.2">
      <c r="A100" t="s">
        <v>105</v>
      </c>
      <c r="B100" s="22">
        <v>0</v>
      </c>
      <c r="C100" s="40">
        <v>0</v>
      </c>
      <c r="D100" s="40">
        <v>0</v>
      </c>
      <c r="E100" s="22">
        <v>0</v>
      </c>
      <c r="H100">
        <f t="shared" si="2"/>
        <v>0</v>
      </c>
      <c r="I100">
        <f t="shared" si="3"/>
        <v>0</v>
      </c>
      <c r="J100">
        <v>15</v>
      </c>
    </row>
    <row r="101" spans="1:10" ht="15" customHeight="1" x14ac:dyDescent="0.2">
      <c r="A101" t="s">
        <v>106</v>
      </c>
      <c r="B101" s="22">
        <v>0</v>
      </c>
      <c r="C101" s="40">
        <v>0</v>
      </c>
      <c r="D101" s="40">
        <v>0</v>
      </c>
      <c r="E101" s="22">
        <v>0</v>
      </c>
      <c r="H101">
        <f t="shared" si="2"/>
        <v>0</v>
      </c>
      <c r="I101">
        <f t="shared" si="3"/>
        <v>0</v>
      </c>
      <c r="J101">
        <v>15</v>
      </c>
    </row>
    <row r="102" spans="1:10" ht="15" customHeight="1" x14ac:dyDescent="0.2">
      <c r="A102" t="s">
        <v>107</v>
      </c>
      <c r="B102" s="22">
        <v>0</v>
      </c>
      <c r="C102" s="40">
        <v>0</v>
      </c>
      <c r="D102" s="40">
        <v>0</v>
      </c>
      <c r="E102" s="22">
        <v>0</v>
      </c>
      <c r="H102">
        <f t="shared" si="2"/>
        <v>0</v>
      </c>
      <c r="I102">
        <f t="shared" si="3"/>
        <v>0</v>
      </c>
      <c r="J102">
        <v>15</v>
      </c>
    </row>
    <row r="103" spans="1:10" ht="15" customHeight="1" x14ac:dyDescent="0.2">
      <c r="A103" t="s">
        <v>108</v>
      </c>
      <c r="B103" s="22">
        <v>0</v>
      </c>
      <c r="C103" s="40">
        <v>0</v>
      </c>
      <c r="D103" s="40">
        <v>0</v>
      </c>
      <c r="E103" s="22">
        <v>0</v>
      </c>
      <c r="H103">
        <f t="shared" si="2"/>
        <v>0</v>
      </c>
      <c r="I103">
        <f t="shared" si="3"/>
        <v>0</v>
      </c>
      <c r="J103">
        <v>15</v>
      </c>
    </row>
    <row r="104" spans="1:10" ht="15" customHeight="1" x14ac:dyDescent="0.2">
      <c r="A104" t="s">
        <v>109</v>
      </c>
      <c r="B104" s="22">
        <v>0</v>
      </c>
      <c r="C104" s="40">
        <v>0</v>
      </c>
      <c r="D104" s="40">
        <v>0</v>
      </c>
      <c r="E104" s="22">
        <v>0</v>
      </c>
      <c r="H104">
        <f t="shared" si="2"/>
        <v>0</v>
      </c>
      <c r="I104">
        <f t="shared" si="3"/>
        <v>0</v>
      </c>
      <c r="J104">
        <v>15</v>
      </c>
    </row>
    <row r="105" spans="1:10" ht="15" customHeight="1" x14ac:dyDescent="0.2">
      <c r="A105" t="s">
        <v>110</v>
      </c>
      <c r="B105" s="22">
        <v>0</v>
      </c>
      <c r="C105" s="40">
        <v>0</v>
      </c>
      <c r="D105" s="40">
        <v>0</v>
      </c>
      <c r="E105" s="22">
        <v>0</v>
      </c>
      <c r="H105">
        <f t="shared" si="2"/>
        <v>0</v>
      </c>
      <c r="I105">
        <f t="shared" si="3"/>
        <v>0</v>
      </c>
      <c r="J105">
        <v>15</v>
      </c>
    </row>
    <row r="106" spans="1:10" ht="15" customHeight="1" x14ac:dyDescent="0.2">
      <c r="A106" t="s">
        <v>5</v>
      </c>
      <c r="B106" s="22">
        <v>0</v>
      </c>
      <c r="C106" s="40">
        <v>0</v>
      </c>
      <c r="D106" s="40">
        <v>0</v>
      </c>
      <c r="E106" s="22">
        <v>0</v>
      </c>
      <c r="H106">
        <f t="shared" si="2"/>
        <v>0</v>
      </c>
      <c r="I106">
        <f t="shared" si="3"/>
        <v>0</v>
      </c>
      <c r="J106">
        <v>15</v>
      </c>
    </row>
    <row r="107" spans="1:10" ht="15" customHeight="1" x14ac:dyDescent="0.2">
      <c r="A107" t="s">
        <v>16</v>
      </c>
      <c r="B107" s="22">
        <v>0</v>
      </c>
      <c r="C107" s="40">
        <v>0</v>
      </c>
      <c r="D107" s="40">
        <v>0</v>
      </c>
      <c r="E107" s="22">
        <v>0</v>
      </c>
      <c r="H107">
        <f t="shared" si="2"/>
        <v>0</v>
      </c>
      <c r="I107">
        <f t="shared" si="3"/>
        <v>0</v>
      </c>
      <c r="J107">
        <v>15</v>
      </c>
    </row>
    <row r="108" spans="1:10" ht="15" customHeight="1" x14ac:dyDescent="0.2">
      <c r="A108" t="s">
        <v>17</v>
      </c>
      <c r="B108" s="22">
        <v>0</v>
      </c>
      <c r="C108" s="40">
        <v>0</v>
      </c>
      <c r="D108" s="40">
        <v>0</v>
      </c>
      <c r="E108" s="22">
        <v>0</v>
      </c>
      <c r="H108">
        <f t="shared" si="2"/>
        <v>0</v>
      </c>
      <c r="I108">
        <f t="shared" si="3"/>
        <v>0</v>
      </c>
      <c r="J108">
        <v>15</v>
      </c>
    </row>
    <row r="109" spans="1:10" ht="15" customHeight="1" x14ac:dyDescent="0.2">
      <c r="A109" t="s">
        <v>18</v>
      </c>
      <c r="B109" s="22">
        <v>0</v>
      </c>
      <c r="C109" s="40">
        <v>0</v>
      </c>
      <c r="D109" s="40">
        <v>0</v>
      </c>
      <c r="E109" s="22">
        <v>0</v>
      </c>
      <c r="H109">
        <f t="shared" si="2"/>
        <v>0</v>
      </c>
      <c r="I109">
        <f t="shared" si="3"/>
        <v>0</v>
      </c>
      <c r="J109">
        <v>15</v>
      </c>
    </row>
    <row r="110" spans="1:10" ht="15" customHeight="1" x14ac:dyDescent="0.2">
      <c r="A110" t="s">
        <v>19</v>
      </c>
      <c r="B110" s="22">
        <v>0</v>
      </c>
      <c r="C110" s="40">
        <v>0</v>
      </c>
      <c r="D110" s="40">
        <v>0</v>
      </c>
      <c r="E110" s="22">
        <v>0</v>
      </c>
      <c r="H110">
        <f t="shared" si="2"/>
        <v>0</v>
      </c>
      <c r="I110">
        <f t="shared" si="3"/>
        <v>0</v>
      </c>
      <c r="J110">
        <v>15</v>
      </c>
    </row>
    <row r="111" spans="1:10" ht="15" customHeight="1" x14ac:dyDescent="0.2">
      <c r="A111" t="s">
        <v>20</v>
      </c>
      <c r="B111" s="22">
        <v>0</v>
      </c>
      <c r="C111" s="40">
        <v>0</v>
      </c>
      <c r="D111" s="40">
        <v>0</v>
      </c>
      <c r="E111" s="22">
        <v>0</v>
      </c>
      <c r="H111">
        <f t="shared" si="2"/>
        <v>0</v>
      </c>
      <c r="I111">
        <f t="shared" si="3"/>
        <v>0</v>
      </c>
      <c r="J111">
        <v>15</v>
      </c>
    </row>
    <row r="112" spans="1:10" ht="15" customHeight="1" x14ac:dyDescent="0.2">
      <c r="A112" t="s">
        <v>21</v>
      </c>
      <c r="B112" s="22">
        <v>0</v>
      </c>
      <c r="C112" s="40">
        <v>0</v>
      </c>
      <c r="D112" s="40">
        <v>0</v>
      </c>
      <c r="E112" s="22">
        <v>0</v>
      </c>
      <c r="H112">
        <f t="shared" si="2"/>
        <v>0</v>
      </c>
      <c r="I112">
        <f t="shared" si="3"/>
        <v>0</v>
      </c>
      <c r="J112">
        <v>15</v>
      </c>
    </row>
    <row r="113" spans="1:10" ht="15" customHeight="1" x14ac:dyDescent="0.2">
      <c r="A113" t="s">
        <v>22</v>
      </c>
      <c r="B113" s="22">
        <v>0</v>
      </c>
      <c r="C113" s="40">
        <v>0</v>
      </c>
      <c r="D113" s="40">
        <v>0</v>
      </c>
      <c r="E113" s="22">
        <v>0</v>
      </c>
      <c r="H113">
        <f t="shared" si="2"/>
        <v>0</v>
      </c>
      <c r="I113">
        <f t="shared" si="3"/>
        <v>0</v>
      </c>
      <c r="J113">
        <v>15</v>
      </c>
    </row>
    <row r="114" spans="1:10" ht="15" customHeight="1" x14ac:dyDescent="0.2">
      <c r="A114" t="s">
        <v>23</v>
      </c>
      <c r="B114" s="22">
        <v>0</v>
      </c>
      <c r="C114" s="40">
        <v>0</v>
      </c>
      <c r="D114" s="40">
        <v>0</v>
      </c>
      <c r="E114" s="22">
        <v>0</v>
      </c>
      <c r="H114">
        <f t="shared" si="2"/>
        <v>0</v>
      </c>
      <c r="I114">
        <f t="shared" si="3"/>
        <v>0</v>
      </c>
      <c r="J114">
        <v>15</v>
      </c>
    </row>
    <row r="115" spans="1:10" ht="15" customHeight="1" x14ac:dyDescent="0.2">
      <c r="A115" t="s">
        <v>24</v>
      </c>
      <c r="B115" s="22">
        <v>0</v>
      </c>
      <c r="C115" s="40">
        <v>0</v>
      </c>
      <c r="D115" s="40">
        <v>0</v>
      </c>
      <c r="E115" s="22">
        <v>0</v>
      </c>
      <c r="H115">
        <f t="shared" si="2"/>
        <v>0</v>
      </c>
      <c r="I115">
        <f t="shared" si="3"/>
        <v>0</v>
      </c>
      <c r="J115">
        <v>15</v>
      </c>
    </row>
    <row r="116" spans="1:10" ht="15" customHeight="1" x14ac:dyDescent="0.2">
      <c r="A116" t="s">
        <v>25</v>
      </c>
      <c r="B116" s="22">
        <v>0</v>
      </c>
      <c r="C116" s="40">
        <v>0</v>
      </c>
      <c r="D116" s="40">
        <v>0</v>
      </c>
      <c r="E116" s="22">
        <v>0</v>
      </c>
      <c r="H116">
        <f t="shared" si="2"/>
        <v>0</v>
      </c>
      <c r="I116">
        <f t="shared" si="3"/>
        <v>0</v>
      </c>
      <c r="J116">
        <v>15</v>
      </c>
    </row>
    <row r="117" spans="1:10" ht="15" customHeight="1" x14ac:dyDescent="0.2">
      <c r="A117" t="s">
        <v>26</v>
      </c>
      <c r="B117" s="22">
        <v>0</v>
      </c>
      <c r="C117" s="40">
        <v>0</v>
      </c>
      <c r="D117" s="40">
        <v>0</v>
      </c>
      <c r="E117" s="22">
        <v>0</v>
      </c>
      <c r="H117">
        <f t="shared" si="2"/>
        <v>0</v>
      </c>
      <c r="I117">
        <f t="shared" si="3"/>
        <v>0</v>
      </c>
      <c r="J117">
        <v>15</v>
      </c>
    </row>
    <row r="118" spans="1:10" ht="15" customHeight="1" x14ac:dyDescent="0.2">
      <c r="A118" t="s">
        <v>27</v>
      </c>
      <c r="B118" s="22">
        <v>0</v>
      </c>
      <c r="C118" s="40">
        <v>0</v>
      </c>
      <c r="D118" s="40">
        <v>0</v>
      </c>
      <c r="E118" s="22">
        <v>0</v>
      </c>
      <c r="H118">
        <f t="shared" si="2"/>
        <v>0</v>
      </c>
      <c r="I118">
        <f t="shared" si="3"/>
        <v>0</v>
      </c>
      <c r="J118">
        <v>15</v>
      </c>
    </row>
    <row r="119" spans="1:10" ht="15" customHeight="1" x14ac:dyDescent="0.2">
      <c r="A119" t="s">
        <v>28</v>
      </c>
      <c r="B119" s="22">
        <v>0</v>
      </c>
      <c r="C119" s="40">
        <v>0</v>
      </c>
      <c r="D119" s="40">
        <v>0</v>
      </c>
      <c r="E119" s="22">
        <v>0</v>
      </c>
      <c r="H119">
        <f t="shared" si="2"/>
        <v>0</v>
      </c>
      <c r="I119">
        <f t="shared" si="3"/>
        <v>0</v>
      </c>
      <c r="J119">
        <v>15</v>
      </c>
    </row>
    <row r="120" spans="1:10" ht="15" customHeight="1" x14ac:dyDescent="0.2">
      <c r="A120" t="s">
        <v>29</v>
      </c>
      <c r="B120" s="22">
        <v>0</v>
      </c>
      <c r="C120" s="40">
        <v>0</v>
      </c>
      <c r="D120" s="40">
        <v>0</v>
      </c>
      <c r="E120" s="22">
        <v>0</v>
      </c>
      <c r="H120">
        <f t="shared" si="2"/>
        <v>0</v>
      </c>
      <c r="I120">
        <f t="shared" si="3"/>
        <v>0</v>
      </c>
      <c r="J120">
        <v>15</v>
      </c>
    </row>
    <row r="121" spans="1:10" ht="15" customHeight="1" x14ac:dyDescent="0.2">
      <c r="A121" t="s">
        <v>30</v>
      </c>
      <c r="B121" s="22">
        <v>0</v>
      </c>
      <c r="C121" s="40">
        <v>0</v>
      </c>
      <c r="D121" s="40">
        <v>0</v>
      </c>
      <c r="E121" s="22">
        <v>0</v>
      </c>
      <c r="H121">
        <f t="shared" si="2"/>
        <v>0</v>
      </c>
      <c r="I121">
        <f t="shared" si="3"/>
        <v>0</v>
      </c>
      <c r="J121">
        <v>15</v>
      </c>
    </row>
    <row r="122" spans="1:10" ht="15" customHeight="1" x14ac:dyDescent="0.2">
      <c r="A122" t="s">
        <v>31</v>
      </c>
      <c r="B122" s="22">
        <v>0</v>
      </c>
      <c r="C122" s="40">
        <v>0</v>
      </c>
      <c r="D122" s="40">
        <v>0</v>
      </c>
      <c r="E122" s="22">
        <v>0</v>
      </c>
      <c r="H122">
        <f t="shared" si="2"/>
        <v>0</v>
      </c>
      <c r="I122">
        <f t="shared" si="3"/>
        <v>0</v>
      </c>
      <c r="J122">
        <v>15</v>
      </c>
    </row>
    <row r="123" spans="1:10" ht="15" customHeight="1" x14ac:dyDescent="0.2">
      <c r="A123" t="s">
        <v>32</v>
      </c>
      <c r="B123" s="22">
        <v>0</v>
      </c>
      <c r="C123" s="40">
        <v>0</v>
      </c>
      <c r="D123" s="40">
        <v>0</v>
      </c>
      <c r="E123" s="22">
        <v>0</v>
      </c>
      <c r="H123">
        <f t="shared" si="2"/>
        <v>0</v>
      </c>
      <c r="I123">
        <f t="shared" si="3"/>
        <v>0</v>
      </c>
      <c r="J123">
        <v>15</v>
      </c>
    </row>
    <row r="124" spans="1:10" ht="15" customHeight="1" x14ac:dyDescent="0.2">
      <c r="A124" t="s">
        <v>33</v>
      </c>
      <c r="B124" s="22">
        <v>0</v>
      </c>
      <c r="C124" s="40">
        <v>0</v>
      </c>
      <c r="D124" s="40">
        <v>0</v>
      </c>
      <c r="E124" s="22">
        <v>0</v>
      </c>
      <c r="H124">
        <f t="shared" si="2"/>
        <v>0</v>
      </c>
      <c r="I124">
        <f t="shared" si="3"/>
        <v>0</v>
      </c>
      <c r="J124">
        <v>15</v>
      </c>
    </row>
    <row r="125" spans="1:10" ht="15" customHeight="1" x14ac:dyDescent="0.2">
      <c r="A125" t="s">
        <v>34</v>
      </c>
      <c r="B125" s="22">
        <v>0</v>
      </c>
      <c r="C125" s="40">
        <v>0</v>
      </c>
      <c r="D125" s="40">
        <v>0</v>
      </c>
      <c r="E125" s="22">
        <v>0</v>
      </c>
      <c r="H125">
        <f t="shared" si="2"/>
        <v>0</v>
      </c>
      <c r="I125">
        <f t="shared" si="3"/>
        <v>0</v>
      </c>
      <c r="J125">
        <v>15</v>
      </c>
    </row>
    <row r="126" spans="1:10" ht="15" customHeight="1" x14ac:dyDescent="0.2">
      <c r="A126" t="s">
        <v>35</v>
      </c>
      <c r="B126" s="22">
        <v>0</v>
      </c>
      <c r="C126" s="40">
        <v>0</v>
      </c>
      <c r="D126" s="40">
        <v>0</v>
      </c>
      <c r="E126" s="22">
        <v>0</v>
      </c>
      <c r="H126">
        <f t="shared" si="2"/>
        <v>0</v>
      </c>
      <c r="I126">
        <f t="shared" si="3"/>
        <v>0</v>
      </c>
      <c r="J126">
        <v>15</v>
      </c>
    </row>
    <row r="127" spans="1:10" ht="15" customHeight="1" x14ac:dyDescent="0.2">
      <c r="A127" t="s">
        <v>36</v>
      </c>
      <c r="B127" s="22">
        <v>0</v>
      </c>
      <c r="C127" s="40">
        <v>0</v>
      </c>
      <c r="D127" s="40">
        <v>0</v>
      </c>
      <c r="E127" s="22">
        <v>0</v>
      </c>
      <c r="H127">
        <f t="shared" si="2"/>
        <v>0</v>
      </c>
      <c r="I127">
        <f t="shared" si="3"/>
        <v>0</v>
      </c>
      <c r="J127">
        <v>15</v>
      </c>
    </row>
    <row r="128" spans="1:10" ht="15" customHeight="1" x14ac:dyDescent="0.2">
      <c r="A128" t="s">
        <v>37</v>
      </c>
      <c r="B128" s="22">
        <v>0</v>
      </c>
      <c r="C128" s="40">
        <v>0</v>
      </c>
      <c r="D128" s="40">
        <v>0</v>
      </c>
      <c r="E128" s="22">
        <v>0</v>
      </c>
      <c r="H128">
        <f t="shared" si="2"/>
        <v>0</v>
      </c>
      <c r="I128">
        <f t="shared" si="3"/>
        <v>0</v>
      </c>
      <c r="J128">
        <v>15</v>
      </c>
    </row>
    <row r="129" spans="1:10" ht="15" customHeight="1" x14ac:dyDescent="0.2">
      <c r="A129" t="s">
        <v>38</v>
      </c>
      <c r="B129" s="22">
        <v>0</v>
      </c>
      <c r="C129" s="40">
        <v>0</v>
      </c>
      <c r="D129" s="40">
        <v>0</v>
      </c>
      <c r="E129" s="22">
        <v>0</v>
      </c>
      <c r="H129">
        <f t="shared" si="2"/>
        <v>0</v>
      </c>
      <c r="I129">
        <f t="shared" si="3"/>
        <v>0</v>
      </c>
      <c r="J129">
        <v>15</v>
      </c>
    </row>
    <row r="130" spans="1:10" ht="15" customHeight="1" x14ac:dyDescent="0.2">
      <c r="A130" t="s">
        <v>39</v>
      </c>
      <c r="B130" s="22">
        <v>0</v>
      </c>
      <c r="C130" s="40">
        <v>0</v>
      </c>
      <c r="D130" s="40">
        <v>0</v>
      </c>
      <c r="E130" s="22">
        <v>0</v>
      </c>
      <c r="H130">
        <f t="shared" si="2"/>
        <v>0</v>
      </c>
      <c r="I130">
        <f t="shared" si="3"/>
        <v>0</v>
      </c>
      <c r="J130">
        <v>15</v>
      </c>
    </row>
    <row r="131" spans="1:10" ht="15" customHeight="1" x14ac:dyDescent="0.2">
      <c r="A131" t="s">
        <v>40</v>
      </c>
      <c r="B131" s="22">
        <v>0</v>
      </c>
      <c r="C131" s="40">
        <v>0</v>
      </c>
      <c r="D131" s="40">
        <v>0</v>
      </c>
      <c r="E131" s="22">
        <v>0</v>
      </c>
      <c r="H131">
        <f t="shared" si="2"/>
        <v>0</v>
      </c>
      <c r="I131">
        <f t="shared" si="3"/>
        <v>0</v>
      </c>
      <c r="J131">
        <v>15</v>
      </c>
    </row>
    <row r="132" spans="1:10" ht="15" customHeight="1" x14ac:dyDescent="0.2">
      <c r="A132" t="s">
        <v>41</v>
      </c>
      <c r="B132" s="22">
        <v>0</v>
      </c>
      <c r="C132" s="40">
        <v>0</v>
      </c>
      <c r="D132" s="40">
        <v>0</v>
      </c>
      <c r="E132" s="22">
        <v>0</v>
      </c>
      <c r="H132">
        <f t="shared" si="2"/>
        <v>0</v>
      </c>
      <c r="I132">
        <f t="shared" si="3"/>
        <v>0</v>
      </c>
      <c r="J132">
        <v>15</v>
      </c>
    </row>
    <row r="133" spans="1:10" ht="15" customHeight="1" x14ac:dyDescent="0.2">
      <c r="A133" t="s">
        <v>42</v>
      </c>
      <c r="B133" s="22">
        <v>0</v>
      </c>
      <c r="C133" s="40">
        <v>0</v>
      </c>
      <c r="D133" s="40">
        <v>0</v>
      </c>
      <c r="E133" s="22">
        <v>0</v>
      </c>
      <c r="H133">
        <f t="shared" si="2"/>
        <v>0</v>
      </c>
      <c r="I133">
        <f t="shared" si="3"/>
        <v>0</v>
      </c>
      <c r="J133">
        <v>15</v>
      </c>
    </row>
    <row r="134" spans="1:10" ht="15" customHeight="1" x14ac:dyDescent="0.2">
      <c r="A134" t="s">
        <v>43</v>
      </c>
      <c r="B134" s="22">
        <v>0</v>
      </c>
      <c r="C134" s="40">
        <v>0</v>
      </c>
      <c r="D134" s="40">
        <v>0</v>
      </c>
      <c r="E134" s="22">
        <v>0</v>
      </c>
      <c r="H134">
        <f t="shared" si="2"/>
        <v>0</v>
      </c>
      <c r="I134">
        <f t="shared" si="3"/>
        <v>0</v>
      </c>
      <c r="J134">
        <v>15</v>
      </c>
    </row>
    <row r="135" spans="1:10" ht="15" customHeight="1" x14ac:dyDescent="0.2">
      <c r="A135" t="s">
        <v>44</v>
      </c>
      <c r="B135" s="22">
        <v>0</v>
      </c>
      <c r="C135" s="40">
        <v>0</v>
      </c>
      <c r="D135" s="40">
        <v>0</v>
      </c>
      <c r="E135" s="22">
        <v>0</v>
      </c>
      <c r="H135">
        <f t="shared" si="2"/>
        <v>0</v>
      </c>
      <c r="I135">
        <f t="shared" si="3"/>
        <v>0</v>
      </c>
      <c r="J135">
        <v>15</v>
      </c>
    </row>
    <row r="136" spans="1:10" ht="15" customHeight="1" x14ac:dyDescent="0.2">
      <c r="A136" t="s">
        <v>45</v>
      </c>
      <c r="B136" s="22">
        <v>0</v>
      </c>
      <c r="C136" s="40">
        <v>0</v>
      </c>
      <c r="D136" s="40">
        <v>0</v>
      </c>
      <c r="E136" s="22">
        <v>0</v>
      </c>
      <c r="H136">
        <f t="shared" si="2"/>
        <v>0</v>
      </c>
      <c r="I136">
        <f t="shared" si="3"/>
        <v>0</v>
      </c>
      <c r="J136">
        <v>15</v>
      </c>
    </row>
    <row r="137" spans="1:10" ht="15" customHeight="1" x14ac:dyDescent="0.2">
      <c r="A137" t="s">
        <v>46</v>
      </c>
      <c r="B137" s="22">
        <v>0</v>
      </c>
      <c r="C137" s="40">
        <v>0</v>
      </c>
      <c r="D137" s="40">
        <v>0</v>
      </c>
      <c r="E137" s="22">
        <v>0</v>
      </c>
      <c r="H137">
        <f t="shared" si="2"/>
        <v>0</v>
      </c>
      <c r="I137">
        <f t="shared" si="3"/>
        <v>0</v>
      </c>
      <c r="J137">
        <v>15</v>
      </c>
    </row>
    <row r="138" spans="1:10" ht="15" customHeight="1" x14ac:dyDescent="0.2">
      <c r="A138" t="s">
        <v>47</v>
      </c>
      <c r="B138" s="22">
        <v>0</v>
      </c>
      <c r="C138" s="40">
        <v>0</v>
      </c>
      <c r="D138" s="40">
        <v>0</v>
      </c>
      <c r="E138" s="22">
        <v>0</v>
      </c>
      <c r="H138">
        <f t="shared" si="2"/>
        <v>0</v>
      </c>
      <c r="I138">
        <f t="shared" si="3"/>
        <v>0</v>
      </c>
      <c r="J138">
        <v>15</v>
      </c>
    </row>
    <row r="139" spans="1:10" ht="15" customHeight="1" x14ac:dyDescent="0.2">
      <c r="A139" t="s">
        <v>48</v>
      </c>
      <c r="B139" s="22">
        <v>0</v>
      </c>
      <c r="C139" s="40">
        <v>0</v>
      </c>
      <c r="D139" s="40">
        <v>0</v>
      </c>
      <c r="E139" s="22">
        <v>0</v>
      </c>
      <c r="H139">
        <f t="shared" ref="H139:H201" si="4">SUM(C139:D139)</f>
        <v>0</v>
      </c>
      <c r="I139">
        <f t="shared" ref="I139:I201" si="5">SUM(B139+E139)</f>
        <v>0</v>
      </c>
      <c r="J139">
        <v>15</v>
      </c>
    </row>
    <row r="140" spans="1:10" ht="15" customHeight="1" x14ac:dyDescent="0.2">
      <c r="A140" t="s">
        <v>49</v>
      </c>
      <c r="B140" s="22">
        <v>0</v>
      </c>
      <c r="C140" s="40">
        <v>0</v>
      </c>
      <c r="D140" s="40">
        <v>0</v>
      </c>
      <c r="E140" s="22">
        <v>0</v>
      </c>
      <c r="H140">
        <f t="shared" si="4"/>
        <v>0</v>
      </c>
      <c r="I140">
        <f t="shared" si="5"/>
        <v>0</v>
      </c>
      <c r="J140">
        <v>15</v>
      </c>
    </row>
    <row r="141" spans="1:10" ht="15" customHeight="1" x14ac:dyDescent="0.2">
      <c r="A141" t="s">
        <v>50</v>
      </c>
      <c r="B141" s="22">
        <v>0</v>
      </c>
      <c r="C141" s="40">
        <v>0</v>
      </c>
      <c r="D141" s="40">
        <v>0</v>
      </c>
      <c r="E141" s="22">
        <v>0</v>
      </c>
      <c r="H141">
        <f t="shared" si="4"/>
        <v>0</v>
      </c>
      <c r="I141">
        <f t="shared" si="5"/>
        <v>0</v>
      </c>
      <c r="J141">
        <v>15</v>
      </c>
    </row>
    <row r="142" spans="1:10" ht="15" customHeight="1" x14ac:dyDescent="0.2">
      <c r="A142" t="s">
        <v>51</v>
      </c>
      <c r="B142" s="22">
        <v>0</v>
      </c>
      <c r="C142" s="40">
        <v>0</v>
      </c>
      <c r="D142" s="40">
        <v>0</v>
      </c>
      <c r="E142" s="22">
        <v>0</v>
      </c>
      <c r="H142">
        <f t="shared" si="4"/>
        <v>0</v>
      </c>
      <c r="I142">
        <f t="shared" si="5"/>
        <v>0</v>
      </c>
      <c r="J142">
        <v>15</v>
      </c>
    </row>
    <row r="143" spans="1:10" ht="15" customHeight="1" x14ac:dyDescent="0.2">
      <c r="A143" t="s">
        <v>52</v>
      </c>
      <c r="B143" s="22">
        <v>0</v>
      </c>
      <c r="C143" s="40">
        <v>0</v>
      </c>
      <c r="D143" s="40">
        <v>0</v>
      </c>
      <c r="E143" s="22">
        <v>0</v>
      </c>
      <c r="H143">
        <f t="shared" si="4"/>
        <v>0</v>
      </c>
      <c r="I143">
        <f t="shared" si="5"/>
        <v>0</v>
      </c>
      <c r="J143">
        <v>15</v>
      </c>
    </row>
    <row r="144" spans="1:10" ht="15" customHeight="1" x14ac:dyDescent="0.2">
      <c r="A144" t="s">
        <v>53</v>
      </c>
      <c r="B144" s="22">
        <v>0</v>
      </c>
      <c r="C144" s="40">
        <v>0</v>
      </c>
      <c r="D144" s="40">
        <v>0</v>
      </c>
      <c r="E144" s="22">
        <v>0</v>
      </c>
      <c r="H144">
        <f t="shared" si="4"/>
        <v>0</v>
      </c>
      <c r="I144">
        <f t="shared" si="5"/>
        <v>0</v>
      </c>
      <c r="J144">
        <v>15</v>
      </c>
    </row>
    <row r="145" spans="1:10" ht="15" customHeight="1" x14ac:dyDescent="0.2">
      <c r="A145" t="s">
        <v>54</v>
      </c>
      <c r="B145" s="22">
        <v>0</v>
      </c>
      <c r="C145" s="40">
        <v>0</v>
      </c>
      <c r="D145" s="40">
        <v>0</v>
      </c>
      <c r="E145" s="22">
        <v>0</v>
      </c>
      <c r="H145">
        <f t="shared" si="4"/>
        <v>0</v>
      </c>
      <c r="I145">
        <f t="shared" si="5"/>
        <v>0</v>
      </c>
      <c r="J145">
        <v>15</v>
      </c>
    </row>
    <row r="146" spans="1:10" ht="15" customHeight="1" x14ac:dyDescent="0.2">
      <c r="A146" t="s">
        <v>55</v>
      </c>
      <c r="B146" s="22">
        <v>0</v>
      </c>
      <c r="C146" s="40">
        <v>0</v>
      </c>
      <c r="D146" s="40">
        <v>0</v>
      </c>
      <c r="E146" s="22">
        <v>0</v>
      </c>
      <c r="H146">
        <f t="shared" si="4"/>
        <v>0</v>
      </c>
      <c r="I146">
        <f t="shared" si="5"/>
        <v>0</v>
      </c>
      <c r="J146">
        <v>15</v>
      </c>
    </row>
    <row r="147" spans="1:10" ht="15" customHeight="1" x14ac:dyDescent="0.2">
      <c r="A147" t="s">
        <v>56</v>
      </c>
      <c r="B147" s="22">
        <v>0</v>
      </c>
      <c r="C147" s="40">
        <v>0</v>
      </c>
      <c r="D147" s="40">
        <v>0</v>
      </c>
      <c r="E147" s="22">
        <v>0</v>
      </c>
      <c r="H147">
        <f t="shared" si="4"/>
        <v>0</v>
      </c>
      <c r="I147">
        <f t="shared" si="5"/>
        <v>0</v>
      </c>
      <c r="J147">
        <v>15</v>
      </c>
    </row>
    <row r="148" spans="1:10" ht="15" customHeight="1" x14ac:dyDescent="0.2">
      <c r="A148" t="s">
        <v>57</v>
      </c>
      <c r="B148" s="22">
        <v>0</v>
      </c>
      <c r="C148" s="40">
        <v>0</v>
      </c>
      <c r="D148" s="40">
        <v>0</v>
      </c>
      <c r="E148" s="22">
        <v>0</v>
      </c>
      <c r="H148">
        <f t="shared" si="4"/>
        <v>0</v>
      </c>
      <c r="I148">
        <f t="shared" si="5"/>
        <v>0</v>
      </c>
      <c r="J148">
        <v>15</v>
      </c>
    </row>
    <row r="149" spans="1:10" ht="15" customHeight="1" x14ac:dyDescent="0.2">
      <c r="A149" t="s">
        <v>58</v>
      </c>
      <c r="B149" s="22">
        <v>0</v>
      </c>
      <c r="C149" s="40">
        <v>0</v>
      </c>
      <c r="D149" s="40">
        <v>0</v>
      </c>
      <c r="E149" s="22">
        <v>0</v>
      </c>
      <c r="H149">
        <f t="shared" si="4"/>
        <v>0</v>
      </c>
      <c r="I149">
        <f t="shared" si="5"/>
        <v>0</v>
      </c>
      <c r="J149">
        <v>15</v>
      </c>
    </row>
    <row r="150" spans="1:10" s="33" customFormat="1" ht="15" customHeight="1" x14ac:dyDescent="0.2">
      <c r="A150" s="33" t="s">
        <v>59</v>
      </c>
      <c r="B150" s="34">
        <v>0</v>
      </c>
      <c r="C150" s="41">
        <v>1</v>
      </c>
      <c r="D150" s="41">
        <v>0</v>
      </c>
      <c r="E150" s="34">
        <v>0</v>
      </c>
      <c r="H150" s="33">
        <f t="shared" si="4"/>
        <v>1</v>
      </c>
      <c r="I150" s="33">
        <f t="shared" si="5"/>
        <v>0</v>
      </c>
      <c r="J150">
        <v>15</v>
      </c>
    </row>
    <row r="151" spans="1:10" ht="15" customHeight="1" x14ac:dyDescent="0.2">
      <c r="A151" t="s">
        <v>60</v>
      </c>
      <c r="B151" s="22">
        <v>0</v>
      </c>
      <c r="C151" s="40">
        <v>0</v>
      </c>
      <c r="D151" s="40">
        <v>0</v>
      </c>
      <c r="E151" s="22">
        <v>0</v>
      </c>
      <c r="H151">
        <f t="shared" si="4"/>
        <v>0</v>
      </c>
      <c r="I151">
        <f t="shared" si="5"/>
        <v>0</v>
      </c>
      <c r="J151">
        <v>15</v>
      </c>
    </row>
    <row r="152" spans="1:10" s="33" customFormat="1" ht="15" customHeight="1" x14ac:dyDescent="0.2">
      <c r="A152" s="33" t="s">
        <v>61</v>
      </c>
      <c r="B152" s="34">
        <v>0</v>
      </c>
      <c r="C152" s="41">
        <v>1</v>
      </c>
      <c r="D152" s="41">
        <v>0</v>
      </c>
      <c r="E152" s="34">
        <v>0</v>
      </c>
      <c r="H152" s="33">
        <f t="shared" si="4"/>
        <v>1</v>
      </c>
      <c r="I152" s="33">
        <f t="shared" si="5"/>
        <v>0</v>
      </c>
      <c r="J152">
        <v>15</v>
      </c>
    </row>
    <row r="153" spans="1:10" ht="15" customHeight="1" x14ac:dyDescent="0.2">
      <c r="A153" t="s">
        <v>62</v>
      </c>
      <c r="B153" s="22">
        <v>0</v>
      </c>
      <c r="C153" s="40">
        <v>0</v>
      </c>
      <c r="D153" s="40">
        <v>0</v>
      </c>
      <c r="E153" s="22">
        <v>0</v>
      </c>
      <c r="H153">
        <f t="shared" si="4"/>
        <v>0</v>
      </c>
      <c r="I153">
        <f t="shared" si="5"/>
        <v>0</v>
      </c>
      <c r="J153">
        <v>15</v>
      </c>
    </row>
    <row r="154" spans="1:10" s="33" customFormat="1" ht="15" customHeight="1" x14ac:dyDescent="0.2">
      <c r="A154" s="33" t="s">
        <v>63</v>
      </c>
      <c r="B154" s="34">
        <v>0</v>
      </c>
      <c r="C154" s="41">
        <v>1</v>
      </c>
      <c r="D154" s="41">
        <v>1</v>
      </c>
      <c r="E154" s="34">
        <v>0</v>
      </c>
      <c r="H154" s="33">
        <f t="shared" si="4"/>
        <v>2</v>
      </c>
      <c r="I154" s="33">
        <f t="shared" si="5"/>
        <v>0</v>
      </c>
      <c r="J154">
        <v>15</v>
      </c>
    </row>
    <row r="155" spans="1:10" ht="15" customHeight="1" x14ac:dyDescent="0.2">
      <c r="A155" t="s">
        <v>64</v>
      </c>
      <c r="B155" s="22">
        <v>0</v>
      </c>
      <c r="C155" s="40">
        <v>0</v>
      </c>
      <c r="D155" s="40">
        <v>0</v>
      </c>
      <c r="E155" s="22">
        <v>0</v>
      </c>
      <c r="H155">
        <f t="shared" si="4"/>
        <v>0</v>
      </c>
      <c r="I155">
        <f t="shared" si="5"/>
        <v>0</v>
      </c>
      <c r="J155">
        <v>15</v>
      </c>
    </row>
    <row r="156" spans="1:10" ht="15" customHeight="1" x14ac:dyDescent="0.2">
      <c r="A156" t="s">
        <v>65</v>
      </c>
      <c r="B156" s="22">
        <v>0</v>
      </c>
      <c r="C156" s="40">
        <v>0</v>
      </c>
      <c r="D156" s="40">
        <v>0</v>
      </c>
      <c r="E156" s="22">
        <v>0</v>
      </c>
      <c r="H156">
        <f t="shared" si="4"/>
        <v>0</v>
      </c>
      <c r="I156">
        <f t="shared" si="5"/>
        <v>0</v>
      </c>
      <c r="J156">
        <v>15</v>
      </c>
    </row>
    <row r="157" spans="1:10" ht="15" customHeight="1" x14ac:dyDescent="0.2">
      <c r="A157" t="s">
        <v>66</v>
      </c>
      <c r="B157" s="22">
        <v>0</v>
      </c>
      <c r="C157" s="40">
        <v>0</v>
      </c>
      <c r="D157" s="40">
        <v>0</v>
      </c>
      <c r="E157" s="22">
        <v>0</v>
      </c>
      <c r="H157">
        <f t="shared" si="4"/>
        <v>0</v>
      </c>
      <c r="I157">
        <f t="shared" si="5"/>
        <v>0</v>
      </c>
      <c r="J157">
        <v>15</v>
      </c>
    </row>
    <row r="158" spans="1:10" ht="15" customHeight="1" x14ac:dyDescent="0.2">
      <c r="A158" t="s">
        <v>67</v>
      </c>
      <c r="B158" s="22">
        <v>0</v>
      </c>
      <c r="C158" s="40">
        <v>0</v>
      </c>
      <c r="D158" s="40">
        <v>0</v>
      </c>
      <c r="E158" s="22">
        <v>0</v>
      </c>
      <c r="H158">
        <f t="shared" si="4"/>
        <v>0</v>
      </c>
      <c r="I158">
        <f t="shared" si="5"/>
        <v>0</v>
      </c>
      <c r="J158">
        <v>15</v>
      </c>
    </row>
    <row r="159" spans="1:10" ht="15" customHeight="1" x14ac:dyDescent="0.2">
      <c r="A159" t="s">
        <v>68</v>
      </c>
      <c r="B159" s="22">
        <v>0</v>
      </c>
      <c r="C159" s="40">
        <v>0</v>
      </c>
      <c r="D159" s="40">
        <v>0</v>
      </c>
      <c r="E159" s="22">
        <v>0</v>
      </c>
      <c r="H159">
        <f t="shared" si="4"/>
        <v>0</v>
      </c>
      <c r="I159">
        <f t="shared" si="5"/>
        <v>0</v>
      </c>
      <c r="J159">
        <v>15</v>
      </c>
    </row>
    <row r="160" spans="1:10" ht="15" customHeight="1" x14ac:dyDescent="0.2">
      <c r="A160" t="s">
        <v>69</v>
      </c>
      <c r="B160" s="22">
        <v>1</v>
      </c>
      <c r="C160" s="40">
        <v>0</v>
      </c>
      <c r="D160" s="40">
        <v>0</v>
      </c>
      <c r="E160" s="22">
        <v>0</v>
      </c>
      <c r="H160">
        <f t="shared" si="4"/>
        <v>0</v>
      </c>
      <c r="I160">
        <f t="shared" si="5"/>
        <v>1</v>
      </c>
      <c r="J160">
        <v>15</v>
      </c>
    </row>
    <row r="161" spans="1:10" ht="15" customHeight="1" x14ac:dyDescent="0.2">
      <c r="A161" t="s">
        <v>70</v>
      </c>
      <c r="B161" s="22">
        <v>0</v>
      </c>
      <c r="C161" s="40">
        <v>0</v>
      </c>
      <c r="D161" s="40">
        <v>0</v>
      </c>
      <c r="E161" s="22">
        <v>0</v>
      </c>
      <c r="H161">
        <f t="shared" si="4"/>
        <v>0</v>
      </c>
      <c r="I161">
        <f t="shared" si="5"/>
        <v>0</v>
      </c>
      <c r="J161">
        <v>15</v>
      </c>
    </row>
    <row r="162" spans="1:10" s="33" customFormat="1" ht="15" customHeight="1" x14ac:dyDescent="0.2">
      <c r="A162" s="33" t="s">
        <v>71</v>
      </c>
      <c r="B162" s="34">
        <v>0</v>
      </c>
      <c r="C162" s="41">
        <v>0</v>
      </c>
      <c r="D162" s="41">
        <v>1</v>
      </c>
      <c r="E162" s="34">
        <v>0</v>
      </c>
      <c r="H162" s="33">
        <f t="shared" si="4"/>
        <v>1</v>
      </c>
      <c r="I162" s="33">
        <f t="shared" si="5"/>
        <v>0</v>
      </c>
      <c r="J162">
        <v>15</v>
      </c>
    </row>
    <row r="163" spans="1:10" ht="15" customHeight="1" x14ac:dyDescent="0.2">
      <c r="A163" t="s">
        <v>72</v>
      </c>
      <c r="B163" s="22">
        <v>0</v>
      </c>
      <c r="C163" s="40">
        <v>0</v>
      </c>
      <c r="D163" s="40">
        <v>0</v>
      </c>
      <c r="E163" s="22">
        <v>0</v>
      </c>
      <c r="H163">
        <f t="shared" si="4"/>
        <v>0</v>
      </c>
      <c r="I163">
        <f t="shared" si="5"/>
        <v>0</v>
      </c>
      <c r="J163">
        <v>15</v>
      </c>
    </row>
    <row r="164" spans="1:10" ht="15" customHeight="1" x14ac:dyDescent="0.2">
      <c r="A164" t="s">
        <v>73</v>
      </c>
      <c r="B164" s="22">
        <v>0</v>
      </c>
      <c r="C164" s="40">
        <v>0</v>
      </c>
      <c r="D164" s="40">
        <v>0</v>
      </c>
      <c r="E164" s="22">
        <v>0</v>
      </c>
      <c r="H164">
        <f t="shared" si="4"/>
        <v>0</v>
      </c>
      <c r="I164">
        <f t="shared" si="5"/>
        <v>0</v>
      </c>
      <c r="J164">
        <v>15</v>
      </c>
    </row>
    <row r="165" spans="1:10" ht="15" customHeight="1" x14ac:dyDescent="0.2">
      <c r="A165" t="s">
        <v>74</v>
      </c>
      <c r="B165" s="22">
        <v>0</v>
      </c>
      <c r="C165" s="40">
        <v>0</v>
      </c>
      <c r="D165" s="40">
        <v>0</v>
      </c>
      <c r="E165" s="22">
        <v>0</v>
      </c>
      <c r="H165">
        <f t="shared" si="4"/>
        <v>0</v>
      </c>
      <c r="I165">
        <f t="shared" si="5"/>
        <v>0</v>
      </c>
      <c r="J165">
        <v>15</v>
      </c>
    </row>
    <row r="166" spans="1:10" s="33" customFormat="1" ht="15" customHeight="1" x14ac:dyDescent="0.2">
      <c r="A166" s="33" t="s">
        <v>75</v>
      </c>
      <c r="B166" s="34">
        <v>0</v>
      </c>
      <c r="C166" s="41">
        <v>0</v>
      </c>
      <c r="D166" s="41">
        <v>1</v>
      </c>
      <c r="E166" s="34">
        <v>0</v>
      </c>
      <c r="H166" s="33">
        <f t="shared" si="4"/>
        <v>1</v>
      </c>
      <c r="I166" s="33">
        <f t="shared" si="5"/>
        <v>0</v>
      </c>
      <c r="J166">
        <v>15</v>
      </c>
    </row>
    <row r="167" spans="1:10" ht="15" customHeight="1" x14ac:dyDescent="0.2">
      <c r="A167" t="s">
        <v>76</v>
      </c>
      <c r="B167" s="22">
        <v>0</v>
      </c>
      <c r="C167" s="40">
        <v>0</v>
      </c>
      <c r="D167" s="40">
        <v>0</v>
      </c>
      <c r="E167" s="22">
        <v>0</v>
      </c>
      <c r="H167">
        <f t="shared" si="4"/>
        <v>0</v>
      </c>
      <c r="I167">
        <f t="shared" si="5"/>
        <v>0</v>
      </c>
      <c r="J167">
        <v>15</v>
      </c>
    </row>
    <row r="168" spans="1:10" ht="15" customHeight="1" x14ac:dyDescent="0.2">
      <c r="A168" t="s">
        <v>77</v>
      </c>
      <c r="B168" s="22">
        <v>0</v>
      </c>
      <c r="C168" s="40">
        <v>0</v>
      </c>
      <c r="D168" s="40">
        <v>0</v>
      </c>
      <c r="E168" s="22">
        <v>0</v>
      </c>
      <c r="H168">
        <f t="shared" si="4"/>
        <v>0</v>
      </c>
      <c r="I168">
        <f t="shared" si="5"/>
        <v>0</v>
      </c>
      <c r="J168">
        <v>15</v>
      </c>
    </row>
    <row r="169" spans="1:10" ht="15" customHeight="1" x14ac:dyDescent="0.2">
      <c r="A169" t="s">
        <v>78</v>
      </c>
      <c r="B169" s="22">
        <v>0</v>
      </c>
      <c r="C169" s="40">
        <v>0</v>
      </c>
      <c r="D169" s="40">
        <v>0</v>
      </c>
      <c r="E169" s="22">
        <v>0</v>
      </c>
      <c r="H169">
        <f t="shared" si="4"/>
        <v>0</v>
      </c>
      <c r="I169">
        <f t="shared" si="5"/>
        <v>0</v>
      </c>
      <c r="J169">
        <v>15</v>
      </c>
    </row>
    <row r="170" spans="1:10" s="33" customFormat="1" ht="15" customHeight="1" x14ac:dyDescent="0.2">
      <c r="A170" s="33" t="s">
        <v>79</v>
      </c>
      <c r="B170" s="34">
        <v>0</v>
      </c>
      <c r="C170" s="41">
        <v>0</v>
      </c>
      <c r="D170" s="41">
        <v>2</v>
      </c>
      <c r="E170" s="34">
        <v>0</v>
      </c>
      <c r="H170" s="33">
        <f t="shared" si="4"/>
        <v>2</v>
      </c>
      <c r="I170" s="33">
        <f t="shared" si="5"/>
        <v>0</v>
      </c>
      <c r="J170">
        <v>15</v>
      </c>
    </row>
    <row r="171" spans="1:10" ht="15" customHeight="1" x14ac:dyDescent="0.2">
      <c r="A171" t="s">
        <v>80</v>
      </c>
      <c r="B171" s="22">
        <v>0</v>
      </c>
      <c r="C171" s="40">
        <v>0</v>
      </c>
      <c r="D171" s="40">
        <v>0</v>
      </c>
      <c r="E171" s="22">
        <v>0</v>
      </c>
      <c r="H171">
        <f t="shared" si="4"/>
        <v>0</v>
      </c>
      <c r="I171">
        <f t="shared" si="5"/>
        <v>0</v>
      </c>
      <c r="J171">
        <v>15</v>
      </c>
    </row>
    <row r="172" spans="1:10" ht="15" customHeight="1" x14ac:dyDescent="0.2">
      <c r="A172" t="s">
        <v>81</v>
      </c>
      <c r="B172" s="22">
        <v>0</v>
      </c>
      <c r="C172" s="40">
        <v>0</v>
      </c>
      <c r="D172" s="40">
        <v>0</v>
      </c>
      <c r="E172" s="22">
        <v>0</v>
      </c>
      <c r="H172">
        <f t="shared" si="4"/>
        <v>0</v>
      </c>
      <c r="I172">
        <f t="shared" si="5"/>
        <v>0</v>
      </c>
      <c r="J172">
        <v>15</v>
      </c>
    </row>
    <row r="173" spans="1:10" s="33" customFormat="1" ht="15" customHeight="1" x14ac:dyDescent="0.2">
      <c r="A173" s="33" t="s">
        <v>82</v>
      </c>
      <c r="B173" s="34">
        <v>0</v>
      </c>
      <c r="C173" s="41">
        <v>1</v>
      </c>
      <c r="D173" s="41">
        <v>0</v>
      </c>
      <c r="E173" s="34">
        <v>0</v>
      </c>
      <c r="H173" s="33">
        <f t="shared" si="4"/>
        <v>1</v>
      </c>
      <c r="I173" s="33">
        <f t="shared" si="5"/>
        <v>0</v>
      </c>
      <c r="J173">
        <v>15</v>
      </c>
    </row>
    <row r="174" spans="1:10" ht="15" customHeight="1" x14ac:dyDescent="0.2">
      <c r="A174" t="s">
        <v>83</v>
      </c>
      <c r="B174" s="22">
        <v>0</v>
      </c>
      <c r="C174" s="40">
        <v>0</v>
      </c>
      <c r="D174" s="40">
        <v>0</v>
      </c>
      <c r="E174" s="22">
        <v>0</v>
      </c>
      <c r="H174">
        <f t="shared" si="4"/>
        <v>0</v>
      </c>
      <c r="I174">
        <f t="shared" si="5"/>
        <v>0</v>
      </c>
      <c r="J174">
        <v>15</v>
      </c>
    </row>
    <row r="175" spans="1:10" ht="15" customHeight="1" x14ac:dyDescent="0.2">
      <c r="A175" t="s">
        <v>84</v>
      </c>
      <c r="B175" s="22">
        <v>0</v>
      </c>
      <c r="C175" s="40">
        <v>0</v>
      </c>
      <c r="D175" s="40">
        <v>0</v>
      </c>
      <c r="E175" s="22">
        <v>0</v>
      </c>
      <c r="H175">
        <f t="shared" si="4"/>
        <v>0</v>
      </c>
      <c r="I175">
        <f t="shared" si="5"/>
        <v>0</v>
      </c>
      <c r="J175">
        <v>15</v>
      </c>
    </row>
    <row r="176" spans="1:10" ht="15" customHeight="1" x14ac:dyDescent="0.2">
      <c r="A176" t="s">
        <v>85</v>
      </c>
      <c r="B176" s="22">
        <v>0</v>
      </c>
      <c r="C176" s="40">
        <v>0</v>
      </c>
      <c r="D176" s="40">
        <v>0</v>
      </c>
      <c r="E176" s="22">
        <v>0</v>
      </c>
      <c r="H176">
        <f t="shared" si="4"/>
        <v>0</v>
      </c>
      <c r="I176">
        <f t="shared" si="5"/>
        <v>0</v>
      </c>
      <c r="J176">
        <v>15</v>
      </c>
    </row>
    <row r="177" spans="1:10" ht="15" customHeight="1" x14ac:dyDescent="0.2">
      <c r="A177" t="s">
        <v>86</v>
      </c>
      <c r="B177" s="22">
        <v>0</v>
      </c>
      <c r="C177" s="40">
        <v>0</v>
      </c>
      <c r="D177" s="40">
        <v>0</v>
      </c>
      <c r="E177" s="22">
        <v>0</v>
      </c>
      <c r="H177">
        <f t="shared" si="4"/>
        <v>0</v>
      </c>
      <c r="I177">
        <f t="shared" si="5"/>
        <v>0</v>
      </c>
      <c r="J177">
        <v>15</v>
      </c>
    </row>
    <row r="178" spans="1:10" ht="15" customHeight="1" x14ac:dyDescent="0.2">
      <c r="A178" t="s">
        <v>87</v>
      </c>
      <c r="B178" s="22">
        <v>0</v>
      </c>
      <c r="C178" s="40">
        <v>0</v>
      </c>
      <c r="D178" s="40">
        <v>0</v>
      </c>
      <c r="E178" s="22">
        <v>0</v>
      </c>
      <c r="H178">
        <f t="shared" si="4"/>
        <v>0</v>
      </c>
      <c r="I178">
        <f t="shared" si="5"/>
        <v>0</v>
      </c>
      <c r="J178">
        <v>15</v>
      </c>
    </row>
    <row r="179" spans="1:10" ht="15" customHeight="1" x14ac:dyDescent="0.2">
      <c r="A179" t="s">
        <v>88</v>
      </c>
      <c r="B179" s="22">
        <v>0</v>
      </c>
      <c r="C179" s="40">
        <v>0</v>
      </c>
      <c r="D179" s="40">
        <v>0</v>
      </c>
      <c r="E179" s="22">
        <v>0</v>
      </c>
      <c r="H179">
        <f t="shared" si="4"/>
        <v>0</v>
      </c>
      <c r="I179">
        <f t="shared" si="5"/>
        <v>0</v>
      </c>
      <c r="J179">
        <v>15</v>
      </c>
    </row>
    <row r="180" spans="1:10" ht="15" customHeight="1" x14ac:dyDescent="0.2">
      <c r="A180" t="s">
        <v>89</v>
      </c>
      <c r="B180" s="22">
        <v>0</v>
      </c>
      <c r="C180" s="40">
        <v>0</v>
      </c>
      <c r="D180" s="40">
        <v>0</v>
      </c>
      <c r="E180" s="22">
        <v>0</v>
      </c>
      <c r="H180">
        <f t="shared" si="4"/>
        <v>0</v>
      </c>
      <c r="I180">
        <f t="shared" si="5"/>
        <v>0</v>
      </c>
      <c r="J180">
        <v>15</v>
      </c>
    </row>
    <row r="181" spans="1:10" ht="15" customHeight="1" x14ac:dyDescent="0.2">
      <c r="A181" t="s">
        <v>90</v>
      </c>
      <c r="B181" s="22">
        <v>0</v>
      </c>
      <c r="C181" s="40">
        <v>0</v>
      </c>
      <c r="D181" s="40">
        <v>0</v>
      </c>
      <c r="E181" s="22">
        <v>0</v>
      </c>
      <c r="H181">
        <f t="shared" si="4"/>
        <v>0</v>
      </c>
      <c r="I181">
        <f t="shared" si="5"/>
        <v>0</v>
      </c>
      <c r="J181">
        <v>15</v>
      </c>
    </row>
    <row r="182" spans="1:10" ht="15" customHeight="1" x14ac:dyDescent="0.2">
      <c r="A182" t="s">
        <v>91</v>
      </c>
      <c r="B182" s="22">
        <v>0</v>
      </c>
      <c r="C182" s="40">
        <v>0</v>
      </c>
      <c r="D182" s="40">
        <v>0</v>
      </c>
      <c r="E182" s="22">
        <v>0</v>
      </c>
      <c r="H182">
        <f t="shared" si="4"/>
        <v>0</v>
      </c>
      <c r="I182">
        <f t="shared" si="5"/>
        <v>0</v>
      </c>
      <c r="J182">
        <v>15</v>
      </c>
    </row>
    <row r="183" spans="1:10" s="33" customFormat="1" ht="15" customHeight="1" x14ac:dyDescent="0.2">
      <c r="A183" s="33" t="s">
        <v>92</v>
      </c>
      <c r="B183" s="34">
        <v>0</v>
      </c>
      <c r="C183" s="41">
        <v>0</v>
      </c>
      <c r="D183" s="41">
        <v>1</v>
      </c>
      <c r="E183" s="34">
        <v>0</v>
      </c>
      <c r="H183" s="33">
        <f t="shared" si="4"/>
        <v>1</v>
      </c>
      <c r="I183" s="33">
        <f t="shared" si="5"/>
        <v>0</v>
      </c>
      <c r="J183">
        <v>15</v>
      </c>
    </row>
    <row r="184" spans="1:10" ht="15" customHeight="1" x14ac:dyDescent="0.2">
      <c r="A184" t="s">
        <v>93</v>
      </c>
      <c r="B184" s="22">
        <v>0</v>
      </c>
      <c r="C184" s="40">
        <v>0</v>
      </c>
      <c r="D184" s="40">
        <v>0</v>
      </c>
      <c r="E184" s="22">
        <v>0</v>
      </c>
      <c r="H184">
        <f t="shared" si="4"/>
        <v>0</v>
      </c>
      <c r="I184">
        <f t="shared" si="5"/>
        <v>0</v>
      </c>
      <c r="J184">
        <v>15</v>
      </c>
    </row>
    <row r="185" spans="1:10" ht="15" customHeight="1" x14ac:dyDescent="0.2">
      <c r="A185" t="s">
        <v>94</v>
      </c>
      <c r="B185" s="22">
        <v>0</v>
      </c>
      <c r="C185" s="40">
        <v>0</v>
      </c>
      <c r="D185" s="40">
        <v>0</v>
      </c>
      <c r="E185" s="22">
        <v>0</v>
      </c>
      <c r="H185">
        <f t="shared" si="4"/>
        <v>0</v>
      </c>
      <c r="I185">
        <f t="shared" si="5"/>
        <v>0</v>
      </c>
      <c r="J185">
        <v>15</v>
      </c>
    </row>
    <row r="186" spans="1:10" s="33" customFormat="1" ht="15" customHeight="1" x14ac:dyDescent="0.2">
      <c r="A186" s="33" t="s">
        <v>95</v>
      </c>
      <c r="B186" s="34">
        <v>0</v>
      </c>
      <c r="C186" s="41">
        <v>0</v>
      </c>
      <c r="D186" s="41">
        <v>2</v>
      </c>
      <c r="E186" s="34">
        <v>0</v>
      </c>
      <c r="H186" s="33">
        <f t="shared" si="4"/>
        <v>2</v>
      </c>
      <c r="I186" s="33">
        <f t="shared" si="5"/>
        <v>0</v>
      </c>
      <c r="J186">
        <v>15</v>
      </c>
    </row>
    <row r="187" spans="1:10" ht="15" customHeight="1" x14ac:dyDescent="0.2">
      <c r="A187" t="s">
        <v>96</v>
      </c>
      <c r="B187" s="22">
        <v>0</v>
      </c>
      <c r="C187" s="40">
        <v>0</v>
      </c>
      <c r="D187" s="40">
        <v>0</v>
      </c>
      <c r="E187" s="22">
        <v>0</v>
      </c>
      <c r="H187">
        <f t="shared" si="4"/>
        <v>0</v>
      </c>
      <c r="I187">
        <f t="shared" si="5"/>
        <v>0</v>
      </c>
      <c r="J187">
        <v>15</v>
      </c>
    </row>
    <row r="188" spans="1:10" ht="15" customHeight="1" x14ac:dyDescent="0.2">
      <c r="A188" t="s">
        <v>97</v>
      </c>
      <c r="B188" s="22">
        <v>0</v>
      </c>
      <c r="C188" s="40">
        <v>0</v>
      </c>
      <c r="D188" s="40">
        <v>0</v>
      </c>
      <c r="E188" s="22">
        <v>0</v>
      </c>
      <c r="H188">
        <f t="shared" si="4"/>
        <v>0</v>
      </c>
      <c r="I188">
        <f t="shared" si="5"/>
        <v>0</v>
      </c>
      <c r="J188">
        <v>15</v>
      </c>
    </row>
    <row r="189" spans="1:10" ht="15" customHeight="1" x14ac:dyDescent="0.2">
      <c r="A189" t="s">
        <v>98</v>
      </c>
      <c r="B189" s="22">
        <v>0</v>
      </c>
      <c r="C189" s="40">
        <v>0</v>
      </c>
      <c r="D189" s="40">
        <v>0</v>
      </c>
      <c r="E189" s="22">
        <v>0</v>
      </c>
      <c r="H189">
        <f t="shared" si="4"/>
        <v>0</v>
      </c>
      <c r="I189">
        <f t="shared" si="5"/>
        <v>0</v>
      </c>
      <c r="J189">
        <v>15</v>
      </c>
    </row>
    <row r="190" spans="1:10" ht="15" customHeight="1" x14ac:dyDescent="0.2">
      <c r="A190" t="s">
        <v>99</v>
      </c>
      <c r="B190" s="22">
        <v>0</v>
      </c>
      <c r="C190" s="40">
        <v>0</v>
      </c>
      <c r="D190" s="40">
        <v>0</v>
      </c>
      <c r="E190" s="22">
        <v>0</v>
      </c>
      <c r="H190">
        <f t="shared" si="4"/>
        <v>0</v>
      </c>
      <c r="I190">
        <f t="shared" si="5"/>
        <v>0</v>
      </c>
      <c r="J190">
        <v>15</v>
      </c>
    </row>
    <row r="191" spans="1:10" ht="15" customHeight="1" x14ac:dyDescent="0.2">
      <c r="A191" t="s">
        <v>100</v>
      </c>
      <c r="B191" s="22">
        <v>0</v>
      </c>
      <c r="C191" s="40">
        <v>0</v>
      </c>
      <c r="D191" s="40">
        <v>0</v>
      </c>
      <c r="E191" s="22">
        <v>0</v>
      </c>
      <c r="H191">
        <f t="shared" si="4"/>
        <v>0</v>
      </c>
      <c r="I191">
        <f t="shared" si="5"/>
        <v>0</v>
      </c>
      <c r="J191">
        <v>15</v>
      </c>
    </row>
    <row r="192" spans="1:10" s="33" customFormat="1" ht="15" customHeight="1" x14ac:dyDescent="0.2">
      <c r="A192" s="33" t="s">
        <v>101</v>
      </c>
      <c r="B192" s="34">
        <v>0</v>
      </c>
      <c r="C192" s="41">
        <v>0</v>
      </c>
      <c r="D192" s="41">
        <v>1</v>
      </c>
      <c r="E192" s="34">
        <v>0</v>
      </c>
      <c r="H192" s="33">
        <f t="shared" si="4"/>
        <v>1</v>
      </c>
      <c r="I192" s="33">
        <f t="shared" si="5"/>
        <v>0</v>
      </c>
      <c r="J192">
        <v>15</v>
      </c>
    </row>
    <row r="193" spans="1:10" ht="15" customHeight="1" x14ac:dyDescent="0.2">
      <c r="A193" t="s">
        <v>102</v>
      </c>
      <c r="B193" s="22">
        <v>0</v>
      </c>
      <c r="C193" s="40">
        <v>0</v>
      </c>
      <c r="D193" s="40">
        <v>0</v>
      </c>
      <c r="E193" s="22">
        <v>0</v>
      </c>
      <c r="H193">
        <f t="shared" si="4"/>
        <v>0</v>
      </c>
      <c r="I193">
        <f t="shared" si="5"/>
        <v>0</v>
      </c>
      <c r="J193">
        <v>15</v>
      </c>
    </row>
    <row r="194" spans="1:10" ht="15" customHeight="1" x14ac:dyDescent="0.2">
      <c r="A194" t="s">
        <v>103</v>
      </c>
      <c r="B194" s="22">
        <v>0</v>
      </c>
      <c r="C194" s="40">
        <v>0</v>
      </c>
      <c r="D194" s="40">
        <v>0</v>
      </c>
      <c r="E194" s="22">
        <v>0</v>
      </c>
      <c r="H194">
        <f t="shared" si="4"/>
        <v>0</v>
      </c>
      <c r="I194">
        <f t="shared" si="5"/>
        <v>0</v>
      </c>
      <c r="J194">
        <v>15</v>
      </c>
    </row>
    <row r="195" spans="1:10" ht="15" customHeight="1" x14ac:dyDescent="0.2">
      <c r="A195" t="s">
        <v>104</v>
      </c>
      <c r="B195" s="22">
        <v>0</v>
      </c>
      <c r="C195" s="40">
        <v>0</v>
      </c>
      <c r="D195" s="40">
        <v>0</v>
      </c>
      <c r="E195" s="22">
        <v>0</v>
      </c>
      <c r="H195">
        <f t="shared" si="4"/>
        <v>0</v>
      </c>
      <c r="I195">
        <f t="shared" si="5"/>
        <v>0</v>
      </c>
      <c r="J195">
        <v>15</v>
      </c>
    </row>
    <row r="196" spans="1:10" ht="15" customHeight="1" x14ac:dyDescent="0.2">
      <c r="A196" t="s">
        <v>105</v>
      </c>
      <c r="B196" s="22">
        <v>0</v>
      </c>
      <c r="C196" s="40">
        <v>0</v>
      </c>
      <c r="D196" s="40">
        <v>0</v>
      </c>
      <c r="E196" s="22">
        <v>0</v>
      </c>
      <c r="H196">
        <f t="shared" si="4"/>
        <v>0</v>
      </c>
      <c r="I196">
        <f t="shared" si="5"/>
        <v>0</v>
      </c>
      <c r="J196">
        <v>15</v>
      </c>
    </row>
    <row r="197" spans="1:10" ht="15" customHeight="1" x14ac:dyDescent="0.2">
      <c r="A197" t="s">
        <v>106</v>
      </c>
      <c r="B197" s="22">
        <v>0</v>
      </c>
      <c r="C197" s="40">
        <v>0</v>
      </c>
      <c r="D197" s="40">
        <v>0</v>
      </c>
      <c r="E197" s="22">
        <v>0</v>
      </c>
      <c r="H197">
        <f t="shared" si="4"/>
        <v>0</v>
      </c>
      <c r="I197">
        <f t="shared" si="5"/>
        <v>0</v>
      </c>
      <c r="J197">
        <v>15</v>
      </c>
    </row>
    <row r="198" spans="1:10" ht="15" customHeight="1" x14ac:dyDescent="0.2">
      <c r="A198" t="s">
        <v>107</v>
      </c>
      <c r="B198" s="22">
        <v>0</v>
      </c>
      <c r="C198" s="40">
        <v>0</v>
      </c>
      <c r="D198" s="40">
        <v>0</v>
      </c>
      <c r="E198" s="22">
        <v>0</v>
      </c>
      <c r="H198">
        <f t="shared" si="4"/>
        <v>0</v>
      </c>
      <c r="I198">
        <f t="shared" si="5"/>
        <v>0</v>
      </c>
      <c r="J198">
        <v>15</v>
      </c>
    </row>
    <row r="199" spans="1:10" ht="15" customHeight="1" x14ac:dyDescent="0.2">
      <c r="A199" t="s">
        <v>108</v>
      </c>
      <c r="B199" s="22">
        <v>0</v>
      </c>
      <c r="C199" s="40">
        <v>0</v>
      </c>
      <c r="D199" s="40">
        <v>0</v>
      </c>
      <c r="E199" s="22">
        <v>0</v>
      </c>
      <c r="H199">
        <f t="shared" si="4"/>
        <v>0</v>
      </c>
      <c r="I199">
        <f t="shared" si="5"/>
        <v>0</v>
      </c>
      <c r="J199">
        <v>15</v>
      </c>
    </row>
    <row r="200" spans="1:10" ht="15" customHeight="1" x14ac:dyDescent="0.2">
      <c r="A200" t="s">
        <v>109</v>
      </c>
      <c r="B200" s="22">
        <v>0</v>
      </c>
      <c r="C200" s="40">
        <v>0</v>
      </c>
      <c r="D200" s="40">
        <v>0</v>
      </c>
      <c r="E200" s="22">
        <v>0</v>
      </c>
      <c r="H200">
        <f t="shared" si="4"/>
        <v>0</v>
      </c>
      <c r="I200">
        <f t="shared" si="5"/>
        <v>0</v>
      </c>
      <c r="J200">
        <v>15</v>
      </c>
    </row>
    <row r="201" spans="1:10" ht="15" customHeight="1" x14ac:dyDescent="0.2">
      <c r="A201" t="s">
        <v>110</v>
      </c>
      <c r="B201" s="22">
        <v>0</v>
      </c>
      <c r="C201" s="40">
        <v>0</v>
      </c>
      <c r="D201" s="40">
        <v>0</v>
      </c>
      <c r="E201" s="22">
        <v>0</v>
      </c>
      <c r="H201">
        <f t="shared" si="4"/>
        <v>0</v>
      </c>
      <c r="I201">
        <f t="shared" si="5"/>
        <v>0</v>
      </c>
      <c r="J201">
        <v>15</v>
      </c>
    </row>
    <row r="202" spans="1:10" ht="15" customHeight="1" x14ac:dyDescent="0.2">
      <c r="B202">
        <f t="shared" ref="B202:I202" si="6">SUM(B10:B201)</f>
        <v>4</v>
      </c>
      <c r="C202" s="42">
        <f t="shared" si="6"/>
        <v>9</v>
      </c>
      <c r="D202" s="42">
        <f t="shared" si="6"/>
        <v>18</v>
      </c>
      <c r="E202">
        <f t="shared" si="6"/>
        <v>0</v>
      </c>
      <c r="F202">
        <f t="shared" si="6"/>
        <v>0</v>
      </c>
      <c r="G202">
        <f t="shared" si="6"/>
        <v>0</v>
      </c>
      <c r="H202">
        <f t="shared" si="6"/>
        <v>27</v>
      </c>
      <c r="I202">
        <f t="shared" si="6"/>
        <v>4</v>
      </c>
      <c r="J202" s="80">
        <f t="shared" ref="J202" si="7">SUM(J10:J201)</f>
        <v>2880</v>
      </c>
    </row>
    <row r="204" spans="1:10" ht="15" customHeight="1" x14ac:dyDescent="0.2">
      <c r="G204" s="88" t="s">
        <v>212</v>
      </c>
      <c r="H204" s="6">
        <f>SUM(H38:H87,H134:H183)</f>
        <v>24</v>
      </c>
      <c r="J204" s="28">
        <f>SUM(J38:J87,J134:J183)/60</f>
        <v>25</v>
      </c>
    </row>
    <row r="205" spans="1:10" ht="15" customHeight="1" x14ac:dyDescent="0.2">
      <c r="G205" s="88" t="s">
        <v>213</v>
      </c>
      <c r="H205" s="6">
        <f>H202-H204</f>
        <v>3</v>
      </c>
      <c r="J205" s="28">
        <f>48-J204</f>
        <v>23</v>
      </c>
    </row>
  </sheetData>
  <mergeCells count="8">
    <mergeCell ref="A4:B4"/>
    <mergeCell ref="C4:F4"/>
    <mergeCell ref="A1:B1"/>
    <mergeCell ref="C1:F1"/>
    <mergeCell ref="A2:B2"/>
    <mergeCell ref="C2:F2"/>
    <mergeCell ref="A3:B3"/>
    <mergeCell ref="C3:F3"/>
  </mergeCells>
  <pageMargins left="0.75" right="0.75" top="1" bottom="1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5"/>
  <sheetViews>
    <sheetView workbookViewId="0">
      <pane xSplit="1" ySplit="9" topLeftCell="B196" activePane="bottomRight" state="frozen"/>
      <selection pane="topRight" activeCell="B1" sqref="B1"/>
      <selection pane="bottomLeft" activeCell="A10" sqref="A10"/>
      <selection pane="bottomRight" activeCell="L9" sqref="L9"/>
    </sheetView>
  </sheetViews>
  <sheetFormatPr defaultColWidth="12.140625" defaultRowHeight="15" customHeight="1" x14ac:dyDescent="0.2"/>
  <cols>
    <col min="1" max="1" width="12.140625" style="57" bestFit="1" customWidth="1"/>
    <col min="2" max="3" width="10.42578125" style="57" hidden="1" customWidth="1"/>
    <col min="4" max="4" width="10.42578125" style="45" customWidth="1"/>
    <col min="5" max="5" width="10.42578125" style="57" hidden="1" customWidth="1"/>
    <col min="6" max="6" width="9.85546875" style="45" customWidth="1"/>
    <col min="7" max="9" width="9.85546875" style="57" customWidth="1"/>
    <col min="10" max="10" width="11.5703125" style="57" customWidth="1"/>
    <col min="11" max="16384" width="12.140625" style="57"/>
  </cols>
  <sheetData>
    <row r="1" spans="1:13" ht="15" customHeight="1" x14ac:dyDescent="0.3">
      <c r="A1" s="115" t="s">
        <v>0</v>
      </c>
      <c r="B1" s="115"/>
      <c r="C1" s="116" t="s">
        <v>207</v>
      </c>
      <c r="D1" s="116"/>
      <c r="E1" s="116"/>
      <c r="F1" s="116"/>
      <c r="G1" s="116"/>
      <c r="H1" s="116"/>
      <c r="I1" s="116"/>
    </row>
    <row r="2" spans="1:13" ht="15" customHeight="1" x14ac:dyDescent="0.3">
      <c r="A2" s="115" t="s">
        <v>2</v>
      </c>
      <c r="B2" s="115"/>
      <c r="C2" s="116" t="s">
        <v>204</v>
      </c>
      <c r="D2" s="116"/>
      <c r="E2" s="116"/>
      <c r="F2" s="116"/>
      <c r="G2" s="116"/>
      <c r="H2" s="116"/>
      <c r="I2" s="116"/>
    </row>
    <row r="3" spans="1:13" ht="15" customHeight="1" x14ac:dyDescent="0.3">
      <c r="A3" s="115" t="s">
        <v>4</v>
      </c>
      <c r="B3" s="115"/>
      <c r="C3" s="116" t="s">
        <v>5</v>
      </c>
      <c r="D3" s="116"/>
      <c r="E3" s="116"/>
      <c r="F3" s="116"/>
      <c r="G3" s="116"/>
      <c r="H3" s="116"/>
      <c r="I3" s="116"/>
    </row>
    <row r="4" spans="1:13" ht="15" customHeight="1" x14ac:dyDescent="0.3">
      <c r="A4" s="115" t="s">
        <v>6</v>
      </c>
      <c r="B4" s="115"/>
      <c r="C4" s="116" t="s">
        <v>7</v>
      </c>
      <c r="D4" s="116"/>
      <c r="E4" s="116"/>
      <c r="F4" s="116"/>
      <c r="G4" s="116"/>
      <c r="H4" s="116"/>
      <c r="I4" s="116"/>
    </row>
    <row r="7" spans="1:13" s="66" customFormat="1" ht="30.75" customHeight="1" x14ac:dyDescent="0.3">
      <c r="A7" s="64" t="s">
        <v>8</v>
      </c>
      <c r="B7" s="65" t="s">
        <v>124</v>
      </c>
      <c r="C7" s="65" t="s">
        <v>125</v>
      </c>
      <c r="D7" s="43" t="s">
        <v>126</v>
      </c>
      <c r="E7" s="65" t="s">
        <v>127</v>
      </c>
      <c r="F7" s="43" t="s">
        <v>124</v>
      </c>
      <c r="G7" s="65" t="s">
        <v>125</v>
      </c>
      <c r="H7" s="65" t="s">
        <v>126</v>
      </c>
      <c r="I7" s="65" t="s">
        <v>127</v>
      </c>
    </row>
    <row r="8" spans="1:13" s="66" customFormat="1" ht="15" customHeight="1" x14ac:dyDescent="0.3">
      <c r="A8" s="64" t="s">
        <v>13</v>
      </c>
      <c r="B8" s="65" t="s">
        <v>128</v>
      </c>
      <c r="C8" s="65" t="s">
        <v>128</v>
      </c>
      <c r="D8" s="43" t="s">
        <v>128</v>
      </c>
      <c r="E8" s="65" t="s">
        <v>128</v>
      </c>
      <c r="F8" s="43" t="s">
        <v>129</v>
      </c>
      <c r="G8" s="65" t="s">
        <v>129</v>
      </c>
      <c r="H8" s="65" t="s">
        <v>129</v>
      </c>
      <c r="I8" s="65" t="s">
        <v>129</v>
      </c>
    </row>
    <row r="9" spans="1:13" s="66" customFormat="1" ht="29.25" customHeight="1" x14ac:dyDescent="0.2">
      <c r="B9" s="67" t="s">
        <v>120</v>
      </c>
      <c r="C9" s="17" t="s">
        <v>111</v>
      </c>
      <c r="D9" s="55" t="s">
        <v>121</v>
      </c>
      <c r="E9" s="17" t="s">
        <v>113</v>
      </c>
      <c r="F9" s="55" t="s">
        <v>121</v>
      </c>
      <c r="G9" s="17" t="s">
        <v>113</v>
      </c>
      <c r="H9" s="67" t="s">
        <v>120</v>
      </c>
      <c r="I9" s="17" t="s">
        <v>111</v>
      </c>
      <c r="J9" s="17" t="s">
        <v>113</v>
      </c>
      <c r="K9" s="17" t="s">
        <v>111</v>
      </c>
      <c r="L9" s="92" t="s">
        <v>121</v>
      </c>
      <c r="M9" s="67" t="s">
        <v>120</v>
      </c>
    </row>
    <row r="10" spans="1:13" ht="15" customHeight="1" x14ac:dyDescent="0.2">
      <c r="A10" s="57" t="s">
        <v>5</v>
      </c>
      <c r="B10" s="58">
        <v>0</v>
      </c>
      <c r="C10" s="58">
        <v>0</v>
      </c>
      <c r="D10" s="56">
        <v>0</v>
      </c>
      <c r="E10" s="58">
        <v>0</v>
      </c>
      <c r="F10" s="56">
        <v>0</v>
      </c>
      <c r="G10" s="58">
        <v>0</v>
      </c>
      <c r="H10" s="58">
        <v>0</v>
      </c>
      <c r="I10" s="58">
        <v>1</v>
      </c>
      <c r="J10" s="57">
        <f>SUM(E10+G10)</f>
        <v>0</v>
      </c>
      <c r="K10" s="57">
        <f t="shared" ref="K10:K41" si="0">SUM(C10+I10)</f>
        <v>1</v>
      </c>
      <c r="L10" s="57">
        <f t="shared" ref="L10:L41" si="1">SUM(D10+F10)</f>
        <v>0</v>
      </c>
      <c r="M10" s="57">
        <f t="shared" ref="M10:M41" si="2">SUM(B10+H10)</f>
        <v>0</v>
      </c>
    </row>
    <row r="11" spans="1:13" ht="15" customHeight="1" x14ac:dyDescent="0.2">
      <c r="A11" s="57" t="s">
        <v>16</v>
      </c>
      <c r="B11" s="58">
        <v>0</v>
      </c>
      <c r="C11" s="58">
        <v>0</v>
      </c>
      <c r="D11" s="56">
        <v>0</v>
      </c>
      <c r="E11" s="58">
        <v>0</v>
      </c>
      <c r="F11" s="56">
        <v>0</v>
      </c>
      <c r="G11" s="58">
        <v>0</v>
      </c>
      <c r="H11" s="58">
        <v>0</v>
      </c>
      <c r="I11" s="58">
        <v>0</v>
      </c>
      <c r="J11" s="57">
        <f t="shared" ref="J11:J74" si="3">SUM(E11+G11)</f>
        <v>0</v>
      </c>
      <c r="K11" s="57">
        <f t="shared" si="0"/>
        <v>0</v>
      </c>
      <c r="L11" s="57">
        <f t="shared" si="1"/>
        <v>0</v>
      </c>
      <c r="M11" s="57">
        <f t="shared" si="2"/>
        <v>0</v>
      </c>
    </row>
    <row r="12" spans="1:13" ht="15" customHeight="1" x14ac:dyDescent="0.2">
      <c r="A12" s="57" t="s">
        <v>17</v>
      </c>
      <c r="B12" s="58">
        <v>0</v>
      </c>
      <c r="C12" s="58">
        <v>0</v>
      </c>
      <c r="D12" s="56">
        <v>0</v>
      </c>
      <c r="E12" s="58">
        <v>0</v>
      </c>
      <c r="F12" s="56">
        <v>0</v>
      </c>
      <c r="G12" s="58">
        <v>0</v>
      </c>
      <c r="H12" s="58">
        <v>0</v>
      </c>
      <c r="I12" s="58">
        <v>0</v>
      </c>
      <c r="J12" s="57">
        <f t="shared" si="3"/>
        <v>0</v>
      </c>
      <c r="K12" s="57">
        <f t="shared" si="0"/>
        <v>0</v>
      </c>
      <c r="L12" s="57">
        <f t="shared" si="1"/>
        <v>0</v>
      </c>
      <c r="M12" s="57">
        <f t="shared" si="2"/>
        <v>0</v>
      </c>
    </row>
    <row r="13" spans="1:13" ht="15" customHeight="1" x14ac:dyDescent="0.2">
      <c r="A13" s="57" t="s">
        <v>18</v>
      </c>
      <c r="B13" s="58">
        <v>0</v>
      </c>
      <c r="C13" s="58">
        <v>0</v>
      </c>
      <c r="D13" s="56">
        <v>0</v>
      </c>
      <c r="E13" s="58">
        <v>0</v>
      </c>
      <c r="F13" s="56">
        <v>0</v>
      </c>
      <c r="G13" s="58">
        <v>1</v>
      </c>
      <c r="H13" s="58">
        <v>0</v>
      </c>
      <c r="I13" s="58">
        <v>0</v>
      </c>
      <c r="J13" s="57">
        <f t="shared" si="3"/>
        <v>1</v>
      </c>
      <c r="K13" s="57">
        <f t="shared" si="0"/>
        <v>0</v>
      </c>
      <c r="L13" s="57">
        <f t="shared" si="1"/>
        <v>0</v>
      </c>
      <c r="M13" s="57">
        <f t="shared" si="2"/>
        <v>0</v>
      </c>
    </row>
    <row r="14" spans="1:13" ht="15" customHeight="1" x14ac:dyDescent="0.2">
      <c r="A14" s="57" t="s">
        <v>19</v>
      </c>
      <c r="B14" s="58">
        <v>0</v>
      </c>
      <c r="C14" s="58">
        <v>0</v>
      </c>
      <c r="D14" s="56">
        <v>0</v>
      </c>
      <c r="E14" s="58">
        <v>0</v>
      </c>
      <c r="F14" s="56">
        <v>0</v>
      </c>
      <c r="G14" s="58">
        <v>0</v>
      </c>
      <c r="H14" s="58">
        <v>0</v>
      </c>
      <c r="I14" s="58">
        <v>0</v>
      </c>
      <c r="J14" s="57">
        <f t="shared" si="3"/>
        <v>0</v>
      </c>
      <c r="K14" s="57">
        <f t="shared" si="0"/>
        <v>0</v>
      </c>
      <c r="L14" s="57">
        <f t="shared" si="1"/>
        <v>0</v>
      </c>
      <c r="M14" s="57">
        <f t="shared" si="2"/>
        <v>0</v>
      </c>
    </row>
    <row r="15" spans="1:13" ht="15" customHeight="1" x14ac:dyDescent="0.2">
      <c r="A15" s="57" t="s">
        <v>20</v>
      </c>
      <c r="B15" s="58">
        <v>0</v>
      </c>
      <c r="C15" s="58">
        <v>0</v>
      </c>
      <c r="D15" s="56">
        <v>0</v>
      </c>
      <c r="E15" s="58">
        <v>0</v>
      </c>
      <c r="F15" s="56">
        <v>0</v>
      </c>
      <c r="G15" s="58">
        <v>0</v>
      </c>
      <c r="H15" s="58">
        <v>0</v>
      </c>
      <c r="I15" s="58">
        <v>0</v>
      </c>
      <c r="J15" s="57">
        <f t="shared" si="3"/>
        <v>0</v>
      </c>
      <c r="K15" s="57">
        <f t="shared" si="0"/>
        <v>0</v>
      </c>
      <c r="L15" s="57">
        <f t="shared" si="1"/>
        <v>0</v>
      </c>
      <c r="M15" s="57">
        <f t="shared" si="2"/>
        <v>0</v>
      </c>
    </row>
    <row r="16" spans="1:13" ht="15" customHeight="1" x14ac:dyDescent="0.2">
      <c r="A16" s="57" t="s">
        <v>21</v>
      </c>
      <c r="B16" s="58">
        <v>0</v>
      </c>
      <c r="C16" s="58">
        <v>0</v>
      </c>
      <c r="D16" s="56">
        <v>0</v>
      </c>
      <c r="E16" s="58">
        <v>0</v>
      </c>
      <c r="F16" s="56">
        <v>0</v>
      </c>
      <c r="G16" s="58">
        <v>0</v>
      </c>
      <c r="H16" s="58">
        <v>0</v>
      </c>
      <c r="I16" s="58">
        <v>0</v>
      </c>
      <c r="J16" s="57">
        <f t="shared" si="3"/>
        <v>0</v>
      </c>
      <c r="K16" s="57">
        <f t="shared" si="0"/>
        <v>0</v>
      </c>
      <c r="L16" s="57">
        <f t="shared" si="1"/>
        <v>0</v>
      </c>
      <c r="M16" s="57">
        <f t="shared" si="2"/>
        <v>0</v>
      </c>
    </row>
    <row r="17" spans="1:13" ht="15" customHeight="1" x14ac:dyDescent="0.2">
      <c r="A17" s="57" t="s">
        <v>22</v>
      </c>
      <c r="B17" s="58">
        <v>0</v>
      </c>
      <c r="C17" s="58">
        <v>0</v>
      </c>
      <c r="D17" s="56">
        <v>0</v>
      </c>
      <c r="E17" s="58">
        <v>0</v>
      </c>
      <c r="F17" s="56">
        <v>0</v>
      </c>
      <c r="G17" s="58">
        <v>0</v>
      </c>
      <c r="H17" s="58">
        <v>0</v>
      </c>
      <c r="I17" s="58">
        <v>0</v>
      </c>
      <c r="J17" s="57">
        <f t="shared" si="3"/>
        <v>0</v>
      </c>
      <c r="K17" s="57">
        <f t="shared" si="0"/>
        <v>0</v>
      </c>
      <c r="L17" s="57">
        <f t="shared" si="1"/>
        <v>0</v>
      </c>
      <c r="M17" s="57">
        <f t="shared" si="2"/>
        <v>0</v>
      </c>
    </row>
    <row r="18" spans="1:13" ht="15" customHeight="1" x14ac:dyDescent="0.2">
      <c r="A18" s="57" t="s">
        <v>23</v>
      </c>
      <c r="B18" s="58">
        <v>0</v>
      </c>
      <c r="C18" s="58">
        <v>0</v>
      </c>
      <c r="D18" s="56">
        <v>0</v>
      </c>
      <c r="E18" s="58">
        <v>0</v>
      </c>
      <c r="F18" s="56">
        <v>0</v>
      </c>
      <c r="G18" s="58">
        <v>0</v>
      </c>
      <c r="H18" s="58">
        <v>0</v>
      </c>
      <c r="I18" s="58">
        <v>0</v>
      </c>
      <c r="J18" s="57">
        <f t="shared" si="3"/>
        <v>0</v>
      </c>
      <c r="K18" s="57">
        <f t="shared" si="0"/>
        <v>0</v>
      </c>
      <c r="L18" s="57">
        <f t="shared" si="1"/>
        <v>0</v>
      </c>
      <c r="M18" s="57">
        <f t="shared" si="2"/>
        <v>0</v>
      </c>
    </row>
    <row r="19" spans="1:13" ht="15" customHeight="1" x14ac:dyDescent="0.2">
      <c r="A19" s="57" t="s">
        <v>24</v>
      </c>
      <c r="B19" s="58">
        <v>0</v>
      </c>
      <c r="C19" s="58">
        <v>0</v>
      </c>
      <c r="D19" s="56">
        <v>0</v>
      </c>
      <c r="E19" s="58">
        <v>0</v>
      </c>
      <c r="F19" s="56">
        <v>0</v>
      </c>
      <c r="G19" s="58">
        <v>0</v>
      </c>
      <c r="H19" s="58">
        <v>0</v>
      </c>
      <c r="I19" s="58">
        <v>0</v>
      </c>
      <c r="J19" s="57">
        <f t="shared" si="3"/>
        <v>0</v>
      </c>
      <c r="K19" s="57">
        <f t="shared" si="0"/>
        <v>0</v>
      </c>
      <c r="L19" s="57">
        <f t="shared" si="1"/>
        <v>0</v>
      </c>
      <c r="M19" s="57">
        <f t="shared" si="2"/>
        <v>0</v>
      </c>
    </row>
    <row r="20" spans="1:13" ht="15" customHeight="1" x14ac:dyDescent="0.2">
      <c r="A20" s="57" t="s">
        <v>25</v>
      </c>
      <c r="B20" s="58">
        <v>0</v>
      </c>
      <c r="C20" s="58">
        <v>0</v>
      </c>
      <c r="D20" s="56">
        <v>0</v>
      </c>
      <c r="E20" s="58">
        <v>0</v>
      </c>
      <c r="F20" s="56">
        <v>0</v>
      </c>
      <c r="G20" s="58">
        <v>0</v>
      </c>
      <c r="H20" s="58">
        <v>0</v>
      </c>
      <c r="I20" s="58">
        <v>0</v>
      </c>
      <c r="J20" s="57">
        <f t="shared" si="3"/>
        <v>0</v>
      </c>
      <c r="K20" s="57">
        <f t="shared" si="0"/>
        <v>0</v>
      </c>
      <c r="L20" s="57">
        <f t="shared" si="1"/>
        <v>0</v>
      </c>
      <c r="M20" s="57">
        <f t="shared" si="2"/>
        <v>0</v>
      </c>
    </row>
    <row r="21" spans="1:13" ht="15" customHeight="1" x14ac:dyDescent="0.2">
      <c r="A21" s="57" t="s">
        <v>26</v>
      </c>
      <c r="B21" s="58">
        <v>0</v>
      </c>
      <c r="C21" s="58">
        <v>0</v>
      </c>
      <c r="D21" s="56">
        <v>0</v>
      </c>
      <c r="E21" s="58">
        <v>0</v>
      </c>
      <c r="F21" s="56">
        <v>0</v>
      </c>
      <c r="G21" s="58">
        <v>0</v>
      </c>
      <c r="H21" s="58">
        <v>0</v>
      </c>
      <c r="I21" s="58">
        <v>0</v>
      </c>
      <c r="J21" s="57">
        <f t="shared" si="3"/>
        <v>0</v>
      </c>
      <c r="K21" s="57">
        <f t="shared" si="0"/>
        <v>0</v>
      </c>
      <c r="L21" s="57">
        <f t="shared" si="1"/>
        <v>0</v>
      </c>
      <c r="M21" s="57">
        <f t="shared" si="2"/>
        <v>0</v>
      </c>
    </row>
    <row r="22" spans="1:13" ht="15" customHeight="1" x14ac:dyDescent="0.2">
      <c r="A22" s="57" t="s">
        <v>27</v>
      </c>
      <c r="B22" s="58">
        <v>0</v>
      </c>
      <c r="C22" s="58">
        <v>0</v>
      </c>
      <c r="D22" s="56">
        <v>0</v>
      </c>
      <c r="E22" s="58">
        <v>0</v>
      </c>
      <c r="F22" s="56">
        <v>0</v>
      </c>
      <c r="G22" s="58">
        <v>0</v>
      </c>
      <c r="H22" s="58">
        <v>0</v>
      </c>
      <c r="I22" s="58">
        <v>0</v>
      </c>
      <c r="J22" s="57">
        <f t="shared" si="3"/>
        <v>0</v>
      </c>
      <c r="K22" s="57">
        <f t="shared" si="0"/>
        <v>0</v>
      </c>
      <c r="L22" s="57">
        <f t="shared" si="1"/>
        <v>0</v>
      </c>
      <c r="M22" s="57">
        <f t="shared" si="2"/>
        <v>0</v>
      </c>
    </row>
    <row r="23" spans="1:13" ht="15" customHeight="1" x14ac:dyDescent="0.2">
      <c r="A23" s="57" t="s">
        <v>28</v>
      </c>
      <c r="B23" s="58">
        <v>0</v>
      </c>
      <c r="C23" s="58">
        <v>0</v>
      </c>
      <c r="D23" s="56">
        <v>0</v>
      </c>
      <c r="E23" s="58">
        <v>0</v>
      </c>
      <c r="F23" s="56">
        <v>0</v>
      </c>
      <c r="G23" s="58">
        <v>0</v>
      </c>
      <c r="H23" s="58">
        <v>0</v>
      </c>
      <c r="I23" s="58">
        <v>0</v>
      </c>
      <c r="J23" s="57">
        <f t="shared" si="3"/>
        <v>0</v>
      </c>
      <c r="K23" s="57">
        <f t="shared" si="0"/>
        <v>0</v>
      </c>
      <c r="L23" s="57">
        <f t="shared" si="1"/>
        <v>0</v>
      </c>
      <c r="M23" s="57">
        <f t="shared" si="2"/>
        <v>0</v>
      </c>
    </row>
    <row r="24" spans="1:13" ht="15" customHeight="1" x14ac:dyDescent="0.2">
      <c r="A24" s="57" t="s">
        <v>29</v>
      </c>
      <c r="B24" s="58">
        <v>0</v>
      </c>
      <c r="C24" s="58">
        <v>0</v>
      </c>
      <c r="D24" s="56">
        <v>0</v>
      </c>
      <c r="E24" s="58">
        <v>0</v>
      </c>
      <c r="F24" s="56">
        <v>0</v>
      </c>
      <c r="G24" s="58">
        <v>0</v>
      </c>
      <c r="H24" s="58">
        <v>0</v>
      </c>
      <c r="I24" s="58">
        <v>0</v>
      </c>
      <c r="J24" s="57">
        <f t="shared" si="3"/>
        <v>0</v>
      </c>
      <c r="K24" s="57">
        <f t="shared" si="0"/>
        <v>0</v>
      </c>
      <c r="L24" s="57">
        <f t="shared" si="1"/>
        <v>0</v>
      </c>
      <c r="M24" s="57">
        <f t="shared" si="2"/>
        <v>0</v>
      </c>
    </row>
    <row r="25" spans="1:13" ht="15" customHeight="1" x14ac:dyDescent="0.2">
      <c r="A25" s="57" t="s">
        <v>30</v>
      </c>
      <c r="B25" s="58">
        <v>0</v>
      </c>
      <c r="C25" s="58">
        <v>0</v>
      </c>
      <c r="D25" s="56">
        <v>0</v>
      </c>
      <c r="E25" s="58">
        <v>0</v>
      </c>
      <c r="F25" s="56">
        <v>0</v>
      </c>
      <c r="G25" s="58">
        <v>0</v>
      </c>
      <c r="H25" s="58">
        <v>0</v>
      </c>
      <c r="I25" s="58">
        <v>0</v>
      </c>
      <c r="J25" s="57">
        <f t="shared" si="3"/>
        <v>0</v>
      </c>
      <c r="K25" s="57">
        <f t="shared" si="0"/>
        <v>0</v>
      </c>
      <c r="L25" s="57">
        <f t="shared" si="1"/>
        <v>0</v>
      </c>
      <c r="M25" s="57">
        <f t="shared" si="2"/>
        <v>0</v>
      </c>
    </row>
    <row r="26" spans="1:13" ht="15" customHeight="1" x14ac:dyDescent="0.2">
      <c r="A26" s="57" t="s">
        <v>31</v>
      </c>
      <c r="B26" s="58">
        <v>0</v>
      </c>
      <c r="C26" s="58">
        <v>0</v>
      </c>
      <c r="D26" s="56">
        <v>0</v>
      </c>
      <c r="E26" s="58">
        <v>0</v>
      </c>
      <c r="F26" s="56">
        <v>0</v>
      </c>
      <c r="G26" s="58">
        <v>0</v>
      </c>
      <c r="H26" s="58">
        <v>0</v>
      </c>
      <c r="I26" s="58">
        <v>0</v>
      </c>
      <c r="J26" s="57">
        <f t="shared" si="3"/>
        <v>0</v>
      </c>
      <c r="K26" s="57">
        <f t="shared" si="0"/>
        <v>0</v>
      </c>
      <c r="L26" s="57">
        <f t="shared" si="1"/>
        <v>0</v>
      </c>
      <c r="M26" s="57">
        <f t="shared" si="2"/>
        <v>0</v>
      </c>
    </row>
    <row r="27" spans="1:13" ht="15" customHeight="1" x14ac:dyDescent="0.2">
      <c r="A27" s="57" t="s">
        <v>32</v>
      </c>
      <c r="B27" s="58">
        <v>0</v>
      </c>
      <c r="C27" s="58">
        <v>0</v>
      </c>
      <c r="D27" s="56">
        <v>0</v>
      </c>
      <c r="E27" s="58">
        <v>0</v>
      </c>
      <c r="F27" s="56">
        <v>0</v>
      </c>
      <c r="G27" s="58">
        <v>0</v>
      </c>
      <c r="H27" s="58">
        <v>0</v>
      </c>
      <c r="I27" s="58">
        <v>0</v>
      </c>
      <c r="J27" s="57">
        <f t="shared" si="3"/>
        <v>0</v>
      </c>
      <c r="K27" s="57">
        <f t="shared" si="0"/>
        <v>0</v>
      </c>
      <c r="L27" s="57">
        <f t="shared" si="1"/>
        <v>0</v>
      </c>
      <c r="M27" s="57">
        <f t="shared" si="2"/>
        <v>0</v>
      </c>
    </row>
    <row r="28" spans="1:13" ht="15" customHeight="1" x14ac:dyDescent="0.2">
      <c r="A28" s="57" t="s">
        <v>33</v>
      </c>
      <c r="B28" s="58">
        <v>0</v>
      </c>
      <c r="C28" s="58">
        <v>0</v>
      </c>
      <c r="D28" s="56">
        <v>0</v>
      </c>
      <c r="E28" s="58">
        <v>0</v>
      </c>
      <c r="F28" s="56">
        <v>0</v>
      </c>
      <c r="G28" s="58">
        <v>0</v>
      </c>
      <c r="H28" s="58">
        <v>0</v>
      </c>
      <c r="I28" s="58">
        <v>0</v>
      </c>
      <c r="J28" s="57">
        <f t="shared" si="3"/>
        <v>0</v>
      </c>
      <c r="K28" s="57">
        <f t="shared" si="0"/>
        <v>0</v>
      </c>
      <c r="L28" s="57">
        <f t="shared" si="1"/>
        <v>0</v>
      </c>
      <c r="M28" s="57">
        <f t="shared" si="2"/>
        <v>0</v>
      </c>
    </row>
    <row r="29" spans="1:13" ht="15" customHeight="1" x14ac:dyDescent="0.2">
      <c r="A29" s="57" t="s">
        <v>34</v>
      </c>
      <c r="B29" s="58">
        <v>0</v>
      </c>
      <c r="C29" s="58">
        <v>0</v>
      </c>
      <c r="D29" s="56">
        <v>0</v>
      </c>
      <c r="E29" s="58">
        <v>0</v>
      </c>
      <c r="F29" s="56">
        <v>0</v>
      </c>
      <c r="G29" s="58">
        <v>1</v>
      </c>
      <c r="H29" s="58">
        <v>0</v>
      </c>
      <c r="I29" s="58">
        <v>0</v>
      </c>
      <c r="J29" s="57">
        <f t="shared" si="3"/>
        <v>1</v>
      </c>
      <c r="K29" s="57">
        <f t="shared" si="0"/>
        <v>0</v>
      </c>
      <c r="L29" s="57">
        <f t="shared" si="1"/>
        <v>0</v>
      </c>
      <c r="M29" s="57">
        <f t="shared" si="2"/>
        <v>0</v>
      </c>
    </row>
    <row r="30" spans="1:13" ht="15" customHeight="1" x14ac:dyDescent="0.2">
      <c r="A30" s="57" t="s">
        <v>35</v>
      </c>
      <c r="B30" s="58">
        <v>0</v>
      </c>
      <c r="C30" s="58">
        <v>0</v>
      </c>
      <c r="D30" s="56">
        <v>0</v>
      </c>
      <c r="E30" s="58">
        <v>0</v>
      </c>
      <c r="F30" s="56">
        <v>0</v>
      </c>
      <c r="G30" s="58">
        <v>0</v>
      </c>
      <c r="H30" s="58">
        <v>0</v>
      </c>
      <c r="I30" s="58">
        <v>0</v>
      </c>
      <c r="J30" s="57">
        <f t="shared" si="3"/>
        <v>0</v>
      </c>
      <c r="K30" s="57">
        <f t="shared" si="0"/>
        <v>0</v>
      </c>
      <c r="L30" s="57">
        <f t="shared" si="1"/>
        <v>0</v>
      </c>
      <c r="M30" s="57">
        <f t="shared" si="2"/>
        <v>0</v>
      </c>
    </row>
    <row r="31" spans="1:13" ht="15" customHeight="1" x14ac:dyDescent="0.2">
      <c r="A31" s="57" t="s">
        <v>36</v>
      </c>
      <c r="B31" s="58">
        <v>0</v>
      </c>
      <c r="C31" s="58">
        <v>0</v>
      </c>
      <c r="D31" s="56">
        <v>0</v>
      </c>
      <c r="E31" s="58">
        <v>0</v>
      </c>
      <c r="F31" s="56">
        <v>0</v>
      </c>
      <c r="G31" s="58">
        <v>0</v>
      </c>
      <c r="H31" s="58">
        <v>0</v>
      </c>
      <c r="I31" s="58">
        <v>0</v>
      </c>
      <c r="J31" s="57">
        <f t="shared" si="3"/>
        <v>0</v>
      </c>
      <c r="K31" s="57">
        <f t="shared" si="0"/>
        <v>0</v>
      </c>
      <c r="L31" s="57">
        <f t="shared" si="1"/>
        <v>0</v>
      </c>
      <c r="M31" s="57">
        <f t="shared" si="2"/>
        <v>0</v>
      </c>
    </row>
    <row r="32" spans="1:13" ht="15" customHeight="1" x14ac:dyDescent="0.2">
      <c r="A32" s="57" t="s">
        <v>37</v>
      </c>
      <c r="B32" s="58">
        <v>0</v>
      </c>
      <c r="C32" s="58">
        <v>0</v>
      </c>
      <c r="D32" s="56">
        <v>0</v>
      </c>
      <c r="E32" s="58">
        <v>0</v>
      </c>
      <c r="F32" s="56">
        <v>0</v>
      </c>
      <c r="G32" s="58">
        <v>0</v>
      </c>
      <c r="H32" s="58">
        <v>0</v>
      </c>
      <c r="I32" s="58">
        <v>0</v>
      </c>
      <c r="J32" s="57">
        <f t="shared" si="3"/>
        <v>0</v>
      </c>
      <c r="K32" s="57">
        <f t="shared" si="0"/>
        <v>0</v>
      </c>
      <c r="L32" s="57">
        <f t="shared" si="1"/>
        <v>0</v>
      </c>
      <c r="M32" s="57">
        <f t="shared" si="2"/>
        <v>0</v>
      </c>
    </row>
    <row r="33" spans="1:13" ht="15" customHeight="1" x14ac:dyDescent="0.2">
      <c r="A33" s="57" t="s">
        <v>38</v>
      </c>
      <c r="B33" s="58">
        <v>0</v>
      </c>
      <c r="C33" s="58">
        <v>1</v>
      </c>
      <c r="D33" s="56">
        <v>0</v>
      </c>
      <c r="E33" s="58">
        <v>0</v>
      </c>
      <c r="F33" s="56">
        <v>0</v>
      </c>
      <c r="G33" s="58">
        <v>0</v>
      </c>
      <c r="H33" s="58">
        <v>0</v>
      </c>
      <c r="I33" s="58">
        <v>0</v>
      </c>
      <c r="J33" s="57">
        <f t="shared" si="3"/>
        <v>0</v>
      </c>
      <c r="K33" s="57">
        <f t="shared" si="0"/>
        <v>1</v>
      </c>
      <c r="L33" s="57">
        <f t="shared" si="1"/>
        <v>0</v>
      </c>
      <c r="M33" s="57">
        <f t="shared" si="2"/>
        <v>0</v>
      </c>
    </row>
    <row r="34" spans="1:13" s="33" customFormat="1" ht="15" customHeight="1" x14ac:dyDescent="0.2">
      <c r="A34" s="33" t="s">
        <v>39</v>
      </c>
      <c r="B34" s="34">
        <v>0</v>
      </c>
      <c r="C34" s="34">
        <v>0</v>
      </c>
      <c r="D34" s="34">
        <v>1</v>
      </c>
      <c r="E34" s="34">
        <v>1</v>
      </c>
      <c r="F34" s="34">
        <v>1</v>
      </c>
      <c r="G34" s="34">
        <v>2</v>
      </c>
      <c r="H34" s="34">
        <v>0</v>
      </c>
      <c r="I34" s="34">
        <v>0</v>
      </c>
      <c r="J34" s="33">
        <f t="shared" si="3"/>
        <v>3</v>
      </c>
      <c r="K34" s="33">
        <f t="shared" si="0"/>
        <v>0</v>
      </c>
      <c r="L34" s="33">
        <f t="shared" si="1"/>
        <v>2</v>
      </c>
      <c r="M34" s="33">
        <f t="shared" si="2"/>
        <v>0</v>
      </c>
    </row>
    <row r="35" spans="1:13" ht="15" customHeight="1" x14ac:dyDescent="0.2">
      <c r="A35" s="57" t="s">
        <v>40</v>
      </c>
      <c r="B35" s="58">
        <v>0</v>
      </c>
      <c r="C35" s="58">
        <v>0</v>
      </c>
      <c r="D35" s="56">
        <v>0</v>
      </c>
      <c r="E35" s="58">
        <v>0</v>
      </c>
      <c r="F35" s="56">
        <v>0</v>
      </c>
      <c r="G35" s="58">
        <v>0</v>
      </c>
      <c r="H35" s="58">
        <v>0</v>
      </c>
      <c r="I35" s="58">
        <v>0</v>
      </c>
      <c r="J35" s="57">
        <f t="shared" si="3"/>
        <v>0</v>
      </c>
      <c r="K35" s="57">
        <f t="shared" si="0"/>
        <v>0</v>
      </c>
      <c r="L35" s="57">
        <f t="shared" si="1"/>
        <v>0</v>
      </c>
      <c r="M35" s="57">
        <f t="shared" si="2"/>
        <v>0</v>
      </c>
    </row>
    <row r="36" spans="1:13" ht="15" customHeight="1" x14ac:dyDescent="0.2">
      <c r="A36" s="57" t="s">
        <v>41</v>
      </c>
      <c r="B36" s="58">
        <v>0</v>
      </c>
      <c r="C36" s="58">
        <v>1</v>
      </c>
      <c r="D36" s="56">
        <v>0</v>
      </c>
      <c r="E36" s="58">
        <v>0</v>
      </c>
      <c r="F36" s="56">
        <v>0</v>
      </c>
      <c r="G36" s="58">
        <v>0</v>
      </c>
      <c r="H36" s="58">
        <v>0</v>
      </c>
      <c r="I36" s="58">
        <v>0</v>
      </c>
      <c r="J36" s="57">
        <f t="shared" si="3"/>
        <v>0</v>
      </c>
      <c r="K36" s="57">
        <f t="shared" si="0"/>
        <v>1</v>
      </c>
      <c r="L36" s="57">
        <f t="shared" si="1"/>
        <v>0</v>
      </c>
      <c r="M36" s="57">
        <f t="shared" si="2"/>
        <v>0</v>
      </c>
    </row>
    <row r="37" spans="1:13" ht="15" customHeight="1" x14ac:dyDescent="0.2">
      <c r="A37" s="57" t="s">
        <v>42</v>
      </c>
      <c r="B37" s="58">
        <v>0</v>
      </c>
      <c r="C37" s="58">
        <v>0</v>
      </c>
      <c r="D37" s="56">
        <v>0</v>
      </c>
      <c r="E37" s="58">
        <v>0</v>
      </c>
      <c r="F37" s="56">
        <v>0</v>
      </c>
      <c r="G37" s="58">
        <v>1</v>
      </c>
      <c r="H37" s="58">
        <v>0</v>
      </c>
      <c r="I37" s="58">
        <v>2</v>
      </c>
      <c r="J37" s="57">
        <f t="shared" si="3"/>
        <v>1</v>
      </c>
      <c r="K37" s="57">
        <f t="shared" si="0"/>
        <v>2</v>
      </c>
      <c r="L37" s="57">
        <f t="shared" si="1"/>
        <v>0</v>
      </c>
      <c r="M37" s="57">
        <f t="shared" si="2"/>
        <v>0</v>
      </c>
    </row>
    <row r="38" spans="1:13" ht="15" customHeight="1" x14ac:dyDescent="0.2">
      <c r="A38" s="57" t="s">
        <v>43</v>
      </c>
      <c r="B38" s="58">
        <v>0</v>
      </c>
      <c r="C38" s="58">
        <v>0</v>
      </c>
      <c r="D38" s="56">
        <v>0</v>
      </c>
      <c r="E38" s="58">
        <v>0</v>
      </c>
      <c r="F38" s="56">
        <v>0</v>
      </c>
      <c r="G38" s="58">
        <v>0</v>
      </c>
      <c r="H38" s="58">
        <v>0</v>
      </c>
      <c r="I38" s="58">
        <v>1</v>
      </c>
      <c r="J38" s="57">
        <f t="shared" si="3"/>
        <v>0</v>
      </c>
      <c r="K38" s="57">
        <f t="shared" si="0"/>
        <v>1</v>
      </c>
      <c r="L38" s="57">
        <f t="shared" si="1"/>
        <v>0</v>
      </c>
      <c r="M38" s="57">
        <f t="shared" si="2"/>
        <v>0</v>
      </c>
    </row>
    <row r="39" spans="1:13" ht="15" customHeight="1" x14ac:dyDescent="0.2">
      <c r="A39" s="57" t="s">
        <v>44</v>
      </c>
      <c r="B39" s="58">
        <v>0</v>
      </c>
      <c r="C39" s="58">
        <v>0</v>
      </c>
      <c r="D39" s="56">
        <v>0</v>
      </c>
      <c r="E39" s="58">
        <v>0</v>
      </c>
      <c r="F39" s="56">
        <v>0</v>
      </c>
      <c r="G39" s="58">
        <v>0</v>
      </c>
      <c r="H39" s="58">
        <v>0</v>
      </c>
      <c r="I39" s="58">
        <v>0</v>
      </c>
      <c r="J39" s="57">
        <f t="shared" si="3"/>
        <v>0</v>
      </c>
      <c r="K39" s="57">
        <f t="shared" si="0"/>
        <v>0</v>
      </c>
      <c r="L39" s="57">
        <f t="shared" si="1"/>
        <v>0</v>
      </c>
      <c r="M39" s="57">
        <f t="shared" si="2"/>
        <v>0</v>
      </c>
    </row>
    <row r="40" spans="1:13" ht="15" customHeight="1" x14ac:dyDescent="0.2">
      <c r="A40" s="57" t="s">
        <v>45</v>
      </c>
      <c r="B40" s="58">
        <v>0</v>
      </c>
      <c r="C40" s="58">
        <v>0</v>
      </c>
      <c r="D40" s="56">
        <v>0</v>
      </c>
      <c r="E40" s="58">
        <v>0</v>
      </c>
      <c r="F40" s="56">
        <v>0</v>
      </c>
      <c r="G40" s="58">
        <v>0</v>
      </c>
      <c r="H40" s="58">
        <v>0</v>
      </c>
      <c r="I40" s="58">
        <v>0</v>
      </c>
      <c r="J40" s="57">
        <f t="shared" si="3"/>
        <v>0</v>
      </c>
      <c r="K40" s="57">
        <f t="shared" si="0"/>
        <v>0</v>
      </c>
      <c r="L40" s="57">
        <f t="shared" si="1"/>
        <v>0</v>
      </c>
      <c r="M40" s="57">
        <f t="shared" si="2"/>
        <v>0</v>
      </c>
    </row>
    <row r="41" spans="1:13" s="33" customFormat="1" ht="15" customHeight="1" x14ac:dyDescent="0.2">
      <c r="A41" s="33" t="s">
        <v>46</v>
      </c>
      <c r="B41" s="34">
        <v>0</v>
      </c>
      <c r="C41" s="34">
        <v>0</v>
      </c>
      <c r="D41" s="34">
        <v>1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33">
        <f t="shared" si="3"/>
        <v>0</v>
      </c>
      <c r="K41" s="33">
        <f t="shared" si="0"/>
        <v>0</v>
      </c>
      <c r="L41" s="33">
        <f t="shared" si="1"/>
        <v>1</v>
      </c>
      <c r="M41" s="33">
        <f t="shared" si="2"/>
        <v>0</v>
      </c>
    </row>
    <row r="42" spans="1:13" ht="15" customHeight="1" x14ac:dyDescent="0.2">
      <c r="A42" s="57" t="s">
        <v>47</v>
      </c>
      <c r="B42" s="58">
        <v>0</v>
      </c>
      <c r="C42" s="58">
        <v>0</v>
      </c>
      <c r="D42" s="56">
        <v>0</v>
      </c>
      <c r="E42" s="58">
        <v>1</v>
      </c>
      <c r="F42" s="56">
        <v>0</v>
      </c>
      <c r="G42" s="58">
        <v>0</v>
      </c>
      <c r="H42" s="58">
        <v>0</v>
      </c>
      <c r="I42" s="58">
        <v>1</v>
      </c>
      <c r="J42" s="57">
        <f t="shared" si="3"/>
        <v>1</v>
      </c>
      <c r="K42" s="57">
        <f t="shared" ref="K42:K73" si="4">SUM(C42+I42)</f>
        <v>1</v>
      </c>
      <c r="L42" s="57">
        <f t="shared" ref="L42:L73" si="5">SUM(D42+F42)</f>
        <v>0</v>
      </c>
      <c r="M42" s="57">
        <f t="shared" ref="M42:M73" si="6">SUM(B42+H42)</f>
        <v>0</v>
      </c>
    </row>
    <row r="43" spans="1:13" s="33" customFormat="1" ht="15" customHeight="1" x14ac:dyDescent="0.2">
      <c r="A43" s="33" t="s">
        <v>48</v>
      </c>
      <c r="B43" s="34">
        <v>0</v>
      </c>
      <c r="C43" s="34">
        <v>0</v>
      </c>
      <c r="D43" s="56">
        <v>0</v>
      </c>
      <c r="E43" s="34">
        <v>2</v>
      </c>
      <c r="F43" s="34">
        <v>1</v>
      </c>
      <c r="G43" s="34">
        <v>0</v>
      </c>
      <c r="H43" s="34">
        <v>0</v>
      </c>
      <c r="I43" s="34">
        <v>0</v>
      </c>
      <c r="J43" s="33">
        <f t="shared" si="3"/>
        <v>2</v>
      </c>
      <c r="K43" s="33">
        <f t="shared" si="4"/>
        <v>0</v>
      </c>
      <c r="L43" s="33">
        <f t="shared" si="5"/>
        <v>1</v>
      </c>
      <c r="M43" s="33">
        <f t="shared" si="6"/>
        <v>0</v>
      </c>
    </row>
    <row r="44" spans="1:13" s="33" customFormat="1" ht="15" customHeight="1" x14ac:dyDescent="0.2">
      <c r="A44" s="33" t="s">
        <v>49</v>
      </c>
      <c r="B44" s="34">
        <v>0</v>
      </c>
      <c r="C44" s="34">
        <v>0</v>
      </c>
      <c r="D44" s="34">
        <v>2</v>
      </c>
      <c r="E44" s="34">
        <v>2</v>
      </c>
      <c r="F44" s="34">
        <v>0</v>
      </c>
      <c r="G44" s="34">
        <v>0</v>
      </c>
      <c r="H44" s="34">
        <v>0</v>
      </c>
      <c r="I44" s="34">
        <v>0</v>
      </c>
      <c r="J44" s="33">
        <f t="shared" si="3"/>
        <v>2</v>
      </c>
      <c r="K44" s="33">
        <f t="shared" si="4"/>
        <v>0</v>
      </c>
      <c r="L44" s="33">
        <f t="shared" si="5"/>
        <v>2</v>
      </c>
      <c r="M44" s="33">
        <f t="shared" si="6"/>
        <v>0</v>
      </c>
    </row>
    <row r="45" spans="1:13" ht="15" customHeight="1" x14ac:dyDescent="0.2">
      <c r="A45" s="57" t="s">
        <v>50</v>
      </c>
      <c r="B45" s="58">
        <v>0</v>
      </c>
      <c r="C45" s="58">
        <v>2</v>
      </c>
      <c r="D45" s="56">
        <v>0</v>
      </c>
      <c r="E45" s="58">
        <v>1</v>
      </c>
      <c r="F45" s="56">
        <v>0</v>
      </c>
      <c r="G45" s="58">
        <v>0</v>
      </c>
      <c r="H45" s="58">
        <v>0</v>
      </c>
      <c r="I45" s="58">
        <v>0</v>
      </c>
      <c r="J45" s="57">
        <f t="shared" si="3"/>
        <v>1</v>
      </c>
      <c r="K45" s="57">
        <f t="shared" si="4"/>
        <v>2</v>
      </c>
      <c r="L45" s="57">
        <f t="shared" si="5"/>
        <v>0</v>
      </c>
      <c r="M45" s="57">
        <f t="shared" si="6"/>
        <v>0</v>
      </c>
    </row>
    <row r="46" spans="1:13" ht="15" customHeight="1" x14ac:dyDescent="0.2">
      <c r="A46" s="57" t="s">
        <v>51</v>
      </c>
      <c r="B46" s="58">
        <v>1</v>
      </c>
      <c r="C46" s="58">
        <v>0</v>
      </c>
      <c r="D46" s="56">
        <v>0</v>
      </c>
      <c r="E46" s="58">
        <v>0</v>
      </c>
      <c r="F46" s="56">
        <v>0</v>
      </c>
      <c r="G46" s="58">
        <v>0</v>
      </c>
      <c r="H46" s="58">
        <v>0</v>
      </c>
      <c r="I46" s="58">
        <v>0</v>
      </c>
      <c r="J46" s="57">
        <f t="shared" si="3"/>
        <v>0</v>
      </c>
      <c r="K46" s="57">
        <f t="shared" si="4"/>
        <v>0</v>
      </c>
      <c r="L46" s="57">
        <f t="shared" si="5"/>
        <v>0</v>
      </c>
      <c r="M46" s="57">
        <f t="shared" si="6"/>
        <v>1</v>
      </c>
    </row>
    <row r="47" spans="1:13" ht="15" customHeight="1" x14ac:dyDescent="0.2">
      <c r="A47" s="57" t="s">
        <v>52</v>
      </c>
      <c r="B47" s="58">
        <v>0</v>
      </c>
      <c r="C47" s="58">
        <v>1</v>
      </c>
      <c r="D47" s="56">
        <v>0</v>
      </c>
      <c r="E47" s="58">
        <v>0</v>
      </c>
      <c r="F47" s="56">
        <v>0</v>
      </c>
      <c r="G47" s="58">
        <v>0</v>
      </c>
      <c r="H47" s="58">
        <v>0</v>
      </c>
      <c r="I47" s="58">
        <v>0</v>
      </c>
      <c r="J47" s="57">
        <f t="shared" si="3"/>
        <v>0</v>
      </c>
      <c r="K47" s="57">
        <f t="shared" si="4"/>
        <v>1</v>
      </c>
      <c r="L47" s="57">
        <f t="shared" si="5"/>
        <v>0</v>
      </c>
      <c r="M47" s="57">
        <f t="shared" si="6"/>
        <v>0</v>
      </c>
    </row>
    <row r="48" spans="1:13" ht="15" customHeight="1" x14ac:dyDescent="0.2">
      <c r="A48" s="57" t="s">
        <v>53</v>
      </c>
      <c r="B48" s="58">
        <v>0</v>
      </c>
      <c r="C48" s="58">
        <v>0</v>
      </c>
      <c r="D48" s="56">
        <v>0</v>
      </c>
      <c r="E48" s="58">
        <v>0</v>
      </c>
      <c r="F48" s="56">
        <v>0</v>
      </c>
      <c r="G48" s="58">
        <v>3</v>
      </c>
      <c r="H48" s="58">
        <v>0</v>
      </c>
      <c r="I48" s="58">
        <v>1</v>
      </c>
      <c r="J48" s="57">
        <f t="shared" si="3"/>
        <v>3</v>
      </c>
      <c r="K48" s="57">
        <f t="shared" si="4"/>
        <v>1</v>
      </c>
      <c r="L48" s="57">
        <f t="shared" si="5"/>
        <v>0</v>
      </c>
      <c r="M48" s="57">
        <f t="shared" si="6"/>
        <v>0</v>
      </c>
    </row>
    <row r="49" spans="1:13" s="33" customFormat="1" ht="15" customHeight="1" x14ac:dyDescent="0.2">
      <c r="A49" s="33" t="s">
        <v>54</v>
      </c>
      <c r="B49" s="34">
        <v>0</v>
      </c>
      <c r="C49" s="34">
        <v>0</v>
      </c>
      <c r="D49" s="34">
        <v>1</v>
      </c>
      <c r="E49" s="34">
        <v>1</v>
      </c>
      <c r="F49" s="34">
        <v>0</v>
      </c>
      <c r="G49" s="34">
        <v>0</v>
      </c>
      <c r="H49" s="34">
        <v>0</v>
      </c>
      <c r="I49" s="34">
        <v>0</v>
      </c>
      <c r="J49" s="33">
        <f t="shared" si="3"/>
        <v>1</v>
      </c>
      <c r="K49" s="33">
        <f t="shared" si="4"/>
        <v>0</v>
      </c>
      <c r="L49" s="33">
        <f t="shared" si="5"/>
        <v>1</v>
      </c>
      <c r="M49" s="33">
        <f t="shared" si="6"/>
        <v>0</v>
      </c>
    </row>
    <row r="50" spans="1:13" ht="15" customHeight="1" x14ac:dyDescent="0.2">
      <c r="A50" s="57" t="s">
        <v>55</v>
      </c>
      <c r="B50" s="58">
        <v>0</v>
      </c>
      <c r="C50" s="58">
        <v>0</v>
      </c>
      <c r="D50" s="56">
        <v>0</v>
      </c>
      <c r="E50" s="58">
        <v>1</v>
      </c>
      <c r="F50" s="56">
        <v>0</v>
      </c>
      <c r="G50" s="58">
        <v>0</v>
      </c>
      <c r="H50" s="58">
        <v>0</v>
      </c>
      <c r="I50" s="58">
        <v>0</v>
      </c>
      <c r="J50" s="57">
        <f t="shared" si="3"/>
        <v>1</v>
      </c>
      <c r="K50" s="57">
        <f t="shared" si="4"/>
        <v>0</v>
      </c>
      <c r="L50" s="57">
        <f t="shared" si="5"/>
        <v>0</v>
      </c>
      <c r="M50" s="57">
        <f t="shared" si="6"/>
        <v>0</v>
      </c>
    </row>
    <row r="51" spans="1:13" ht="15" customHeight="1" x14ac:dyDescent="0.2">
      <c r="A51" s="57" t="s">
        <v>56</v>
      </c>
      <c r="B51" s="58">
        <v>0</v>
      </c>
      <c r="C51" s="58">
        <v>1</v>
      </c>
      <c r="D51" s="56">
        <v>0</v>
      </c>
      <c r="E51" s="58">
        <v>0</v>
      </c>
      <c r="F51" s="56">
        <v>0</v>
      </c>
      <c r="G51" s="58">
        <v>1</v>
      </c>
      <c r="H51" s="58">
        <v>0</v>
      </c>
      <c r="I51" s="58">
        <v>0</v>
      </c>
      <c r="J51" s="57">
        <f t="shared" si="3"/>
        <v>1</v>
      </c>
      <c r="K51" s="57">
        <f t="shared" si="4"/>
        <v>1</v>
      </c>
      <c r="L51" s="57">
        <f t="shared" si="5"/>
        <v>0</v>
      </c>
      <c r="M51" s="57">
        <f t="shared" si="6"/>
        <v>0</v>
      </c>
    </row>
    <row r="52" spans="1:13" ht="15" customHeight="1" x14ac:dyDescent="0.2">
      <c r="A52" s="57" t="s">
        <v>57</v>
      </c>
      <c r="B52" s="58">
        <v>0</v>
      </c>
      <c r="C52" s="58">
        <v>0</v>
      </c>
      <c r="D52" s="56">
        <v>0</v>
      </c>
      <c r="E52" s="58">
        <v>0</v>
      </c>
      <c r="F52" s="56">
        <v>0</v>
      </c>
      <c r="G52" s="58">
        <v>1</v>
      </c>
      <c r="H52" s="58">
        <v>0</v>
      </c>
      <c r="I52" s="58">
        <v>1</v>
      </c>
      <c r="J52" s="57">
        <f t="shared" si="3"/>
        <v>1</v>
      </c>
      <c r="K52" s="57">
        <f t="shared" si="4"/>
        <v>1</v>
      </c>
      <c r="L52" s="57">
        <f t="shared" si="5"/>
        <v>0</v>
      </c>
      <c r="M52" s="57">
        <f t="shared" si="6"/>
        <v>0</v>
      </c>
    </row>
    <row r="53" spans="1:13" ht="15" customHeight="1" x14ac:dyDescent="0.2">
      <c r="A53" s="57" t="s">
        <v>58</v>
      </c>
      <c r="B53" s="58">
        <v>0</v>
      </c>
      <c r="C53" s="58">
        <v>2</v>
      </c>
      <c r="D53" s="56">
        <v>0</v>
      </c>
      <c r="E53" s="58">
        <v>0</v>
      </c>
      <c r="F53" s="56">
        <v>0</v>
      </c>
      <c r="G53" s="58">
        <v>1</v>
      </c>
      <c r="H53" s="58">
        <v>1</v>
      </c>
      <c r="I53" s="58">
        <v>0</v>
      </c>
      <c r="J53" s="57">
        <f t="shared" si="3"/>
        <v>1</v>
      </c>
      <c r="K53" s="57">
        <f t="shared" si="4"/>
        <v>2</v>
      </c>
      <c r="L53" s="57">
        <f t="shared" si="5"/>
        <v>0</v>
      </c>
      <c r="M53" s="57">
        <f t="shared" si="6"/>
        <v>1</v>
      </c>
    </row>
    <row r="54" spans="1:13" ht="15" customHeight="1" x14ac:dyDescent="0.2">
      <c r="A54" s="57" t="s">
        <v>59</v>
      </c>
      <c r="B54" s="58">
        <v>0</v>
      </c>
      <c r="C54" s="58">
        <v>2</v>
      </c>
      <c r="D54" s="56">
        <v>0</v>
      </c>
      <c r="E54" s="58">
        <v>1</v>
      </c>
      <c r="F54" s="56">
        <v>0</v>
      </c>
      <c r="G54" s="58">
        <v>2</v>
      </c>
      <c r="H54" s="58">
        <v>0</v>
      </c>
      <c r="I54" s="58">
        <v>0</v>
      </c>
      <c r="J54" s="57">
        <f t="shared" si="3"/>
        <v>3</v>
      </c>
      <c r="K54" s="57">
        <f t="shared" si="4"/>
        <v>2</v>
      </c>
      <c r="L54" s="57">
        <f t="shared" si="5"/>
        <v>0</v>
      </c>
      <c r="M54" s="57">
        <f t="shared" si="6"/>
        <v>0</v>
      </c>
    </row>
    <row r="55" spans="1:13" ht="15" customHeight="1" x14ac:dyDescent="0.2">
      <c r="A55" s="57" t="s">
        <v>60</v>
      </c>
      <c r="B55" s="58">
        <v>0</v>
      </c>
      <c r="C55" s="58">
        <v>0</v>
      </c>
      <c r="D55" s="56">
        <v>0</v>
      </c>
      <c r="E55" s="58">
        <v>0</v>
      </c>
      <c r="F55" s="56">
        <v>0</v>
      </c>
      <c r="G55" s="58">
        <v>0</v>
      </c>
      <c r="H55" s="58">
        <v>0</v>
      </c>
      <c r="I55" s="58">
        <v>0</v>
      </c>
      <c r="J55" s="57">
        <f t="shared" si="3"/>
        <v>0</v>
      </c>
      <c r="K55" s="57">
        <f t="shared" si="4"/>
        <v>0</v>
      </c>
      <c r="L55" s="57">
        <f t="shared" si="5"/>
        <v>0</v>
      </c>
      <c r="M55" s="57">
        <f t="shared" si="6"/>
        <v>0</v>
      </c>
    </row>
    <row r="56" spans="1:13" s="33" customFormat="1" ht="15" customHeight="1" x14ac:dyDescent="0.2">
      <c r="A56" s="33" t="s">
        <v>61</v>
      </c>
      <c r="B56" s="34">
        <v>0</v>
      </c>
      <c r="C56" s="34">
        <v>1</v>
      </c>
      <c r="D56" s="34">
        <v>1</v>
      </c>
      <c r="E56" s="34">
        <v>0</v>
      </c>
      <c r="F56" s="34">
        <v>0</v>
      </c>
      <c r="G56" s="34">
        <v>0</v>
      </c>
      <c r="H56" s="34">
        <v>0</v>
      </c>
      <c r="I56" s="34">
        <v>1</v>
      </c>
      <c r="J56" s="33">
        <f t="shared" si="3"/>
        <v>0</v>
      </c>
      <c r="K56" s="33">
        <f t="shared" si="4"/>
        <v>2</v>
      </c>
      <c r="L56" s="33">
        <f t="shared" si="5"/>
        <v>1</v>
      </c>
      <c r="M56" s="33">
        <f t="shared" si="6"/>
        <v>0</v>
      </c>
    </row>
    <row r="57" spans="1:13" ht="15" customHeight="1" x14ac:dyDescent="0.2">
      <c r="A57" s="57" t="s">
        <v>62</v>
      </c>
      <c r="B57" s="58">
        <v>0</v>
      </c>
      <c r="C57" s="58">
        <v>0</v>
      </c>
      <c r="D57" s="56">
        <v>0</v>
      </c>
      <c r="E57" s="58">
        <v>0</v>
      </c>
      <c r="F57" s="56">
        <v>0</v>
      </c>
      <c r="G57" s="58">
        <v>1</v>
      </c>
      <c r="H57" s="58">
        <v>0</v>
      </c>
      <c r="I57" s="58">
        <v>0</v>
      </c>
      <c r="J57" s="57">
        <f t="shared" si="3"/>
        <v>1</v>
      </c>
      <c r="K57" s="57">
        <f t="shared" si="4"/>
        <v>0</v>
      </c>
      <c r="L57" s="57">
        <f t="shared" si="5"/>
        <v>0</v>
      </c>
      <c r="M57" s="57">
        <f t="shared" si="6"/>
        <v>0</v>
      </c>
    </row>
    <row r="58" spans="1:13" s="33" customFormat="1" ht="15" customHeight="1" x14ac:dyDescent="0.2">
      <c r="A58" s="33" t="s">
        <v>63</v>
      </c>
      <c r="B58" s="34">
        <v>0</v>
      </c>
      <c r="C58" s="34">
        <v>0</v>
      </c>
      <c r="D58" s="34">
        <v>0</v>
      </c>
      <c r="E58" s="34">
        <v>1</v>
      </c>
      <c r="F58" s="34">
        <v>1</v>
      </c>
      <c r="G58" s="34">
        <v>0</v>
      </c>
      <c r="H58" s="34">
        <v>0</v>
      </c>
      <c r="I58" s="34">
        <v>0</v>
      </c>
      <c r="J58" s="33">
        <f t="shared" si="3"/>
        <v>1</v>
      </c>
      <c r="K58" s="33">
        <f t="shared" si="4"/>
        <v>0</v>
      </c>
      <c r="L58" s="33">
        <f t="shared" si="5"/>
        <v>1</v>
      </c>
      <c r="M58" s="33">
        <f t="shared" si="6"/>
        <v>0</v>
      </c>
    </row>
    <row r="59" spans="1:13" ht="15" customHeight="1" x14ac:dyDescent="0.2">
      <c r="A59" s="57" t="s">
        <v>64</v>
      </c>
      <c r="B59" s="58">
        <v>0</v>
      </c>
      <c r="C59" s="58">
        <v>0</v>
      </c>
      <c r="D59" s="56">
        <v>0</v>
      </c>
      <c r="E59" s="58">
        <v>0</v>
      </c>
      <c r="F59" s="56">
        <v>0</v>
      </c>
      <c r="G59" s="58">
        <v>1</v>
      </c>
      <c r="H59" s="58">
        <v>0</v>
      </c>
      <c r="I59" s="58">
        <v>0</v>
      </c>
      <c r="J59" s="57">
        <f t="shared" si="3"/>
        <v>1</v>
      </c>
      <c r="K59" s="57">
        <f t="shared" si="4"/>
        <v>0</v>
      </c>
      <c r="L59" s="57">
        <f t="shared" si="5"/>
        <v>0</v>
      </c>
      <c r="M59" s="57">
        <f t="shared" si="6"/>
        <v>0</v>
      </c>
    </row>
    <row r="60" spans="1:13" ht="15" customHeight="1" x14ac:dyDescent="0.2">
      <c r="A60" s="57" t="s">
        <v>65</v>
      </c>
      <c r="B60" s="58">
        <v>0</v>
      </c>
      <c r="C60" s="58">
        <v>0</v>
      </c>
      <c r="D60" s="56">
        <v>0</v>
      </c>
      <c r="E60" s="58">
        <v>0</v>
      </c>
      <c r="F60" s="56">
        <v>0</v>
      </c>
      <c r="G60" s="58">
        <v>1</v>
      </c>
      <c r="H60" s="58">
        <v>0</v>
      </c>
      <c r="I60" s="58">
        <v>0</v>
      </c>
      <c r="J60" s="57">
        <f t="shared" si="3"/>
        <v>1</v>
      </c>
      <c r="K60" s="57">
        <f t="shared" si="4"/>
        <v>0</v>
      </c>
      <c r="L60" s="57">
        <f t="shared" si="5"/>
        <v>0</v>
      </c>
      <c r="M60" s="57">
        <f t="shared" si="6"/>
        <v>0</v>
      </c>
    </row>
    <row r="61" spans="1:13" ht="15" customHeight="1" x14ac:dyDescent="0.2">
      <c r="A61" s="57" t="s">
        <v>66</v>
      </c>
      <c r="B61" s="58">
        <v>0</v>
      </c>
      <c r="C61" s="58">
        <v>0</v>
      </c>
      <c r="D61" s="56">
        <v>0</v>
      </c>
      <c r="E61" s="58">
        <v>0</v>
      </c>
      <c r="F61" s="56">
        <v>0</v>
      </c>
      <c r="G61" s="58">
        <v>2</v>
      </c>
      <c r="H61" s="58">
        <v>0</v>
      </c>
      <c r="I61" s="58">
        <v>0</v>
      </c>
      <c r="J61" s="57">
        <f t="shared" si="3"/>
        <v>2</v>
      </c>
      <c r="K61" s="57">
        <f t="shared" si="4"/>
        <v>0</v>
      </c>
      <c r="L61" s="57">
        <f t="shared" si="5"/>
        <v>0</v>
      </c>
      <c r="M61" s="57">
        <f t="shared" si="6"/>
        <v>0</v>
      </c>
    </row>
    <row r="62" spans="1:13" ht="15" customHeight="1" x14ac:dyDescent="0.2">
      <c r="A62" s="57" t="s">
        <v>67</v>
      </c>
      <c r="B62" s="58">
        <v>0</v>
      </c>
      <c r="C62" s="58">
        <v>0</v>
      </c>
      <c r="D62" s="56">
        <v>0</v>
      </c>
      <c r="E62" s="58">
        <v>1</v>
      </c>
      <c r="F62" s="56">
        <v>0</v>
      </c>
      <c r="G62" s="58">
        <v>1</v>
      </c>
      <c r="H62" s="58">
        <v>0</v>
      </c>
      <c r="I62" s="58">
        <v>0</v>
      </c>
      <c r="J62" s="57">
        <f t="shared" si="3"/>
        <v>2</v>
      </c>
      <c r="K62" s="57">
        <f t="shared" si="4"/>
        <v>0</v>
      </c>
      <c r="L62" s="57">
        <f t="shared" si="5"/>
        <v>0</v>
      </c>
      <c r="M62" s="57">
        <f t="shared" si="6"/>
        <v>0</v>
      </c>
    </row>
    <row r="63" spans="1:13" s="54" customFormat="1" ht="15" customHeight="1" thickBot="1" x14ac:dyDescent="0.25">
      <c r="A63" s="54" t="s">
        <v>68</v>
      </c>
      <c r="B63" s="68">
        <v>0</v>
      </c>
      <c r="C63" s="68">
        <v>2</v>
      </c>
      <c r="D63" s="69">
        <v>0</v>
      </c>
      <c r="E63" s="68">
        <v>0</v>
      </c>
      <c r="F63" s="68">
        <v>1</v>
      </c>
      <c r="G63" s="68">
        <v>0</v>
      </c>
      <c r="H63" s="68">
        <v>0</v>
      </c>
      <c r="I63" s="68">
        <v>0</v>
      </c>
      <c r="J63" s="54">
        <f t="shared" si="3"/>
        <v>0</v>
      </c>
      <c r="K63" s="54">
        <f t="shared" si="4"/>
        <v>2</v>
      </c>
      <c r="L63" s="54">
        <f t="shared" si="5"/>
        <v>1</v>
      </c>
      <c r="M63" s="54">
        <f t="shared" si="6"/>
        <v>0</v>
      </c>
    </row>
    <row r="64" spans="1:13" ht="15" customHeight="1" x14ac:dyDescent="0.2">
      <c r="A64" s="57" t="s">
        <v>69</v>
      </c>
      <c r="B64" s="58">
        <v>0</v>
      </c>
      <c r="C64" s="58">
        <v>0</v>
      </c>
      <c r="D64" s="56">
        <v>0</v>
      </c>
      <c r="E64" s="58">
        <v>0</v>
      </c>
      <c r="F64" s="56">
        <v>0</v>
      </c>
      <c r="G64" s="58">
        <v>2</v>
      </c>
      <c r="H64" s="58">
        <v>0</v>
      </c>
      <c r="I64" s="58">
        <v>0</v>
      </c>
      <c r="J64" s="57">
        <f t="shared" si="3"/>
        <v>2</v>
      </c>
      <c r="K64" s="57">
        <f t="shared" si="4"/>
        <v>0</v>
      </c>
      <c r="L64" s="57">
        <f t="shared" si="5"/>
        <v>0</v>
      </c>
      <c r="M64" s="57">
        <f t="shared" si="6"/>
        <v>0</v>
      </c>
    </row>
    <row r="65" spans="1:13" ht="15" customHeight="1" x14ac:dyDescent="0.2">
      <c r="A65" s="57" t="s">
        <v>70</v>
      </c>
      <c r="B65" s="58">
        <v>0</v>
      </c>
      <c r="C65" s="58">
        <v>0</v>
      </c>
      <c r="D65" s="56">
        <v>0</v>
      </c>
      <c r="E65" s="58">
        <v>2</v>
      </c>
      <c r="F65" s="56">
        <v>0</v>
      </c>
      <c r="G65" s="58">
        <v>0</v>
      </c>
      <c r="H65" s="58">
        <v>0</v>
      </c>
      <c r="I65" s="58">
        <v>0</v>
      </c>
      <c r="J65" s="57">
        <f t="shared" si="3"/>
        <v>2</v>
      </c>
      <c r="K65" s="57">
        <f t="shared" si="4"/>
        <v>0</v>
      </c>
      <c r="L65" s="57">
        <f t="shared" si="5"/>
        <v>0</v>
      </c>
      <c r="M65" s="57">
        <f t="shared" si="6"/>
        <v>0</v>
      </c>
    </row>
    <row r="66" spans="1:13" ht="15" customHeight="1" x14ac:dyDescent="0.2">
      <c r="A66" s="57" t="s">
        <v>71</v>
      </c>
      <c r="B66" s="58">
        <v>0</v>
      </c>
      <c r="C66" s="58">
        <v>2</v>
      </c>
      <c r="D66" s="56">
        <v>0</v>
      </c>
      <c r="E66" s="58">
        <v>0</v>
      </c>
      <c r="F66" s="56">
        <v>0</v>
      </c>
      <c r="G66" s="58">
        <v>1</v>
      </c>
      <c r="H66" s="58">
        <v>0</v>
      </c>
      <c r="I66" s="58">
        <v>0</v>
      </c>
      <c r="J66" s="57">
        <f t="shared" si="3"/>
        <v>1</v>
      </c>
      <c r="K66" s="57">
        <f t="shared" si="4"/>
        <v>2</v>
      </c>
      <c r="L66" s="57">
        <f t="shared" si="5"/>
        <v>0</v>
      </c>
      <c r="M66" s="57">
        <f t="shared" si="6"/>
        <v>0</v>
      </c>
    </row>
    <row r="67" spans="1:13" ht="15" customHeight="1" x14ac:dyDescent="0.2">
      <c r="A67" s="57" t="s">
        <v>72</v>
      </c>
      <c r="B67" s="58">
        <v>0</v>
      </c>
      <c r="C67" s="58">
        <v>1</v>
      </c>
      <c r="D67" s="56">
        <v>0</v>
      </c>
      <c r="E67" s="58">
        <v>0</v>
      </c>
      <c r="F67" s="56">
        <v>0</v>
      </c>
      <c r="G67" s="58">
        <v>1</v>
      </c>
      <c r="H67" s="58">
        <v>0</v>
      </c>
      <c r="I67" s="58">
        <v>0</v>
      </c>
      <c r="J67" s="57">
        <f t="shared" si="3"/>
        <v>1</v>
      </c>
      <c r="K67" s="57">
        <f t="shared" si="4"/>
        <v>1</v>
      </c>
      <c r="L67" s="57">
        <f t="shared" si="5"/>
        <v>0</v>
      </c>
      <c r="M67" s="57">
        <f t="shared" si="6"/>
        <v>0</v>
      </c>
    </row>
    <row r="68" spans="1:13" s="33" customFormat="1" ht="15" customHeight="1" x14ac:dyDescent="0.2">
      <c r="A68" s="33" t="s">
        <v>73</v>
      </c>
      <c r="B68" s="34">
        <v>0</v>
      </c>
      <c r="C68" s="34">
        <v>1</v>
      </c>
      <c r="D68" s="56">
        <v>0</v>
      </c>
      <c r="E68" s="34">
        <v>0</v>
      </c>
      <c r="F68" s="34">
        <v>1</v>
      </c>
      <c r="G68" s="34">
        <v>1</v>
      </c>
      <c r="H68" s="34">
        <v>0</v>
      </c>
      <c r="I68" s="34">
        <v>0</v>
      </c>
      <c r="J68" s="33">
        <f t="shared" si="3"/>
        <v>1</v>
      </c>
      <c r="K68" s="33">
        <f t="shared" si="4"/>
        <v>1</v>
      </c>
      <c r="L68" s="33">
        <f t="shared" si="5"/>
        <v>1</v>
      </c>
      <c r="M68" s="33">
        <f t="shared" si="6"/>
        <v>0</v>
      </c>
    </row>
    <row r="69" spans="1:13" ht="15" customHeight="1" x14ac:dyDescent="0.2">
      <c r="A69" s="57" t="s">
        <v>74</v>
      </c>
      <c r="B69" s="58">
        <v>0</v>
      </c>
      <c r="C69" s="58">
        <v>0</v>
      </c>
      <c r="D69" s="56">
        <v>0</v>
      </c>
      <c r="E69" s="58">
        <v>2</v>
      </c>
      <c r="F69" s="56">
        <v>0</v>
      </c>
      <c r="G69" s="58">
        <v>0</v>
      </c>
      <c r="H69" s="58">
        <v>0</v>
      </c>
      <c r="I69" s="58">
        <v>0</v>
      </c>
      <c r="J69" s="57">
        <f t="shared" si="3"/>
        <v>2</v>
      </c>
      <c r="K69" s="57">
        <f t="shared" si="4"/>
        <v>0</v>
      </c>
      <c r="L69" s="57">
        <f t="shared" si="5"/>
        <v>0</v>
      </c>
      <c r="M69" s="57">
        <f t="shared" si="6"/>
        <v>0</v>
      </c>
    </row>
    <row r="70" spans="1:13" ht="15" customHeight="1" x14ac:dyDescent="0.2">
      <c r="A70" s="57" t="s">
        <v>75</v>
      </c>
      <c r="B70" s="58">
        <v>0</v>
      </c>
      <c r="C70" s="58">
        <v>0</v>
      </c>
      <c r="D70" s="56">
        <v>0</v>
      </c>
      <c r="E70" s="58">
        <v>1</v>
      </c>
      <c r="F70" s="56">
        <v>0</v>
      </c>
      <c r="G70" s="58">
        <v>0</v>
      </c>
      <c r="H70" s="58">
        <v>0</v>
      </c>
      <c r="I70" s="58">
        <v>0</v>
      </c>
      <c r="J70" s="57">
        <f t="shared" si="3"/>
        <v>1</v>
      </c>
      <c r="K70" s="57">
        <f t="shared" si="4"/>
        <v>0</v>
      </c>
      <c r="L70" s="57">
        <f t="shared" si="5"/>
        <v>0</v>
      </c>
      <c r="M70" s="57">
        <f t="shared" si="6"/>
        <v>0</v>
      </c>
    </row>
    <row r="71" spans="1:13" ht="15" customHeight="1" x14ac:dyDescent="0.2">
      <c r="A71" s="57" t="s">
        <v>76</v>
      </c>
      <c r="B71" s="58">
        <v>0</v>
      </c>
      <c r="C71" s="58">
        <v>0</v>
      </c>
      <c r="D71" s="56">
        <v>0</v>
      </c>
      <c r="E71" s="58">
        <v>1</v>
      </c>
      <c r="F71" s="56">
        <v>0</v>
      </c>
      <c r="G71" s="58">
        <v>0</v>
      </c>
      <c r="H71" s="58">
        <v>0</v>
      </c>
      <c r="I71" s="58">
        <v>0</v>
      </c>
      <c r="J71" s="57">
        <f t="shared" si="3"/>
        <v>1</v>
      </c>
      <c r="K71" s="57">
        <f t="shared" si="4"/>
        <v>0</v>
      </c>
      <c r="L71" s="57">
        <f t="shared" si="5"/>
        <v>0</v>
      </c>
      <c r="M71" s="57">
        <f t="shared" si="6"/>
        <v>0</v>
      </c>
    </row>
    <row r="72" spans="1:13" ht="15" customHeight="1" x14ac:dyDescent="0.2">
      <c r="A72" s="57" t="s">
        <v>77</v>
      </c>
      <c r="B72" s="58">
        <v>0</v>
      </c>
      <c r="C72" s="58">
        <v>0</v>
      </c>
      <c r="D72" s="56">
        <v>0</v>
      </c>
      <c r="E72" s="58">
        <v>0</v>
      </c>
      <c r="F72" s="56">
        <v>0</v>
      </c>
      <c r="G72" s="58">
        <v>0</v>
      </c>
      <c r="H72" s="58">
        <v>0</v>
      </c>
      <c r="I72" s="58">
        <v>0</v>
      </c>
      <c r="J72" s="57">
        <f t="shared" si="3"/>
        <v>0</v>
      </c>
      <c r="K72" s="57">
        <f t="shared" si="4"/>
        <v>0</v>
      </c>
      <c r="L72" s="57">
        <f t="shared" si="5"/>
        <v>0</v>
      </c>
      <c r="M72" s="57">
        <f t="shared" si="6"/>
        <v>0</v>
      </c>
    </row>
    <row r="73" spans="1:13" s="33" customFormat="1" ht="15" customHeight="1" x14ac:dyDescent="0.2">
      <c r="A73" s="33" t="s">
        <v>78</v>
      </c>
      <c r="B73" s="34">
        <v>0</v>
      </c>
      <c r="C73" s="34">
        <v>0</v>
      </c>
      <c r="D73" s="34">
        <v>1</v>
      </c>
      <c r="E73" s="34">
        <v>1</v>
      </c>
      <c r="F73" s="34">
        <v>0</v>
      </c>
      <c r="G73" s="34">
        <v>0</v>
      </c>
      <c r="H73" s="34">
        <v>0</v>
      </c>
      <c r="I73" s="34">
        <v>0</v>
      </c>
      <c r="J73" s="33">
        <f t="shared" si="3"/>
        <v>1</v>
      </c>
      <c r="K73" s="33">
        <f t="shared" si="4"/>
        <v>0</v>
      </c>
      <c r="L73" s="33">
        <f t="shared" si="5"/>
        <v>1</v>
      </c>
      <c r="M73" s="33">
        <f t="shared" si="6"/>
        <v>0</v>
      </c>
    </row>
    <row r="74" spans="1:13" ht="15" customHeight="1" x14ac:dyDescent="0.2">
      <c r="A74" s="57" t="s">
        <v>79</v>
      </c>
      <c r="B74" s="58">
        <v>0</v>
      </c>
      <c r="C74" s="58">
        <v>0</v>
      </c>
      <c r="D74" s="56">
        <v>0</v>
      </c>
      <c r="E74" s="58">
        <v>0</v>
      </c>
      <c r="F74" s="56">
        <v>0</v>
      </c>
      <c r="G74" s="58">
        <v>0</v>
      </c>
      <c r="H74" s="58">
        <v>0</v>
      </c>
      <c r="I74" s="58">
        <v>0</v>
      </c>
      <c r="J74" s="57">
        <f t="shared" si="3"/>
        <v>0</v>
      </c>
      <c r="K74" s="57">
        <f t="shared" ref="K74:K105" si="7">SUM(C74+I74)</f>
        <v>0</v>
      </c>
      <c r="L74" s="57">
        <f t="shared" ref="L74:L105" si="8">SUM(D74+F74)</f>
        <v>0</v>
      </c>
      <c r="M74" s="57">
        <f t="shared" ref="M74:M105" si="9">SUM(B74+H74)</f>
        <v>0</v>
      </c>
    </row>
    <row r="75" spans="1:13" ht="15" customHeight="1" x14ac:dyDescent="0.2">
      <c r="A75" s="57" t="s">
        <v>80</v>
      </c>
      <c r="B75" s="58">
        <v>0</v>
      </c>
      <c r="C75" s="58">
        <v>0</v>
      </c>
      <c r="D75" s="56">
        <v>0</v>
      </c>
      <c r="E75" s="58">
        <v>0</v>
      </c>
      <c r="F75" s="56">
        <v>0</v>
      </c>
      <c r="G75" s="58">
        <v>1</v>
      </c>
      <c r="H75" s="58">
        <v>0</v>
      </c>
      <c r="I75" s="58">
        <v>0</v>
      </c>
      <c r="J75" s="57">
        <f t="shared" ref="J75:J138" si="10">SUM(E75+G75)</f>
        <v>1</v>
      </c>
      <c r="K75" s="57">
        <f t="shared" si="7"/>
        <v>0</v>
      </c>
      <c r="L75" s="57">
        <f t="shared" si="8"/>
        <v>0</v>
      </c>
      <c r="M75" s="57">
        <f t="shared" si="9"/>
        <v>0</v>
      </c>
    </row>
    <row r="76" spans="1:13" ht="15" customHeight="1" x14ac:dyDescent="0.2">
      <c r="A76" s="57" t="s">
        <v>81</v>
      </c>
      <c r="B76" s="58">
        <v>0</v>
      </c>
      <c r="C76" s="58">
        <v>0</v>
      </c>
      <c r="D76" s="56">
        <v>0</v>
      </c>
      <c r="E76" s="58">
        <v>1</v>
      </c>
      <c r="F76" s="56">
        <v>0</v>
      </c>
      <c r="G76" s="58">
        <v>0</v>
      </c>
      <c r="H76" s="58">
        <v>0</v>
      </c>
      <c r="I76" s="58">
        <v>1</v>
      </c>
      <c r="J76" s="57">
        <f t="shared" si="10"/>
        <v>1</v>
      </c>
      <c r="K76" s="57">
        <f t="shared" si="7"/>
        <v>1</v>
      </c>
      <c r="L76" s="57">
        <f t="shared" si="8"/>
        <v>0</v>
      </c>
      <c r="M76" s="57">
        <f t="shared" si="9"/>
        <v>0</v>
      </c>
    </row>
    <row r="77" spans="1:13" s="33" customFormat="1" ht="15" customHeight="1" x14ac:dyDescent="0.2">
      <c r="A77" s="33" t="s">
        <v>82</v>
      </c>
      <c r="B77" s="34">
        <v>0</v>
      </c>
      <c r="C77" s="34">
        <v>0</v>
      </c>
      <c r="D77" s="56">
        <v>0</v>
      </c>
      <c r="E77" s="34">
        <v>1</v>
      </c>
      <c r="F77" s="34">
        <v>1</v>
      </c>
      <c r="G77" s="34">
        <v>0</v>
      </c>
      <c r="H77" s="34">
        <v>0</v>
      </c>
      <c r="I77" s="34">
        <v>0</v>
      </c>
      <c r="J77" s="33">
        <f t="shared" si="10"/>
        <v>1</v>
      </c>
      <c r="K77" s="33">
        <f t="shared" si="7"/>
        <v>0</v>
      </c>
      <c r="L77" s="33">
        <f t="shared" si="8"/>
        <v>1</v>
      </c>
      <c r="M77" s="33">
        <f t="shared" si="9"/>
        <v>0</v>
      </c>
    </row>
    <row r="78" spans="1:13" ht="15" customHeight="1" x14ac:dyDescent="0.2">
      <c r="A78" s="57" t="s">
        <v>83</v>
      </c>
      <c r="B78" s="58">
        <v>0</v>
      </c>
      <c r="C78" s="58">
        <v>0</v>
      </c>
      <c r="D78" s="56">
        <v>0</v>
      </c>
      <c r="E78" s="58">
        <v>0</v>
      </c>
      <c r="F78" s="56">
        <v>0</v>
      </c>
      <c r="G78" s="58">
        <v>0</v>
      </c>
      <c r="H78" s="58">
        <v>0</v>
      </c>
      <c r="I78" s="58">
        <v>0</v>
      </c>
      <c r="J78" s="57">
        <f t="shared" si="10"/>
        <v>0</v>
      </c>
      <c r="K78" s="57">
        <f t="shared" si="7"/>
        <v>0</v>
      </c>
      <c r="L78" s="57">
        <f t="shared" si="8"/>
        <v>0</v>
      </c>
      <c r="M78" s="57">
        <f t="shared" si="9"/>
        <v>0</v>
      </c>
    </row>
    <row r="79" spans="1:13" ht="15" customHeight="1" x14ac:dyDescent="0.2">
      <c r="A79" s="57" t="s">
        <v>84</v>
      </c>
      <c r="B79" s="58">
        <v>0</v>
      </c>
      <c r="C79" s="58">
        <v>1</v>
      </c>
      <c r="D79" s="56">
        <v>0</v>
      </c>
      <c r="E79" s="58">
        <v>1</v>
      </c>
      <c r="F79" s="56">
        <v>0</v>
      </c>
      <c r="G79" s="58">
        <v>0</v>
      </c>
      <c r="H79" s="58">
        <v>0</v>
      </c>
      <c r="I79" s="58">
        <v>0</v>
      </c>
      <c r="J79" s="57">
        <f t="shared" si="10"/>
        <v>1</v>
      </c>
      <c r="K79" s="57">
        <f t="shared" si="7"/>
        <v>1</v>
      </c>
      <c r="L79" s="57">
        <f t="shared" si="8"/>
        <v>0</v>
      </c>
      <c r="M79" s="57">
        <f t="shared" si="9"/>
        <v>0</v>
      </c>
    </row>
    <row r="80" spans="1:13" s="33" customFormat="1" ht="15" customHeight="1" x14ac:dyDescent="0.2">
      <c r="A80" s="33" t="s">
        <v>85</v>
      </c>
      <c r="B80" s="34">
        <v>0</v>
      </c>
      <c r="C80" s="34">
        <v>0</v>
      </c>
      <c r="D80" s="56">
        <v>0</v>
      </c>
      <c r="E80" s="34">
        <v>0</v>
      </c>
      <c r="F80" s="34">
        <v>1</v>
      </c>
      <c r="G80" s="34">
        <v>0</v>
      </c>
      <c r="H80" s="34">
        <v>0</v>
      </c>
      <c r="I80" s="34">
        <v>2</v>
      </c>
      <c r="J80" s="33">
        <f t="shared" si="10"/>
        <v>0</v>
      </c>
      <c r="K80" s="33">
        <f t="shared" si="7"/>
        <v>2</v>
      </c>
      <c r="L80" s="33">
        <f t="shared" si="8"/>
        <v>1</v>
      </c>
      <c r="M80" s="33">
        <f t="shared" si="9"/>
        <v>0</v>
      </c>
    </row>
    <row r="81" spans="1:13" ht="15" customHeight="1" x14ac:dyDescent="0.2">
      <c r="A81" s="57" t="s">
        <v>86</v>
      </c>
      <c r="B81" s="58">
        <v>0</v>
      </c>
      <c r="C81" s="58">
        <v>0</v>
      </c>
      <c r="D81" s="56">
        <v>0</v>
      </c>
      <c r="E81" s="58">
        <v>1</v>
      </c>
      <c r="F81" s="56">
        <v>0</v>
      </c>
      <c r="G81" s="58">
        <v>1</v>
      </c>
      <c r="H81" s="58">
        <v>0</v>
      </c>
      <c r="I81" s="58">
        <v>0</v>
      </c>
      <c r="J81" s="57">
        <f t="shared" si="10"/>
        <v>2</v>
      </c>
      <c r="K81" s="57">
        <f t="shared" si="7"/>
        <v>0</v>
      </c>
      <c r="L81" s="57">
        <f t="shared" si="8"/>
        <v>0</v>
      </c>
      <c r="M81" s="57">
        <f t="shared" si="9"/>
        <v>0</v>
      </c>
    </row>
    <row r="82" spans="1:13" ht="15" customHeight="1" x14ac:dyDescent="0.2">
      <c r="A82" s="57" t="s">
        <v>87</v>
      </c>
      <c r="B82" s="58">
        <v>0</v>
      </c>
      <c r="C82" s="58">
        <v>0</v>
      </c>
      <c r="D82" s="56">
        <v>0</v>
      </c>
      <c r="E82" s="58">
        <v>0</v>
      </c>
      <c r="F82" s="56">
        <v>0</v>
      </c>
      <c r="G82" s="58">
        <v>0</v>
      </c>
      <c r="H82" s="58">
        <v>0</v>
      </c>
      <c r="I82" s="58">
        <v>1</v>
      </c>
      <c r="J82" s="57">
        <f t="shared" si="10"/>
        <v>0</v>
      </c>
      <c r="K82" s="57">
        <f t="shared" si="7"/>
        <v>1</v>
      </c>
      <c r="L82" s="57">
        <f t="shared" si="8"/>
        <v>0</v>
      </c>
      <c r="M82" s="57">
        <f t="shared" si="9"/>
        <v>0</v>
      </c>
    </row>
    <row r="83" spans="1:13" ht="15" customHeight="1" x14ac:dyDescent="0.2">
      <c r="A83" s="57" t="s">
        <v>88</v>
      </c>
      <c r="B83" s="58">
        <v>0</v>
      </c>
      <c r="C83" s="58">
        <v>0</v>
      </c>
      <c r="D83" s="56">
        <v>0</v>
      </c>
      <c r="E83" s="58">
        <v>2</v>
      </c>
      <c r="F83" s="56">
        <v>0</v>
      </c>
      <c r="G83" s="58">
        <v>2</v>
      </c>
      <c r="H83" s="58">
        <v>0</v>
      </c>
      <c r="I83" s="58">
        <v>0</v>
      </c>
      <c r="J83" s="57">
        <f t="shared" si="10"/>
        <v>4</v>
      </c>
      <c r="K83" s="57">
        <f t="shared" si="7"/>
        <v>0</v>
      </c>
      <c r="L83" s="57">
        <f t="shared" si="8"/>
        <v>0</v>
      </c>
      <c r="M83" s="57">
        <f t="shared" si="9"/>
        <v>0</v>
      </c>
    </row>
    <row r="84" spans="1:13" s="33" customFormat="1" ht="15" customHeight="1" x14ac:dyDescent="0.2">
      <c r="A84" s="33" t="s">
        <v>89</v>
      </c>
      <c r="B84" s="34">
        <v>0</v>
      </c>
      <c r="C84" s="34">
        <v>2</v>
      </c>
      <c r="D84" s="56">
        <v>0</v>
      </c>
      <c r="E84" s="34">
        <v>1</v>
      </c>
      <c r="F84" s="34">
        <v>1</v>
      </c>
      <c r="G84" s="34">
        <v>1</v>
      </c>
      <c r="H84" s="34">
        <v>0</v>
      </c>
      <c r="I84" s="34">
        <v>0</v>
      </c>
      <c r="J84" s="33">
        <f t="shared" si="10"/>
        <v>2</v>
      </c>
      <c r="K84" s="33">
        <f t="shared" si="7"/>
        <v>2</v>
      </c>
      <c r="L84" s="33">
        <f t="shared" si="8"/>
        <v>1</v>
      </c>
      <c r="M84" s="33">
        <f t="shared" si="9"/>
        <v>0</v>
      </c>
    </row>
    <row r="85" spans="1:13" ht="15" customHeight="1" x14ac:dyDescent="0.2">
      <c r="A85" s="57" t="s">
        <v>90</v>
      </c>
      <c r="B85" s="58">
        <v>0</v>
      </c>
      <c r="C85" s="58">
        <v>1</v>
      </c>
      <c r="D85" s="56">
        <v>0</v>
      </c>
      <c r="E85" s="58">
        <v>0</v>
      </c>
      <c r="F85" s="56">
        <v>0</v>
      </c>
      <c r="G85" s="58">
        <v>1</v>
      </c>
      <c r="H85" s="58">
        <v>0</v>
      </c>
      <c r="I85" s="58">
        <v>0</v>
      </c>
      <c r="J85" s="57">
        <f t="shared" si="10"/>
        <v>1</v>
      </c>
      <c r="K85" s="57">
        <f t="shared" si="7"/>
        <v>1</v>
      </c>
      <c r="L85" s="57">
        <f t="shared" si="8"/>
        <v>0</v>
      </c>
      <c r="M85" s="57">
        <f t="shared" si="9"/>
        <v>0</v>
      </c>
    </row>
    <row r="86" spans="1:13" ht="15" customHeight="1" x14ac:dyDescent="0.2">
      <c r="A86" s="57" t="s">
        <v>91</v>
      </c>
      <c r="B86" s="58">
        <v>0</v>
      </c>
      <c r="C86" s="58">
        <v>0</v>
      </c>
      <c r="D86" s="56">
        <v>0</v>
      </c>
      <c r="E86" s="58">
        <v>0</v>
      </c>
      <c r="F86" s="56">
        <v>0</v>
      </c>
      <c r="G86" s="58">
        <v>0</v>
      </c>
      <c r="H86" s="58">
        <v>0</v>
      </c>
      <c r="I86" s="58">
        <v>1</v>
      </c>
      <c r="J86" s="57">
        <f t="shared" si="10"/>
        <v>0</v>
      </c>
      <c r="K86" s="57">
        <f t="shared" si="7"/>
        <v>1</v>
      </c>
      <c r="L86" s="57">
        <f t="shared" si="8"/>
        <v>0</v>
      </c>
      <c r="M86" s="57">
        <f t="shared" si="9"/>
        <v>0</v>
      </c>
    </row>
    <row r="87" spans="1:13" ht="15" customHeight="1" x14ac:dyDescent="0.2">
      <c r="A87" s="57" t="s">
        <v>92</v>
      </c>
      <c r="B87" s="58">
        <v>0</v>
      </c>
      <c r="C87" s="58">
        <v>0</v>
      </c>
      <c r="D87" s="56">
        <v>0</v>
      </c>
      <c r="E87" s="58">
        <v>0</v>
      </c>
      <c r="F87" s="56">
        <v>0</v>
      </c>
      <c r="G87" s="58">
        <v>1</v>
      </c>
      <c r="H87" s="58">
        <v>0</v>
      </c>
      <c r="I87" s="58">
        <v>0</v>
      </c>
      <c r="J87" s="57">
        <f t="shared" si="10"/>
        <v>1</v>
      </c>
      <c r="K87" s="57">
        <f t="shared" si="7"/>
        <v>0</v>
      </c>
      <c r="L87" s="57">
        <f t="shared" si="8"/>
        <v>0</v>
      </c>
      <c r="M87" s="57">
        <f t="shared" si="9"/>
        <v>0</v>
      </c>
    </row>
    <row r="88" spans="1:13" ht="15" customHeight="1" x14ac:dyDescent="0.2">
      <c r="A88" s="57" t="s">
        <v>93</v>
      </c>
      <c r="B88" s="58">
        <v>0</v>
      </c>
      <c r="C88" s="58">
        <v>2</v>
      </c>
      <c r="D88" s="56">
        <v>0</v>
      </c>
      <c r="E88" s="58">
        <v>2</v>
      </c>
      <c r="F88" s="56">
        <v>0</v>
      </c>
      <c r="G88" s="58">
        <v>3</v>
      </c>
      <c r="H88" s="58">
        <v>0</v>
      </c>
      <c r="I88" s="58">
        <v>0</v>
      </c>
      <c r="J88" s="57">
        <f t="shared" si="10"/>
        <v>5</v>
      </c>
      <c r="K88" s="57">
        <f t="shared" si="7"/>
        <v>2</v>
      </c>
      <c r="L88" s="57">
        <f t="shared" si="8"/>
        <v>0</v>
      </c>
      <c r="M88" s="57">
        <f t="shared" si="9"/>
        <v>0</v>
      </c>
    </row>
    <row r="89" spans="1:13" ht="15" customHeight="1" x14ac:dyDescent="0.2">
      <c r="A89" s="57" t="s">
        <v>94</v>
      </c>
      <c r="B89" s="58">
        <v>0</v>
      </c>
      <c r="C89" s="58">
        <v>0</v>
      </c>
      <c r="D89" s="56">
        <v>0</v>
      </c>
      <c r="E89" s="58">
        <v>1</v>
      </c>
      <c r="F89" s="56">
        <v>0</v>
      </c>
      <c r="G89" s="58">
        <v>1</v>
      </c>
      <c r="H89" s="58">
        <v>0</v>
      </c>
      <c r="I89" s="58">
        <v>0</v>
      </c>
      <c r="J89" s="57">
        <f t="shared" si="10"/>
        <v>2</v>
      </c>
      <c r="K89" s="57">
        <f t="shared" si="7"/>
        <v>0</v>
      </c>
      <c r="L89" s="57">
        <f t="shared" si="8"/>
        <v>0</v>
      </c>
      <c r="M89" s="57">
        <f t="shared" si="9"/>
        <v>0</v>
      </c>
    </row>
    <row r="90" spans="1:13" ht="15" customHeight="1" x14ac:dyDescent="0.2">
      <c r="A90" s="57" t="s">
        <v>95</v>
      </c>
      <c r="B90" s="58">
        <v>0</v>
      </c>
      <c r="C90" s="58">
        <v>0</v>
      </c>
      <c r="D90" s="56">
        <v>0</v>
      </c>
      <c r="E90" s="58">
        <v>1</v>
      </c>
      <c r="F90" s="56">
        <v>0</v>
      </c>
      <c r="G90" s="58">
        <v>0</v>
      </c>
      <c r="H90" s="58">
        <v>0</v>
      </c>
      <c r="I90" s="58">
        <v>2</v>
      </c>
      <c r="J90" s="57">
        <f t="shared" si="10"/>
        <v>1</v>
      </c>
      <c r="K90" s="57">
        <f t="shared" si="7"/>
        <v>2</v>
      </c>
      <c r="L90" s="57">
        <f t="shared" si="8"/>
        <v>0</v>
      </c>
      <c r="M90" s="57">
        <f t="shared" si="9"/>
        <v>0</v>
      </c>
    </row>
    <row r="91" spans="1:13" ht="15" customHeight="1" x14ac:dyDescent="0.2">
      <c r="A91" s="57" t="s">
        <v>96</v>
      </c>
      <c r="B91" s="58">
        <v>0</v>
      </c>
      <c r="C91" s="58">
        <v>0</v>
      </c>
      <c r="D91" s="56">
        <v>0</v>
      </c>
      <c r="E91" s="58">
        <v>0</v>
      </c>
      <c r="F91" s="56">
        <v>0</v>
      </c>
      <c r="G91" s="58">
        <v>1</v>
      </c>
      <c r="H91" s="58">
        <v>0</v>
      </c>
      <c r="I91" s="58">
        <v>0</v>
      </c>
      <c r="J91" s="57">
        <f t="shared" si="10"/>
        <v>1</v>
      </c>
      <c r="K91" s="57">
        <f t="shared" si="7"/>
        <v>0</v>
      </c>
      <c r="L91" s="57">
        <f t="shared" si="8"/>
        <v>0</v>
      </c>
      <c r="M91" s="57">
        <f t="shared" si="9"/>
        <v>0</v>
      </c>
    </row>
    <row r="92" spans="1:13" ht="15" customHeight="1" x14ac:dyDescent="0.2">
      <c r="A92" s="57" t="s">
        <v>97</v>
      </c>
      <c r="B92" s="58">
        <v>0</v>
      </c>
      <c r="C92" s="58">
        <v>1</v>
      </c>
      <c r="D92" s="56">
        <v>0</v>
      </c>
      <c r="E92" s="58">
        <v>0</v>
      </c>
      <c r="F92" s="56">
        <v>0</v>
      </c>
      <c r="G92" s="58">
        <v>0</v>
      </c>
      <c r="H92" s="58">
        <v>0</v>
      </c>
      <c r="I92" s="58">
        <v>1</v>
      </c>
      <c r="J92" s="57">
        <f t="shared" si="10"/>
        <v>0</v>
      </c>
      <c r="K92" s="57">
        <f t="shared" si="7"/>
        <v>2</v>
      </c>
      <c r="L92" s="57">
        <f t="shared" si="8"/>
        <v>0</v>
      </c>
      <c r="M92" s="57">
        <f t="shared" si="9"/>
        <v>0</v>
      </c>
    </row>
    <row r="93" spans="1:13" ht="15" customHeight="1" x14ac:dyDescent="0.2">
      <c r="A93" s="57" t="s">
        <v>98</v>
      </c>
      <c r="B93" s="58">
        <v>0</v>
      </c>
      <c r="C93" s="58">
        <v>1</v>
      </c>
      <c r="D93" s="56">
        <v>0</v>
      </c>
      <c r="E93" s="58">
        <v>1</v>
      </c>
      <c r="F93" s="56">
        <v>0</v>
      </c>
      <c r="G93" s="58">
        <v>0</v>
      </c>
      <c r="H93" s="58">
        <v>0</v>
      </c>
      <c r="I93" s="58">
        <v>0</v>
      </c>
      <c r="J93" s="57">
        <f t="shared" si="10"/>
        <v>1</v>
      </c>
      <c r="K93" s="57">
        <f t="shared" si="7"/>
        <v>1</v>
      </c>
      <c r="L93" s="57">
        <f t="shared" si="8"/>
        <v>0</v>
      </c>
      <c r="M93" s="57">
        <f t="shared" si="9"/>
        <v>0</v>
      </c>
    </row>
    <row r="94" spans="1:13" ht="15" customHeight="1" x14ac:dyDescent="0.2">
      <c r="A94" s="57" t="s">
        <v>99</v>
      </c>
      <c r="B94" s="58">
        <v>0</v>
      </c>
      <c r="C94" s="58">
        <v>0</v>
      </c>
      <c r="D94" s="56">
        <v>0</v>
      </c>
      <c r="E94" s="58">
        <v>0</v>
      </c>
      <c r="F94" s="56">
        <v>0</v>
      </c>
      <c r="G94" s="58">
        <v>1</v>
      </c>
      <c r="H94" s="58">
        <v>0</v>
      </c>
      <c r="I94" s="58">
        <v>0</v>
      </c>
      <c r="J94" s="57">
        <f t="shared" si="10"/>
        <v>1</v>
      </c>
      <c r="K94" s="57">
        <f t="shared" si="7"/>
        <v>0</v>
      </c>
      <c r="L94" s="57">
        <f t="shared" si="8"/>
        <v>0</v>
      </c>
      <c r="M94" s="57">
        <f t="shared" si="9"/>
        <v>0</v>
      </c>
    </row>
    <row r="95" spans="1:13" ht="15" customHeight="1" x14ac:dyDescent="0.2">
      <c r="A95" s="57" t="s">
        <v>100</v>
      </c>
      <c r="B95" s="58">
        <v>0</v>
      </c>
      <c r="C95" s="58">
        <v>0</v>
      </c>
      <c r="D95" s="56">
        <v>0</v>
      </c>
      <c r="E95" s="58">
        <v>0</v>
      </c>
      <c r="F95" s="56">
        <v>0</v>
      </c>
      <c r="G95" s="58">
        <v>0</v>
      </c>
      <c r="H95" s="58">
        <v>0</v>
      </c>
      <c r="I95" s="58">
        <v>0</v>
      </c>
      <c r="J95" s="57">
        <f t="shared" si="10"/>
        <v>0</v>
      </c>
      <c r="K95" s="57">
        <f t="shared" si="7"/>
        <v>0</v>
      </c>
      <c r="L95" s="57">
        <f t="shared" si="8"/>
        <v>0</v>
      </c>
      <c r="M95" s="57">
        <f t="shared" si="9"/>
        <v>0</v>
      </c>
    </row>
    <row r="96" spans="1:13" ht="15" customHeight="1" x14ac:dyDescent="0.2">
      <c r="A96" s="57" t="s">
        <v>101</v>
      </c>
      <c r="B96" s="58">
        <v>0</v>
      </c>
      <c r="C96" s="58">
        <v>0</v>
      </c>
      <c r="D96" s="56">
        <v>0</v>
      </c>
      <c r="E96" s="58">
        <v>0</v>
      </c>
      <c r="F96" s="56">
        <v>0</v>
      </c>
      <c r="G96" s="58">
        <v>0</v>
      </c>
      <c r="H96" s="58">
        <v>0</v>
      </c>
      <c r="I96" s="58">
        <v>0</v>
      </c>
      <c r="J96" s="57">
        <f t="shared" si="10"/>
        <v>0</v>
      </c>
      <c r="K96" s="57">
        <f t="shared" si="7"/>
        <v>0</v>
      </c>
      <c r="L96" s="57">
        <f t="shared" si="8"/>
        <v>0</v>
      </c>
      <c r="M96" s="57">
        <f t="shared" si="9"/>
        <v>0</v>
      </c>
    </row>
    <row r="97" spans="1:13" ht="15" customHeight="1" x14ac:dyDescent="0.2">
      <c r="A97" s="57" t="s">
        <v>102</v>
      </c>
      <c r="B97" s="58">
        <v>0</v>
      </c>
      <c r="C97" s="58">
        <v>0</v>
      </c>
      <c r="D97" s="56">
        <v>0</v>
      </c>
      <c r="E97" s="58">
        <v>0</v>
      </c>
      <c r="F97" s="56">
        <v>0</v>
      </c>
      <c r="G97" s="58">
        <v>0</v>
      </c>
      <c r="H97" s="58">
        <v>0</v>
      </c>
      <c r="I97" s="58">
        <v>0</v>
      </c>
      <c r="J97" s="57">
        <f t="shared" si="10"/>
        <v>0</v>
      </c>
      <c r="K97" s="57">
        <f t="shared" si="7"/>
        <v>0</v>
      </c>
      <c r="L97" s="57">
        <f t="shared" si="8"/>
        <v>0</v>
      </c>
      <c r="M97" s="57">
        <f t="shared" si="9"/>
        <v>0</v>
      </c>
    </row>
    <row r="98" spans="1:13" ht="15" customHeight="1" x14ac:dyDescent="0.2">
      <c r="A98" s="57" t="s">
        <v>103</v>
      </c>
      <c r="B98" s="58">
        <v>0</v>
      </c>
      <c r="C98" s="58">
        <v>0</v>
      </c>
      <c r="D98" s="56">
        <v>0</v>
      </c>
      <c r="E98" s="58">
        <v>0</v>
      </c>
      <c r="F98" s="56">
        <v>0</v>
      </c>
      <c r="G98" s="58">
        <v>0</v>
      </c>
      <c r="H98" s="58">
        <v>0</v>
      </c>
      <c r="I98" s="58">
        <v>0</v>
      </c>
      <c r="J98" s="57">
        <f t="shared" si="10"/>
        <v>0</v>
      </c>
      <c r="K98" s="57">
        <f t="shared" si="7"/>
        <v>0</v>
      </c>
      <c r="L98" s="57">
        <f t="shared" si="8"/>
        <v>0</v>
      </c>
      <c r="M98" s="57">
        <f t="shared" si="9"/>
        <v>0</v>
      </c>
    </row>
    <row r="99" spans="1:13" ht="15" customHeight="1" x14ac:dyDescent="0.2">
      <c r="A99" s="57" t="s">
        <v>104</v>
      </c>
      <c r="B99" s="58">
        <v>0</v>
      </c>
      <c r="C99" s="58">
        <v>0</v>
      </c>
      <c r="D99" s="56">
        <v>0</v>
      </c>
      <c r="E99" s="58">
        <v>0</v>
      </c>
      <c r="F99" s="56">
        <v>0</v>
      </c>
      <c r="G99" s="58">
        <v>1</v>
      </c>
      <c r="H99" s="58">
        <v>0</v>
      </c>
      <c r="I99" s="58">
        <v>1</v>
      </c>
      <c r="J99" s="57">
        <f t="shared" si="10"/>
        <v>1</v>
      </c>
      <c r="K99" s="57">
        <f t="shared" si="7"/>
        <v>1</v>
      </c>
      <c r="L99" s="57">
        <f t="shared" si="8"/>
        <v>0</v>
      </c>
      <c r="M99" s="57">
        <f t="shared" si="9"/>
        <v>0</v>
      </c>
    </row>
    <row r="100" spans="1:13" ht="15" customHeight="1" x14ac:dyDescent="0.2">
      <c r="A100" s="57" t="s">
        <v>105</v>
      </c>
      <c r="B100" s="58">
        <v>0</v>
      </c>
      <c r="C100" s="58">
        <v>0</v>
      </c>
      <c r="D100" s="56">
        <v>0</v>
      </c>
      <c r="E100" s="58">
        <v>0</v>
      </c>
      <c r="F100" s="56">
        <v>0</v>
      </c>
      <c r="G100" s="58">
        <v>0</v>
      </c>
      <c r="H100" s="58">
        <v>0</v>
      </c>
      <c r="I100" s="58">
        <v>0</v>
      </c>
      <c r="J100" s="57">
        <f t="shared" si="10"/>
        <v>0</v>
      </c>
      <c r="K100" s="57">
        <f t="shared" si="7"/>
        <v>0</v>
      </c>
      <c r="L100" s="57">
        <f t="shared" si="8"/>
        <v>0</v>
      </c>
      <c r="M100" s="57">
        <f t="shared" si="9"/>
        <v>0</v>
      </c>
    </row>
    <row r="101" spans="1:13" ht="15" customHeight="1" x14ac:dyDescent="0.2">
      <c r="A101" s="57" t="s">
        <v>106</v>
      </c>
      <c r="B101" s="58">
        <v>0</v>
      </c>
      <c r="C101" s="58">
        <v>1</v>
      </c>
      <c r="D101" s="56">
        <v>0</v>
      </c>
      <c r="E101" s="58">
        <v>0</v>
      </c>
      <c r="F101" s="56">
        <v>0</v>
      </c>
      <c r="G101" s="58">
        <v>0</v>
      </c>
      <c r="H101" s="58">
        <v>0</v>
      </c>
      <c r="I101" s="58">
        <v>0</v>
      </c>
      <c r="J101" s="57">
        <f t="shared" si="10"/>
        <v>0</v>
      </c>
      <c r="K101" s="57">
        <f t="shared" si="7"/>
        <v>1</v>
      </c>
      <c r="L101" s="57">
        <f t="shared" si="8"/>
        <v>0</v>
      </c>
      <c r="M101" s="57">
        <f t="shared" si="9"/>
        <v>0</v>
      </c>
    </row>
    <row r="102" spans="1:13" s="33" customFormat="1" ht="15" customHeight="1" x14ac:dyDescent="0.2">
      <c r="A102" s="33" t="s">
        <v>107</v>
      </c>
      <c r="B102" s="34">
        <v>1</v>
      </c>
      <c r="C102" s="34">
        <v>1</v>
      </c>
      <c r="D102" s="34">
        <v>1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3">
        <f t="shared" si="10"/>
        <v>0</v>
      </c>
      <c r="K102" s="33">
        <f t="shared" si="7"/>
        <v>1</v>
      </c>
      <c r="L102" s="33">
        <f t="shared" si="8"/>
        <v>1</v>
      </c>
      <c r="M102" s="33">
        <f t="shared" si="9"/>
        <v>1</v>
      </c>
    </row>
    <row r="103" spans="1:13" ht="15" customHeight="1" x14ac:dyDescent="0.2">
      <c r="A103" s="57" t="s">
        <v>108</v>
      </c>
      <c r="B103" s="58">
        <v>0</v>
      </c>
      <c r="C103" s="58">
        <v>0</v>
      </c>
      <c r="D103" s="56">
        <v>0</v>
      </c>
      <c r="E103" s="58">
        <v>0</v>
      </c>
      <c r="F103" s="56">
        <v>0</v>
      </c>
      <c r="G103" s="58">
        <v>0</v>
      </c>
      <c r="H103" s="58">
        <v>0</v>
      </c>
      <c r="I103" s="58">
        <v>0</v>
      </c>
      <c r="J103" s="57">
        <f t="shared" si="10"/>
        <v>0</v>
      </c>
      <c r="K103" s="57">
        <f t="shared" si="7"/>
        <v>0</v>
      </c>
      <c r="L103" s="57">
        <f t="shared" si="8"/>
        <v>0</v>
      </c>
      <c r="M103" s="57">
        <f t="shared" si="9"/>
        <v>0</v>
      </c>
    </row>
    <row r="104" spans="1:13" ht="15" customHeight="1" x14ac:dyDescent="0.2">
      <c r="A104" s="57" t="s">
        <v>109</v>
      </c>
      <c r="B104" s="58">
        <v>0</v>
      </c>
      <c r="C104" s="58">
        <v>0</v>
      </c>
      <c r="D104" s="56">
        <v>0</v>
      </c>
      <c r="E104" s="58">
        <v>1</v>
      </c>
      <c r="F104" s="56">
        <v>0</v>
      </c>
      <c r="G104" s="58">
        <v>0</v>
      </c>
      <c r="H104" s="58">
        <v>0</v>
      </c>
      <c r="I104" s="58">
        <v>0</v>
      </c>
      <c r="J104" s="57">
        <f t="shared" si="10"/>
        <v>1</v>
      </c>
      <c r="K104" s="57">
        <f t="shared" si="7"/>
        <v>0</v>
      </c>
      <c r="L104" s="57">
        <f t="shared" si="8"/>
        <v>0</v>
      </c>
      <c r="M104" s="57">
        <f t="shared" si="9"/>
        <v>0</v>
      </c>
    </row>
    <row r="105" spans="1:13" ht="15" customHeight="1" x14ac:dyDescent="0.2">
      <c r="A105" s="57" t="s">
        <v>110</v>
      </c>
      <c r="B105" s="58">
        <v>0</v>
      </c>
      <c r="C105" s="58">
        <v>1</v>
      </c>
      <c r="D105" s="56">
        <v>0</v>
      </c>
      <c r="E105" s="58">
        <v>0</v>
      </c>
      <c r="F105" s="56">
        <v>0</v>
      </c>
      <c r="G105" s="58">
        <v>0</v>
      </c>
      <c r="H105" s="58">
        <v>0</v>
      </c>
      <c r="I105" s="58">
        <v>0</v>
      </c>
      <c r="J105" s="57">
        <f t="shared" si="10"/>
        <v>0</v>
      </c>
      <c r="K105" s="57">
        <f t="shared" si="7"/>
        <v>1</v>
      </c>
      <c r="L105" s="57">
        <f t="shared" si="8"/>
        <v>0</v>
      </c>
      <c r="M105" s="57">
        <f t="shared" si="9"/>
        <v>0</v>
      </c>
    </row>
    <row r="106" spans="1:13" ht="15" customHeight="1" x14ac:dyDescent="0.2">
      <c r="A106" s="57" t="s">
        <v>5</v>
      </c>
      <c r="B106" s="58">
        <v>0</v>
      </c>
      <c r="C106" s="58">
        <v>0</v>
      </c>
      <c r="D106" s="56">
        <v>0</v>
      </c>
      <c r="E106" s="58">
        <v>0</v>
      </c>
      <c r="F106" s="56">
        <v>0</v>
      </c>
      <c r="G106" s="58">
        <v>0</v>
      </c>
      <c r="H106" s="58">
        <v>0</v>
      </c>
      <c r="I106" s="58">
        <v>0</v>
      </c>
      <c r="J106" s="57">
        <f t="shared" si="10"/>
        <v>0</v>
      </c>
      <c r="K106" s="57">
        <f t="shared" ref="K106:K137" si="11">SUM(C106+I106)</f>
        <v>0</v>
      </c>
      <c r="L106" s="57">
        <f t="shared" ref="L106:L137" si="12">SUM(D106+F106)</f>
        <v>0</v>
      </c>
      <c r="M106" s="57">
        <f t="shared" ref="M106:M137" si="13">SUM(B106+H106)</f>
        <v>0</v>
      </c>
    </row>
    <row r="107" spans="1:13" ht="15" customHeight="1" x14ac:dyDescent="0.2">
      <c r="A107" s="57" t="s">
        <v>16</v>
      </c>
      <c r="B107" s="58">
        <v>0</v>
      </c>
      <c r="C107" s="58">
        <v>0</v>
      </c>
      <c r="D107" s="56">
        <v>0</v>
      </c>
      <c r="E107" s="58">
        <v>0</v>
      </c>
      <c r="F107" s="56">
        <v>0</v>
      </c>
      <c r="G107" s="58">
        <v>0</v>
      </c>
      <c r="H107" s="58">
        <v>0</v>
      </c>
      <c r="I107" s="58">
        <v>0</v>
      </c>
      <c r="J107" s="57">
        <f t="shared" si="10"/>
        <v>0</v>
      </c>
      <c r="K107" s="57">
        <f t="shared" si="11"/>
        <v>0</v>
      </c>
      <c r="L107" s="57">
        <f t="shared" si="12"/>
        <v>0</v>
      </c>
      <c r="M107" s="57">
        <f t="shared" si="13"/>
        <v>0</v>
      </c>
    </row>
    <row r="108" spans="1:13" ht="15" customHeight="1" x14ac:dyDescent="0.2">
      <c r="A108" s="57" t="s">
        <v>17</v>
      </c>
      <c r="B108" s="58">
        <v>0</v>
      </c>
      <c r="C108" s="58">
        <v>0</v>
      </c>
      <c r="D108" s="56">
        <v>0</v>
      </c>
      <c r="E108" s="58">
        <v>0</v>
      </c>
      <c r="F108" s="56">
        <v>0</v>
      </c>
      <c r="G108" s="58">
        <v>0</v>
      </c>
      <c r="H108" s="58">
        <v>0</v>
      </c>
      <c r="I108" s="58">
        <v>0</v>
      </c>
      <c r="J108" s="57">
        <f t="shared" si="10"/>
        <v>0</v>
      </c>
      <c r="K108" s="57">
        <f t="shared" si="11"/>
        <v>0</v>
      </c>
      <c r="L108" s="57">
        <f t="shared" si="12"/>
        <v>0</v>
      </c>
      <c r="M108" s="57">
        <f t="shared" si="13"/>
        <v>0</v>
      </c>
    </row>
    <row r="109" spans="1:13" ht="15" customHeight="1" x14ac:dyDescent="0.2">
      <c r="A109" s="57" t="s">
        <v>18</v>
      </c>
      <c r="B109" s="58">
        <v>0</v>
      </c>
      <c r="C109" s="58">
        <v>1</v>
      </c>
      <c r="D109" s="56">
        <v>0</v>
      </c>
      <c r="E109" s="58">
        <v>0</v>
      </c>
      <c r="F109" s="56">
        <v>0</v>
      </c>
      <c r="G109" s="58">
        <v>0</v>
      </c>
      <c r="H109" s="58">
        <v>0</v>
      </c>
      <c r="I109" s="58">
        <v>0</v>
      </c>
      <c r="J109" s="57">
        <f t="shared" si="10"/>
        <v>0</v>
      </c>
      <c r="K109" s="57">
        <f t="shared" si="11"/>
        <v>1</v>
      </c>
      <c r="L109" s="57">
        <f t="shared" si="12"/>
        <v>0</v>
      </c>
      <c r="M109" s="57">
        <f t="shared" si="13"/>
        <v>0</v>
      </c>
    </row>
    <row r="110" spans="1:13" ht="15" customHeight="1" x14ac:dyDescent="0.2">
      <c r="A110" s="57" t="s">
        <v>19</v>
      </c>
      <c r="B110" s="58">
        <v>0</v>
      </c>
      <c r="C110" s="58">
        <v>0</v>
      </c>
      <c r="D110" s="56">
        <v>0</v>
      </c>
      <c r="E110" s="58">
        <v>0</v>
      </c>
      <c r="F110" s="56">
        <v>0</v>
      </c>
      <c r="G110" s="58">
        <v>0</v>
      </c>
      <c r="H110" s="58">
        <v>0</v>
      </c>
      <c r="I110" s="58">
        <v>0</v>
      </c>
      <c r="J110" s="57">
        <f t="shared" si="10"/>
        <v>0</v>
      </c>
      <c r="K110" s="57">
        <f t="shared" si="11"/>
        <v>0</v>
      </c>
      <c r="L110" s="57">
        <f t="shared" si="12"/>
        <v>0</v>
      </c>
      <c r="M110" s="57">
        <f t="shared" si="13"/>
        <v>0</v>
      </c>
    </row>
    <row r="111" spans="1:13" ht="15" customHeight="1" x14ac:dyDescent="0.2">
      <c r="A111" s="57" t="s">
        <v>20</v>
      </c>
      <c r="B111" s="58">
        <v>0</v>
      </c>
      <c r="C111" s="58">
        <v>0</v>
      </c>
      <c r="D111" s="56">
        <v>0</v>
      </c>
      <c r="E111" s="58">
        <v>0</v>
      </c>
      <c r="F111" s="56">
        <v>0</v>
      </c>
      <c r="G111" s="58">
        <v>0</v>
      </c>
      <c r="H111" s="58">
        <v>0</v>
      </c>
      <c r="I111" s="58">
        <v>0</v>
      </c>
      <c r="J111" s="57">
        <f t="shared" si="10"/>
        <v>0</v>
      </c>
      <c r="K111" s="57">
        <f t="shared" si="11"/>
        <v>0</v>
      </c>
      <c r="L111" s="57">
        <f t="shared" si="12"/>
        <v>0</v>
      </c>
      <c r="M111" s="57">
        <f t="shared" si="13"/>
        <v>0</v>
      </c>
    </row>
    <row r="112" spans="1:13" ht="15" customHeight="1" x14ac:dyDescent="0.2">
      <c r="A112" s="57" t="s">
        <v>21</v>
      </c>
      <c r="B112" s="58">
        <v>0</v>
      </c>
      <c r="C112" s="58">
        <v>0</v>
      </c>
      <c r="D112" s="56">
        <v>0</v>
      </c>
      <c r="E112" s="58">
        <v>0</v>
      </c>
      <c r="F112" s="56">
        <v>0</v>
      </c>
      <c r="G112" s="58">
        <v>0</v>
      </c>
      <c r="H112" s="58">
        <v>0</v>
      </c>
      <c r="I112" s="58">
        <v>0</v>
      </c>
      <c r="J112" s="57">
        <f t="shared" si="10"/>
        <v>0</v>
      </c>
      <c r="K112" s="57">
        <f t="shared" si="11"/>
        <v>0</v>
      </c>
      <c r="L112" s="57">
        <f t="shared" si="12"/>
        <v>0</v>
      </c>
      <c r="M112" s="57">
        <f t="shared" si="13"/>
        <v>0</v>
      </c>
    </row>
    <row r="113" spans="1:13" ht="15" customHeight="1" x14ac:dyDescent="0.2">
      <c r="A113" s="57" t="s">
        <v>22</v>
      </c>
      <c r="B113" s="58">
        <v>0</v>
      </c>
      <c r="C113" s="58">
        <v>0</v>
      </c>
      <c r="D113" s="56">
        <v>0</v>
      </c>
      <c r="E113" s="58">
        <v>0</v>
      </c>
      <c r="F113" s="56">
        <v>0</v>
      </c>
      <c r="G113" s="58">
        <v>0</v>
      </c>
      <c r="H113" s="58">
        <v>0</v>
      </c>
      <c r="I113" s="58">
        <v>0</v>
      </c>
      <c r="J113" s="57">
        <f t="shared" si="10"/>
        <v>0</v>
      </c>
      <c r="K113" s="57">
        <f t="shared" si="11"/>
        <v>0</v>
      </c>
      <c r="L113" s="57">
        <f t="shared" si="12"/>
        <v>0</v>
      </c>
      <c r="M113" s="57">
        <f t="shared" si="13"/>
        <v>0</v>
      </c>
    </row>
    <row r="114" spans="1:13" ht="15" customHeight="1" x14ac:dyDescent="0.2">
      <c r="A114" s="57" t="s">
        <v>23</v>
      </c>
      <c r="B114" s="58">
        <v>0</v>
      </c>
      <c r="C114" s="58">
        <v>0</v>
      </c>
      <c r="D114" s="56">
        <v>0</v>
      </c>
      <c r="E114" s="58">
        <v>0</v>
      </c>
      <c r="F114" s="56">
        <v>0</v>
      </c>
      <c r="G114" s="58">
        <v>0</v>
      </c>
      <c r="H114" s="58">
        <v>0</v>
      </c>
      <c r="I114" s="58">
        <v>0</v>
      </c>
      <c r="J114" s="57">
        <f t="shared" si="10"/>
        <v>0</v>
      </c>
      <c r="K114" s="57">
        <f t="shared" si="11"/>
        <v>0</v>
      </c>
      <c r="L114" s="57">
        <f t="shared" si="12"/>
        <v>0</v>
      </c>
      <c r="M114" s="57">
        <f t="shared" si="13"/>
        <v>0</v>
      </c>
    </row>
    <row r="115" spans="1:13" ht="15" customHeight="1" x14ac:dyDescent="0.2">
      <c r="A115" s="57" t="s">
        <v>24</v>
      </c>
      <c r="B115" s="58">
        <v>0</v>
      </c>
      <c r="C115" s="58">
        <v>0</v>
      </c>
      <c r="D115" s="56">
        <v>0</v>
      </c>
      <c r="E115" s="58">
        <v>0</v>
      </c>
      <c r="F115" s="56">
        <v>0</v>
      </c>
      <c r="G115" s="58">
        <v>0</v>
      </c>
      <c r="H115" s="58">
        <v>0</v>
      </c>
      <c r="I115" s="58">
        <v>0</v>
      </c>
      <c r="J115" s="57">
        <f t="shared" si="10"/>
        <v>0</v>
      </c>
      <c r="K115" s="57">
        <f t="shared" si="11"/>
        <v>0</v>
      </c>
      <c r="L115" s="57">
        <f t="shared" si="12"/>
        <v>0</v>
      </c>
      <c r="M115" s="57">
        <f t="shared" si="13"/>
        <v>0</v>
      </c>
    </row>
    <row r="116" spans="1:13" ht="15" customHeight="1" x14ac:dyDescent="0.2">
      <c r="A116" s="57" t="s">
        <v>25</v>
      </c>
      <c r="B116" s="58">
        <v>0</v>
      </c>
      <c r="C116" s="58">
        <v>0</v>
      </c>
      <c r="D116" s="56">
        <v>0</v>
      </c>
      <c r="E116" s="58">
        <v>0</v>
      </c>
      <c r="F116" s="56">
        <v>0</v>
      </c>
      <c r="G116" s="58">
        <v>0</v>
      </c>
      <c r="H116" s="58">
        <v>0</v>
      </c>
      <c r="I116" s="58">
        <v>0</v>
      </c>
      <c r="J116" s="57">
        <f t="shared" si="10"/>
        <v>0</v>
      </c>
      <c r="K116" s="57">
        <f t="shared" si="11"/>
        <v>0</v>
      </c>
      <c r="L116" s="57">
        <f t="shared" si="12"/>
        <v>0</v>
      </c>
      <c r="M116" s="57">
        <f t="shared" si="13"/>
        <v>0</v>
      </c>
    </row>
    <row r="117" spans="1:13" ht="15" customHeight="1" x14ac:dyDescent="0.2">
      <c r="A117" s="57" t="s">
        <v>26</v>
      </c>
      <c r="B117" s="58">
        <v>0</v>
      </c>
      <c r="C117" s="58">
        <v>0</v>
      </c>
      <c r="D117" s="56">
        <v>0</v>
      </c>
      <c r="E117" s="58">
        <v>0</v>
      </c>
      <c r="F117" s="56">
        <v>0</v>
      </c>
      <c r="G117" s="58">
        <v>0</v>
      </c>
      <c r="H117" s="58">
        <v>0</v>
      </c>
      <c r="I117" s="58">
        <v>0</v>
      </c>
      <c r="J117" s="57">
        <f t="shared" si="10"/>
        <v>0</v>
      </c>
      <c r="K117" s="57">
        <f t="shared" si="11"/>
        <v>0</v>
      </c>
      <c r="L117" s="57">
        <f t="shared" si="12"/>
        <v>0</v>
      </c>
      <c r="M117" s="57">
        <f t="shared" si="13"/>
        <v>0</v>
      </c>
    </row>
    <row r="118" spans="1:13" ht="15" customHeight="1" x14ac:dyDescent="0.2">
      <c r="A118" s="57" t="s">
        <v>27</v>
      </c>
      <c r="B118" s="58">
        <v>0</v>
      </c>
      <c r="C118" s="58">
        <v>0</v>
      </c>
      <c r="D118" s="56">
        <v>0</v>
      </c>
      <c r="E118" s="58">
        <v>0</v>
      </c>
      <c r="F118" s="56">
        <v>0</v>
      </c>
      <c r="G118" s="58">
        <v>0</v>
      </c>
      <c r="H118" s="58">
        <v>0</v>
      </c>
      <c r="I118" s="58">
        <v>0</v>
      </c>
      <c r="J118" s="57">
        <f t="shared" si="10"/>
        <v>0</v>
      </c>
      <c r="K118" s="57">
        <f t="shared" si="11"/>
        <v>0</v>
      </c>
      <c r="L118" s="57">
        <f t="shared" si="12"/>
        <v>0</v>
      </c>
      <c r="M118" s="57">
        <f t="shared" si="13"/>
        <v>0</v>
      </c>
    </row>
    <row r="119" spans="1:13" ht="15" customHeight="1" x14ac:dyDescent="0.2">
      <c r="A119" s="57" t="s">
        <v>28</v>
      </c>
      <c r="B119" s="58">
        <v>0</v>
      </c>
      <c r="C119" s="58">
        <v>0</v>
      </c>
      <c r="D119" s="56">
        <v>0</v>
      </c>
      <c r="E119" s="58">
        <v>0</v>
      </c>
      <c r="F119" s="56">
        <v>0</v>
      </c>
      <c r="G119" s="58">
        <v>0</v>
      </c>
      <c r="H119" s="58">
        <v>0</v>
      </c>
      <c r="I119" s="58">
        <v>0</v>
      </c>
      <c r="J119" s="57">
        <f t="shared" si="10"/>
        <v>0</v>
      </c>
      <c r="K119" s="57">
        <f t="shared" si="11"/>
        <v>0</v>
      </c>
      <c r="L119" s="57">
        <f t="shared" si="12"/>
        <v>0</v>
      </c>
      <c r="M119" s="57">
        <f t="shared" si="13"/>
        <v>0</v>
      </c>
    </row>
    <row r="120" spans="1:13" ht="15" customHeight="1" x14ac:dyDescent="0.2">
      <c r="A120" s="57" t="s">
        <v>29</v>
      </c>
      <c r="B120" s="58">
        <v>0</v>
      </c>
      <c r="C120" s="58">
        <v>0</v>
      </c>
      <c r="D120" s="56">
        <v>0</v>
      </c>
      <c r="E120" s="58">
        <v>0</v>
      </c>
      <c r="F120" s="56">
        <v>0</v>
      </c>
      <c r="G120" s="58">
        <v>0</v>
      </c>
      <c r="H120" s="58">
        <v>0</v>
      </c>
      <c r="I120" s="58">
        <v>0</v>
      </c>
      <c r="J120" s="57">
        <f t="shared" si="10"/>
        <v>0</v>
      </c>
      <c r="K120" s="57">
        <f t="shared" si="11"/>
        <v>0</v>
      </c>
      <c r="L120" s="57">
        <f t="shared" si="12"/>
        <v>0</v>
      </c>
      <c r="M120" s="57">
        <f t="shared" si="13"/>
        <v>0</v>
      </c>
    </row>
    <row r="121" spans="1:13" s="33" customFormat="1" ht="15" customHeight="1" x14ac:dyDescent="0.2">
      <c r="A121" s="33" t="s">
        <v>30</v>
      </c>
      <c r="B121" s="34">
        <v>0</v>
      </c>
      <c r="C121" s="34">
        <v>0</v>
      </c>
      <c r="D121" s="56">
        <v>0</v>
      </c>
      <c r="E121" s="34">
        <v>0</v>
      </c>
      <c r="F121" s="34">
        <v>1</v>
      </c>
      <c r="G121" s="34">
        <v>0</v>
      </c>
      <c r="H121" s="34">
        <v>0</v>
      </c>
      <c r="I121" s="34">
        <v>0</v>
      </c>
      <c r="J121" s="33">
        <f t="shared" si="10"/>
        <v>0</v>
      </c>
      <c r="K121" s="33">
        <f t="shared" si="11"/>
        <v>0</v>
      </c>
      <c r="L121" s="33">
        <f t="shared" si="12"/>
        <v>1</v>
      </c>
      <c r="M121" s="33">
        <f t="shared" si="13"/>
        <v>0</v>
      </c>
    </row>
    <row r="122" spans="1:13" ht="15" customHeight="1" x14ac:dyDescent="0.2">
      <c r="A122" s="57" t="s">
        <v>31</v>
      </c>
      <c r="B122" s="58">
        <v>0</v>
      </c>
      <c r="C122" s="58">
        <v>0</v>
      </c>
      <c r="D122" s="56">
        <v>0</v>
      </c>
      <c r="E122" s="58">
        <v>1</v>
      </c>
      <c r="F122" s="56">
        <v>0</v>
      </c>
      <c r="G122" s="58">
        <v>0</v>
      </c>
      <c r="H122" s="58">
        <v>0</v>
      </c>
      <c r="I122" s="58">
        <v>0</v>
      </c>
      <c r="J122" s="57">
        <f t="shared" si="10"/>
        <v>1</v>
      </c>
      <c r="K122" s="57">
        <f t="shared" si="11"/>
        <v>0</v>
      </c>
      <c r="L122" s="57">
        <f t="shared" si="12"/>
        <v>0</v>
      </c>
      <c r="M122" s="57">
        <f t="shared" si="13"/>
        <v>0</v>
      </c>
    </row>
    <row r="123" spans="1:13" ht="15" customHeight="1" x14ac:dyDescent="0.2">
      <c r="A123" s="57" t="s">
        <v>32</v>
      </c>
      <c r="B123" s="58">
        <v>0</v>
      </c>
      <c r="C123" s="58">
        <v>0</v>
      </c>
      <c r="D123" s="56">
        <v>0</v>
      </c>
      <c r="E123" s="58">
        <v>0</v>
      </c>
      <c r="F123" s="56">
        <v>0</v>
      </c>
      <c r="G123" s="58">
        <v>0</v>
      </c>
      <c r="H123" s="58">
        <v>0</v>
      </c>
      <c r="I123" s="58">
        <v>0</v>
      </c>
      <c r="J123" s="57">
        <f t="shared" si="10"/>
        <v>0</v>
      </c>
      <c r="K123" s="57">
        <f t="shared" si="11"/>
        <v>0</v>
      </c>
      <c r="L123" s="57">
        <f t="shared" si="12"/>
        <v>0</v>
      </c>
      <c r="M123" s="57">
        <f t="shared" si="13"/>
        <v>0</v>
      </c>
    </row>
    <row r="124" spans="1:13" ht="15" customHeight="1" x14ac:dyDescent="0.2">
      <c r="A124" s="57" t="s">
        <v>33</v>
      </c>
      <c r="B124" s="58">
        <v>0</v>
      </c>
      <c r="C124" s="58">
        <v>0</v>
      </c>
      <c r="D124" s="56">
        <v>0</v>
      </c>
      <c r="E124" s="58">
        <v>0</v>
      </c>
      <c r="F124" s="56">
        <v>0</v>
      </c>
      <c r="G124" s="58">
        <v>0</v>
      </c>
      <c r="H124" s="58">
        <v>0</v>
      </c>
      <c r="I124" s="58">
        <v>0</v>
      </c>
      <c r="J124" s="57">
        <f t="shared" si="10"/>
        <v>0</v>
      </c>
      <c r="K124" s="57">
        <f t="shared" si="11"/>
        <v>0</v>
      </c>
      <c r="L124" s="57">
        <f t="shared" si="12"/>
        <v>0</v>
      </c>
      <c r="M124" s="57">
        <f t="shared" si="13"/>
        <v>0</v>
      </c>
    </row>
    <row r="125" spans="1:13" ht="15" customHeight="1" x14ac:dyDescent="0.2">
      <c r="A125" s="57" t="s">
        <v>34</v>
      </c>
      <c r="B125" s="58">
        <v>0</v>
      </c>
      <c r="C125" s="58">
        <v>0</v>
      </c>
      <c r="D125" s="56">
        <v>0</v>
      </c>
      <c r="E125" s="58">
        <v>0</v>
      </c>
      <c r="F125" s="56">
        <v>0</v>
      </c>
      <c r="G125" s="58">
        <v>1</v>
      </c>
      <c r="H125" s="58">
        <v>0</v>
      </c>
      <c r="I125" s="58">
        <v>0</v>
      </c>
      <c r="J125" s="57">
        <f t="shared" si="10"/>
        <v>1</v>
      </c>
      <c r="K125" s="57">
        <f t="shared" si="11"/>
        <v>0</v>
      </c>
      <c r="L125" s="57">
        <f t="shared" si="12"/>
        <v>0</v>
      </c>
      <c r="M125" s="57">
        <f t="shared" si="13"/>
        <v>0</v>
      </c>
    </row>
    <row r="126" spans="1:13" ht="15" customHeight="1" x14ac:dyDescent="0.2">
      <c r="A126" s="57" t="s">
        <v>35</v>
      </c>
      <c r="B126" s="58">
        <v>0</v>
      </c>
      <c r="C126" s="58">
        <v>0</v>
      </c>
      <c r="D126" s="56">
        <v>0</v>
      </c>
      <c r="E126" s="58">
        <v>0</v>
      </c>
      <c r="F126" s="56">
        <v>0</v>
      </c>
      <c r="G126" s="58">
        <v>0</v>
      </c>
      <c r="H126" s="58">
        <v>0</v>
      </c>
      <c r="I126" s="58">
        <v>0</v>
      </c>
      <c r="J126" s="57">
        <f t="shared" si="10"/>
        <v>0</v>
      </c>
      <c r="K126" s="57">
        <f t="shared" si="11"/>
        <v>0</v>
      </c>
      <c r="L126" s="57">
        <f t="shared" si="12"/>
        <v>0</v>
      </c>
      <c r="M126" s="57">
        <f t="shared" si="13"/>
        <v>0</v>
      </c>
    </row>
    <row r="127" spans="1:13" ht="15" customHeight="1" x14ac:dyDescent="0.2">
      <c r="A127" s="57" t="s">
        <v>36</v>
      </c>
      <c r="B127" s="58">
        <v>0</v>
      </c>
      <c r="C127" s="58">
        <v>0</v>
      </c>
      <c r="D127" s="56">
        <v>0</v>
      </c>
      <c r="E127" s="58">
        <v>0</v>
      </c>
      <c r="F127" s="56">
        <v>0</v>
      </c>
      <c r="G127" s="58">
        <v>0</v>
      </c>
      <c r="H127" s="58">
        <v>0</v>
      </c>
      <c r="I127" s="58">
        <v>0</v>
      </c>
      <c r="J127" s="57">
        <f t="shared" si="10"/>
        <v>0</v>
      </c>
      <c r="K127" s="57">
        <f t="shared" si="11"/>
        <v>0</v>
      </c>
      <c r="L127" s="57">
        <f t="shared" si="12"/>
        <v>0</v>
      </c>
      <c r="M127" s="57">
        <f t="shared" si="13"/>
        <v>0</v>
      </c>
    </row>
    <row r="128" spans="1:13" ht="15" customHeight="1" x14ac:dyDescent="0.2">
      <c r="A128" s="57" t="s">
        <v>37</v>
      </c>
      <c r="B128" s="58">
        <v>0</v>
      </c>
      <c r="C128" s="58">
        <v>1</v>
      </c>
      <c r="D128" s="56">
        <v>0</v>
      </c>
      <c r="E128" s="58">
        <v>0</v>
      </c>
      <c r="F128" s="56">
        <v>0</v>
      </c>
      <c r="G128" s="58">
        <v>0</v>
      </c>
      <c r="H128" s="58">
        <v>0</v>
      </c>
      <c r="I128" s="58">
        <v>0</v>
      </c>
      <c r="J128" s="57">
        <f t="shared" si="10"/>
        <v>0</v>
      </c>
      <c r="K128" s="57">
        <f t="shared" si="11"/>
        <v>1</v>
      </c>
      <c r="L128" s="57">
        <f t="shared" si="12"/>
        <v>0</v>
      </c>
      <c r="M128" s="57">
        <f t="shared" si="13"/>
        <v>0</v>
      </c>
    </row>
    <row r="129" spans="1:13" ht="15" customHeight="1" x14ac:dyDescent="0.2">
      <c r="A129" s="57" t="s">
        <v>38</v>
      </c>
      <c r="B129" s="58">
        <v>0</v>
      </c>
      <c r="C129" s="58">
        <v>0</v>
      </c>
      <c r="D129" s="56">
        <v>0</v>
      </c>
      <c r="E129" s="58">
        <v>0</v>
      </c>
      <c r="F129" s="56">
        <v>0</v>
      </c>
      <c r="G129" s="58">
        <v>0</v>
      </c>
      <c r="H129" s="58">
        <v>0</v>
      </c>
      <c r="I129" s="58">
        <v>0</v>
      </c>
      <c r="J129" s="57">
        <f t="shared" si="10"/>
        <v>0</v>
      </c>
      <c r="K129" s="57">
        <f t="shared" si="11"/>
        <v>0</v>
      </c>
      <c r="L129" s="57">
        <f t="shared" si="12"/>
        <v>0</v>
      </c>
      <c r="M129" s="57">
        <f t="shared" si="13"/>
        <v>0</v>
      </c>
    </row>
    <row r="130" spans="1:13" s="33" customFormat="1" ht="15" customHeight="1" x14ac:dyDescent="0.2">
      <c r="A130" s="33" t="s">
        <v>39</v>
      </c>
      <c r="B130" s="34">
        <v>0</v>
      </c>
      <c r="C130" s="34">
        <v>0</v>
      </c>
      <c r="D130" s="34">
        <v>1</v>
      </c>
      <c r="E130" s="34">
        <v>1</v>
      </c>
      <c r="F130" s="34">
        <v>0</v>
      </c>
      <c r="G130" s="34">
        <v>0</v>
      </c>
      <c r="H130" s="34">
        <v>0</v>
      </c>
      <c r="I130" s="34">
        <v>0</v>
      </c>
      <c r="J130" s="33">
        <f t="shared" si="10"/>
        <v>1</v>
      </c>
      <c r="K130" s="33">
        <f t="shared" si="11"/>
        <v>0</v>
      </c>
      <c r="L130" s="33">
        <f t="shared" si="12"/>
        <v>1</v>
      </c>
      <c r="M130" s="33">
        <f t="shared" si="13"/>
        <v>0</v>
      </c>
    </row>
    <row r="131" spans="1:13" s="33" customFormat="1" ht="15" customHeight="1" x14ac:dyDescent="0.2">
      <c r="A131" s="33" t="s">
        <v>40</v>
      </c>
      <c r="B131" s="34">
        <v>0</v>
      </c>
      <c r="C131" s="34">
        <v>0</v>
      </c>
      <c r="D131" s="56">
        <v>0</v>
      </c>
      <c r="E131" s="34">
        <v>0</v>
      </c>
      <c r="F131" s="34">
        <v>1</v>
      </c>
      <c r="G131" s="34">
        <v>0</v>
      </c>
      <c r="H131" s="34">
        <v>0</v>
      </c>
      <c r="I131" s="34">
        <v>0</v>
      </c>
      <c r="J131" s="33">
        <f t="shared" si="10"/>
        <v>0</v>
      </c>
      <c r="K131" s="33">
        <f t="shared" si="11"/>
        <v>0</v>
      </c>
      <c r="L131" s="33">
        <f t="shared" si="12"/>
        <v>1</v>
      </c>
      <c r="M131" s="33">
        <f t="shared" si="13"/>
        <v>0</v>
      </c>
    </row>
    <row r="132" spans="1:13" ht="15" customHeight="1" x14ac:dyDescent="0.2">
      <c r="A132" s="57" t="s">
        <v>41</v>
      </c>
      <c r="B132" s="58">
        <v>0</v>
      </c>
      <c r="C132" s="58">
        <v>0</v>
      </c>
      <c r="D132" s="56">
        <v>0</v>
      </c>
      <c r="E132" s="58">
        <v>0</v>
      </c>
      <c r="F132" s="56">
        <v>0</v>
      </c>
      <c r="G132" s="58">
        <v>1</v>
      </c>
      <c r="H132" s="58">
        <v>0</v>
      </c>
      <c r="I132" s="58">
        <v>1</v>
      </c>
      <c r="J132" s="57">
        <f t="shared" si="10"/>
        <v>1</v>
      </c>
      <c r="K132" s="57">
        <f t="shared" si="11"/>
        <v>1</v>
      </c>
      <c r="L132" s="57">
        <f t="shared" si="12"/>
        <v>0</v>
      </c>
      <c r="M132" s="57">
        <f t="shared" si="13"/>
        <v>0</v>
      </c>
    </row>
    <row r="133" spans="1:13" ht="15" customHeight="1" x14ac:dyDescent="0.2">
      <c r="A133" s="57" t="s">
        <v>42</v>
      </c>
      <c r="B133" s="58">
        <v>0</v>
      </c>
      <c r="C133" s="58">
        <v>0</v>
      </c>
      <c r="D133" s="56">
        <v>0</v>
      </c>
      <c r="E133" s="58">
        <v>0</v>
      </c>
      <c r="F133" s="56">
        <v>0</v>
      </c>
      <c r="G133" s="58">
        <v>0</v>
      </c>
      <c r="H133" s="58">
        <v>0</v>
      </c>
      <c r="I133" s="58">
        <v>0</v>
      </c>
      <c r="J133" s="57">
        <f t="shared" si="10"/>
        <v>0</v>
      </c>
      <c r="K133" s="57">
        <f t="shared" si="11"/>
        <v>0</v>
      </c>
      <c r="L133" s="57">
        <f t="shared" si="12"/>
        <v>0</v>
      </c>
      <c r="M133" s="57">
        <f t="shared" si="13"/>
        <v>0</v>
      </c>
    </row>
    <row r="134" spans="1:13" s="33" customFormat="1" ht="15" customHeight="1" x14ac:dyDescent="0.2">
      <c r="A134" s="33" t="s">
        <v>43</v>
      </c>
      <c r="B134" s="34">
        <v>0</v>
      </c>
      <c r="C134" s="34">
        <v>0</v>
      </c>
      <c r="D134" s="56">
        <v>0</v>
      </c>
      <c r="E134" s="34">
        <v>0</v>
      </c>
      <c r="F134" s="34">
        <v>1</v>
      </c>
      <c r="G134" s="34">
        <v>0</v>
      </c>
      <c r="H134" s="34">
        <v>0</v>
      </c>
      <c r="I134" s="34">
        <v>0</v>
      </c>
      <c r="J134" s="33">
        <f t="shared" si="10"/>
        <v>0</v>
      </c>
      <c r="K134" s="33">
        <f t="shared" si="11"/>
        <v>0</v>
      </c>
      <c r="L134" s="33">
        <f t="shared" si="12"/>
        <v>1</v>
      </c>
      <c r="M134" s="33">
        <f t="shared" si="13"/>
        <v>0</v>
      </c>
    </row>
    <row r="135" spans="1:13" ht="15" customHeight="1" x14ac:dyDescent="0.2">
      <c r="A135" s="57" t="s">
        <v>44</v>
      </c>
      <c r="B135" s="58">
        <v>0</v>
      </c>
      <c r="C135" s="58">
        <v>0</v>
      </c>
      <c r="D135" s="56">
        <v>0</v>
      </c>
      <c r="E135" s="58">
        <v>0</v>
      </c>
      <c r="F135" s="56">
        <v>0</v>
      </c>
      <c r="G135" s="58">
        <v>0</v>
      </c>
      <c r="H135" s="58">
        <v>0</v>
      </c>
      <c r="I135" s="58">
        <v>0</v>
      </c>
      <c r="J135" s="57">
        <f t="shared" si="10"/>
        <v>0</v>
      </c>
      <c r="K135" s="57">
        <f t="shared" si="11"/>
        <v>0</v>
      </c>
      <c r="L135" s="57">
        <f t="shared" si="12"/>
        <v>0</v>
      </c>
      <c r="M135" s="57">
        <f t="shared" si="13"/>
        <v>0</v>
      </c>
    </row>
    <row r="136" spans="1:13" s="33" customFormat="1" ht="15" customHeight="1" x14ac:dyDescent="0.2">
      <c r="A136" s="33" t="s">
        <v>45</v>
      </c>
      <c r="B136" s="34">
        <v>0</v>
      </c>
      <c r="C136" s="34">
        <v>1</v>
      </c>
      <c r="D136" s="56">
        <v>0</v>
      </c>
      <c r="E136" s="34">
        <v>0</v>
      </c>
      <c r="F136" s="34">
        <v>1</v>
      </c>
      <c r="G136" s="34">
        <v>1</v>
      </c>
      <c r="H136" s="34">
        <v>0</v>
      </c>
      <c r="I136" s="34">
        <v>0</v>
      </c>
      <c r="J136" s="33">
        <f t="shared" si="10"/>
        <v>1</v>
      </c>
      <c r="K136" s="33">
        <f t="shared" si="11"/>
        <v>1</v>
      </c>
      <c r="L136" s="33">
        <f t="shared" si="12"/>
        <v>1</v>
      </c>
      <c r="M136" s="33">
        <f t="shared" si="13"/>
        <v>0</v>
      </c>
    </row>
    <row r="137" spans="1:13" s="33" customFormat="1" ht="15" customHeight="1" x14ac:dyDescent="0.2">
      <c r="A137" s="33" t="s">
        <v>46</v>
      </c>
      <c r="B137" s="34">
        <v>0</v>
      </c>
      <c r="C137" s="34">
        <v>0</v>
      </c>
      <c r="D137" s="34">
        <v>1</v>
      </c>
      <c r="E137" s="34">
        <v>2</v>
      </c>
      <c r="F137" s="34">
        <v>0</v>
      </c>
      <c r="G137" s="34">
        <v>0</v>
      </c>
      <c r="H137" s="34">
        <v>0</v>
      </c>
      <c r="I137" s="34">
        <v>0</v>
      </c>
      <c r="J137" s="33">
        <f t="shared" si="10"/>
        <v>2</v>
      </c>
      <c r="K137" s="33">
        <f t="shared" si="11"/>
        <v>0</v>
      </c>
      <c r="L137" s="33">
        <f t="shared" si="12"/>
        <v>1</v>
      </c>
      <c r="M137" s="33">
        <f t="shared" si="13"/>
        <v>0</v>
      </c>
    </row>
    <row r="138" spans="1:13" s="33" customFormat="1" ht="15" customHeight="1" x14ac:dyDescent="0.2">
      <c r="A138" s="33" t="s">
        <v>47</v>
      </c>
      <c r="B138" s="34">
        <v>0</v>
      </c>
      <c r="C138" s="34">
        <v>0</v>
      </c>
      <c r="D138" s="56">
        <v>0</v>
      </c>
      <c r="E138" s="34">
        <v>1</v>
      </c>
      <c r="F138" s="34">
        <v>1</v>
      </c>
      <c r="G138" s="34">
        <v>0</v>
      </c>
      <c r="H138" s="34">
        <v>0</v>
      </c>
      <c r="I138" s="34">
        <v>0</v>
      </c>
      <c r="J138" s="33">
        <f t="shared" si="10"/>
        <v>1</v>
      </c>
      <c r="K138" s="33">
        <f t="shared" ref="K138:K169" si="14">SUM(C138+I138)</f>
        <v>0</v>
      </c>
      <c r="L138" s="33">
        <f t="shared" ref="L138:L169" si="15">SUM(D138+F138)</f>
        <v>1</v>
      </c>
      <c r="M138" s="33">
        <f t="shared" ref="M138:M169" si="16">SUM(B138+H138)</f>
        <v>0</v>
      </c>
    </row>
    <row r="139" spans="1:13" ht="15" customHeight="1" x14ac:dyDescent="0.2">
      <c r="A139" s="57" t="s">
        <v>48</v>
      </c>
      <c r="B139" s="58">
        <v>0</v>
      </c>
      <c r="C139" s="58">
        <v>1</v>
      </c>
      <c r="D139" s="56">
        <v>0</v>
      </c>
      <c r="E139" s="58">
        <v>1</v>
      </c>
      <c r="F139" s="56">
        <v>0</v>
      </c>
      <c r="G139" s="58">
        <v>0</v>
      </c>
      <c r="H139" s="58">
        <v>0</v>
      </c>
      <c r="I139" s="58">
        <v>0</v>
      </c>
      <c r="J139" s="57">
        <f t="shared" ref="J139:J201" si="17">SUM(E139+G139)</f>
        <v>1</v>
      </c>
      <c r="K139" s="57">
        <f t="shared" si="14"/>
        <v>1</v>
      </c>
      <c r="L139" s="57">
        <f t="shared" si="15"/>
        <v>0</v>
      </c>
      <c r="M139" s="57">
        <f t="shared" si="16"/>
        <v>0</v>
      </c>
    </row>
    <row r="140" spans="1:13" ht="15" customHeight="1" x14ac:dyDescent="0.2">
      <c r="A140" s="57" t="s">
        <v>49</v>
      </c>
      <c r="B140" s="58">
        <v>0</v>
      </c>
      <c r="C140" s="58">
        <v>0</v>
      </c>
      <c r="D140" s="56">
        <v>0</v>
      </c>
      <c r="E140" s="58">
        <v>1</v>
      </c>
      <c r="F140" s="56">
        <v>0</v>
      </c>
      <c r="G140" s="58">
        <v>1</v>
      </c>
      <c r="H140" s="58">
        <v>0</v>
      </c>
      <c r="I140" s="58">
        <v>0</v>
      </c>
      <c r="J140" s="57">
        <f t="shared" si="17"/>
        <v>2</v>
      </c>
      <c r="K140" s="57">
        <f t="shared" si="14"/>
        <v>0</v>
      </c>
      <c r="L140" s="57">
        <f t="shared" si="15"/>
        <v>0</v>
      </c>
      <c r="M140" s="57">
        <f t="shared" si="16"/>
        <v>0</v>
      </c>
    </row>
    <row r="141" spans="1:13" ht="15" customHeight="1" x14ac:dyDescent="0.2">
      <c r="A141" s="57" t="s">
        <v>50</v>
      </c>
      <c r="B141" s="58">
        <v>0</v>
      </c>
      <c r="C141" s="58">
        <v>0</v>
      </c>
      <c r="D141" s="56">
        <v>0</v>
      </c>
      <c r="E141" s="58">
        <v>1</v>
      </c>
      <c r="F141" s="56">
        <v>0</v>
      </c>
      <c r="G141" s="58">
        <v>0</v>
      </c>
      <c r="H141" s="58">
        <v>0</v>
      </c>
      <c r="I141" s="58">
        <v>0</v>
      </c>
      <c r="J141" s="57">
        <f t="shared" si="17"/>
        <v>1</v>
      </c>
      <c r="K141" s="57">
        <f t="shared" si="14"/>
        <v>0</v>
      </c>
      <c r="L141" s="57">
        <f t="shared" si="15"/>
        <v>0</v>
      </c>
      <c r="M141" s="57">
        <f t="shared" si="16"/>
        <v>0</v>
      </c>
    </row>
    <row r="142" spans="1:13" ht="15" customHeight="1" x14ac:dyDescent="0.2">
      <c r="A142" s="57" t="s">
        <v>51</v>
      </c>
      <c r="B142" s="58">
        <v>0</v>
      </c>
      <c r="C142" s="58">
        <v>0</v>
      </c>
      <c r="D142" s="56">
        <v>0</v>
      </c>
      <c r="E142" s="58">
        <v>0</v>
      </c>
      <c r="F142" s="56">
        <v>0</v>
      </c>
      <c r="G142" s="58">
        <v>1</v>
      </c>
      <c r="H142" s="58">
        <v>0</v>
      </c>
      <c r="I142" s="58">
        <v>0</v>
      </c>
      <c r="J142" s="57">
        <f t="shared" si="17"/>
        <v>1</v>
      </c>
      <c r="K142" s="57">
        <f t="shared" si="14"/>
        <v>0</v>
      </c>
      <c r="L142" s="57">
        <f t="shared" si="15"/>
        <v>0</v>
      </c>
      <c r="M142" s="57">
        <f t="shared" si="16"/>
        <v>0</v>
      </c>
    </row>
    <row r="143" spans="1:13" ht="15" customHeight="1" x14ac:dyDescent="0.2">
      <c r="A143" s="57" t="s">
        <v>52</v>
      </c>
      <c r="B143" s="58">
        <v>0</v>
      </c>
      <c r="C143" s="58">
        <v>0</v>
      </c>
      <c r="D143" s="56">
        <v>0</v>
      </c>
      <c r="E143" s="58">
        <v>0</v>
      </c>
      <c r="F143" s="56">
        <v>0</v>
      </c>
      <c r="G143" s="58">
        <v>1</v>
      </c>
      <c r="H143" s="58">
        <v>0</v>
      </c>
      <c r="I143" s="58">
        <v>0</v>
      </c>
      <c r="J143" s="57">
        <f t="shared" si="17"/>
        <v>1</v>
      </c>
      <c r="K143" s="57">
        <f t="shared" si="14"/>
        <v>0</v>
      </c>
      <c r="L143" s="57">
        <f t="shared" si="15"/>
        <v>0</v>
      </c>
      <c r="M143" s="57">
        <f t="shared" si="16"/>
        <v>0</v>
      </c>
    </row>
    <row r="144" spans="1:13" ht="15" customHeight="1" x14ac:dyDescent="0.2">
      <c r="A144" s="57" t="s">
        <v>53</v>
      </c>
      <c r="B144" s="58">
        <v>0</v>
      </c>
      <c r="C144" s="58">
        <v>0</v>
      </c>
      <c r="D144" s="56">
        <v>0</v>
      </c>
      <c r="E144" s="58">
        <v>0</v>
      </c>
      <c r="F144" s="56">
        <v>0</v>
      </c>
      <c r="G144" s="58">
        <v>1</v>
      </c>
      <c r="H144" s="58">
        <v>0</v>
      </c>
      <c r="I144" s="58">
        <v>0</v>
      </c>
      <c r="J144" s="57">
        <f t="shared" si="17"/>
        <v>1</v>
      </c>
      <c r="K144" s="57">
        <f t="shared" si="14"/>
        <v>0</v>
      </c>
      <c r="L144" s="57">
        <f t="shared" si="15"/>
        <v>0</v>
      </c>
      <c r="M144" s="57">
        <f t="shared" si="16"/>
        <v>0</v>
      </c>
    </row>
    <row r="145" spans="1:13" ht="15" customHeight="1" x14ac:dyDescent="0.2">
      <c r="A145" s="57" t="s">
        <v>54</v>
      </c>
      <c r="B145" s="58">
        <v>0</v>
      </c>
      <c r="C145" s="58">
        <v>0</v>
      </c>
      <c r="D145" s="56">
        <v>0</v>
      </c>
      <c r="E145" s="58">
        <v>0</v>
      </c>
      <c r="F145" s="56">
        <v>0</v>
      </c>
      <c r="G145" s="58">
        <v>0</v>
      </c>
      <c r="H145" s="58">
        <v>0</v>
      </c>
      <c r="I145" s="58">
        <v>0</v>
      </c>
      <c r="J145" s="57">
        <f t="shared" si="17"/>
        <v>0</v>
      </c>
      <c r="K145" s="57">
        <f t="shared" si="14"/>
        <v>0</v>
      </c>
      <c r="L145" s="57">
        <f t="shared" si="15"/>
        <v>0</v>
      </c>
      <c r="M145" s="57">
        <f t="shared" si="16"/>
        <v>0</v>
      </c>
    </row>
    <row r="146" spans="1:13" ht="15" customHeight="1" x14ac:dyDescent="0.2">
      <c r="A146" s="57" t="s">
        <v>55</v>
      </c>
      <c r="B146" s="58">
        <v>0</v>
      </c>
      <c r="C146" s="58">
        <v>0</v>
      </c>
      <c r="D146" s="56">
        <v>0</v>
      </c>
      <c r="E146" s="58">
        <v>0</v>
      </c>
      <c r="F146" s="56">
        <v>0</v>
      </c>
      <c r="G146" s="58">
        <v>0</v>
      </c>
      <c r="H146" s="58">
        <v>0</v>
      </c>
      <c r="I146" s="58">
        <v>0</v>
      </c>
      <c r="J146" s="57">
        <f t="shared" si="17"/>
        <v>0</v>
      </c>
      <c r="K146" s="57">
        <f t="shared" si="14"/>
        <v>0</v>
      </c>
      <c r="L146" s="57">
        <f t="shared" si="15"/>
        <v>0</v>
      </c>
      <c r="M146" s="57">
        <f t="shared" si="16"/>
        <v>0</v>
      </c>
    </row>
    <row r="147" spans="1:13" ht="15" customHeight="1" x14ac:dyDescent="0.2">
      <c r="A147" s="57" t="s">
        <v>56</v>
      </c>
      <c r="B147" s="58">
        <v>0</v>
      </c>
      <c r="C147" s="58">
        <v>2</v>
      </c>
      <c r="D147" s="56">
        <v>0</v>
      </c>
      <c r="E147" s="58">
        <v>0</v>
      </c>
      <c r="F147" s="56">
        <v>0</v>
      </c>
      <c r="G147" s="58">
        <v>0</v>
      </c>
      <c r="H147" s="58">
        <v>0</v>
      </c>
      <c r="I147" s="58">
        <v>0</v>
      </c>
      <c r="J147" s="57">
        <f t="shared" si="17"/>
        <v>0</v>
      </c>
      <c r="K147" s="57">
        <f t="shared" si="14"/>
        <v>2</v>
      </c>
      <c r="L147" s="57">
        <f t="shared" si="15"/>
        <v>0</v>
      </c>
      <c r="M147" s="57">
        <f t="shared" si="16"/>
        <v>0</v>
      </c>
    </row>
    <row r="148" spans="1:13" ht="15" customHeight="1" x14ac:dyDescent="0.2">
      <c r="A148" s="57" t="s">
        <v>57</v>
      </c>
      <c r="B148" s="58">
        <v>0</v>
      </c>
      <c r="C148" s="58">
        <v>0</v>
      </c>
      <c r="D148" s="56">
        <v>0</v>
      </c>
      <c r="E148" s="58">
        <v>0</v>
      </c>
      <c r="F148" s="56">
        <v>0</v>
      </c>
      <c r="G148" s="58">
        <v>0</v>
      </c>
      <c r="H148" s="58">
        <v>0</v>
      </c>
      <c r="I148" s="58">
        <v>0</v>
      </c>
      <c r="J148" s="57">
        <f t="shared" si="17"/>
        <v>0</v>
      </c>
      <c r="K148" s="57">
        <f t="shared" si="14"/>
        <v>0</v>
      </c>
      <c r="L148" s="57">
        <f t="shared" si="15"/>
        <v>0</v>
      </c>
      <c r="M148" s="57">
        <f t="shared" si="16"/>
        <v>0</v>
      </c>
    </row>
    <row r="149" spans="1:13" ht="15" customHeight="1" x14ac:dyDescent="0.2">
      <c r="A149" s="57" t="s">
        <v>58</v>
      </c>
      <c r="B149" s="58">
        <v>0</v>
      </c>
      <c r="C149" s="58">
        <v>0</v>
      </c>
      <c r="D149" s="56">
        <v>0</v>
      </c>
      <c r="E149" s="58">
        <v>0</v>
      </c>
      <c r="F149" s="56">
        <v>0</v>
      </c>
      <c r="G149" s="58">
        <v>1</v>
      </c>
      <c r="H149" s="58">
        <v>0</v>
      </c>
      <c r="I149" s="58">
        <v>0</v>
      </c>
      <c r="J149" s="57">
        <f t="shared" si="17"/>
        <v>1</v>
      </c>
      <c r="K149" s="57">
        <f t="shared" si="14"/>
        <v>0</v>
      </c>
      <c r="L149" s="57">
        <f t="shared" si="15"/>
        <v>0</v>
      </c>
      <c r="M149" s="57">
        <f t="shared" si="16"/>
        <v>0</v>
      </c>
    </row>
    <row r="150" spans="1:13" ht="15" customHeight="1" x14ac:dyDescent="0.2">
      <c r="A150" s="57" t="s">
        <v>59</v>
      </c>
      <c r="B150" s="58">
        <v>0</v>
      </c>
      <c r="C150" s="58">
        <v>0</v>
      </c>
      <c r="D150" s="56">
        <v>0</v>
      </c>
      <c r="E150" s="58">
        <v>0</v>
      </c>
      <c r="F150" s="56">
        <v>0</v>
      </c>
      <c r="G150" s="58">
        <v>0</v>
      </c>
      <c r="H150" s="58">
        <v>0</v>
      </c>
      <c r="I150" s="58">
        <v>0</v>
      </c>
      <c r="J150" s="57">
        <f t="shared" si="17"/>
        <v>0</v>
      </c>
      <c r="K150" s="57">
        <f t="shared" si="14"/>
        <v>0</v>
      </c>
      <c r="L150" s="57">
        <f t="shared" si="15"/>
        <v>0</v>
      </c>
      <c r="M150" s="57">
        <f t="shared" si="16"/>
        <v>0</v>
      </c>
    </row>
    <row r="151" spans="1:13" ht="15" customHeight="1" x14ac:dyDescent="0.2">
      <c r="A151" s="57" t="s">
        <v>60</v>
      </c>
      <c r="B151" s="58">
        <v>1</v>
      </c>
      <c r="C151" s="58">
        <v>0</v>
      </c>
      <c r="D151" s="56">
        <v>0</v>
      </c>
      <c r="E151" s="58">
        <v>0</v>
      </c>
      <c r="F151" s="56">
        <v>0</v>
      </c>
      <c r="G151" s="58">
        <v>0</v>
      </c>
      <c r="H151" s="58">
        <v>0</v>
      </c>
      <c r="I151" s="58">
        <v>0</v>
      </c>
      <c r="J151" s="57">
        <f t="shared" si="17"/>
        <v>0</v>
      </c>
      <c r="K151" s="57">
        <f t="shared" si="14"/>
        <v>0</v>
      </c>
      <c r="L151" s="57">
        <f t="shared" si="15"/>
        <v>0</v>
      </c>
      <c r="M151" s="57">
        <f t="shared" si="16"/>
        <v>1</v>
      </c>
    </row>
    <row r="152" spans="1:13" ht="15" customHeight="1" x14ac:dyDescent="0.2">
      <c r="A152" s="57" t="s">
        <v>61</v>
      </c>
      <c r="B152" s="58">
        <v>1</v>
      </c>
      <c r="C152" s="58">
        <v>0</v>
      </c>
      <c r="D152" s="56">
        <v>0</v>
      </c>
      <c r="E152" s="58">
        <v>1</v>
      </c>
      <c r="F152" s="56">
        <v>0</v>
      </c>
      <c r="G152" s="58">
        <v>0</v>
      </c>
      <c r="H152" s="58">
        <v>0</v>
      </c>
      <c r="I152" s="58">
        <v>0</v>
      </c>
      <c r="J152" s="57">
        <f t="shared" si="17"/>
        <v>1</v>
      </c>
      <c r="K152" s="57">
        <f t="shared" si="14"/>
        <v>0</v>
      </c>
      <c r="L152" s="57">
        <f t="shared" si="15"/>
        <v>0</v>
      </c>
      <c r="M152" s="57">
        <f t="shared" si="16"/>
        <v>1</v>
      </c>
    </row>
    <row r="153" spans="1:13" ht="15" customHeight="1" x14ac:dyDescent="0.2">
      <c r="A153" s="57" t="s">
        <v>62</v>
      </c>
      <c r="B153" s="58">
        <v>0</v>
      </c>
      <c r="C153" s="58">
        <v>0</v>
      </c>
      <c r="D153" s="56">
        <v>0</v>
      </c>
      <c r="E153" s="58">
        <v>0</v>
      </c>
      <c r="F153" s="56">
        <v>0</v>
      </c>
      <c r="G153" s="58">
        <v>0</v>
      </c>
      <c r="H153" s="58">
        <v>0</v>
      </c>
      <c r="I153" s="58">
        <v>1</v>
      </c>
      <c r="J153" s="57">
        <f t="shared" si="17"/>
        <v>0</v>
      </c>
      <c r="K153" s="57">
        <f t="shared" si="14"/>
        <v>1</v>
      </c>
      <c r="L153" s="57">
        <f t="shared" si="15"/>
        <v>0</v>
      </c>
      <c r="M153" s="57">
        <f t="shared" si="16"/>
        <v>0</v>
      </c>
    </row>
    <row r="154" spans="1:13" ht="15" customHeight="1" x14ac:dyDescent="0.2">
      <c r="A154" s="57" t="s">
        <v>63</v>
      </c>
      <c r="B154" s="58">
        <v>0</v>
      </c>
      <c r="C154" s="58">
        <v>0</v>
      </c>
      <c r="D154" s="56">
        <v>0</v>
      </c>
      <c r="E154" s="58">
        <v>0</v>
      </c>
      <c r="F154" s="56">
        <v>0</v>
      </c>
      <c r="G154" s="58">
        <v>0</v>
      </c>
      <c r="H154" s="58">
        <v>0</v>
      </c>
      <c r="I154" s="58">
        <v>0</v>
      </c>
      <c r="J154" s="57">
        <f t="shared" si="17"/>
        <v>0</v>
      </c>
      <c r="K154" s="57">
        <f t="shared" si="14"/>
        <v>0</v>
      </c>
      <c r="L154" s="57">
        <f t="shared" si="15"/>
        <v>0</v>
      </c>
      <c r="M154" s="57">
        <f t="shared" si="16"/>
        <v>0</v>
      </c>
    </row>
    <row r="155" spans="1:13" ht="15" customHeight="1" x14ac:dyDescent="0.2">
      <c r="A155" s="57" t="s">
        <v>64</v>
      </c>
      <c r="B155" s="58">
        <v>0</v>
      </c>
      <c r="C155" s="58">
        <v>0</v>
      </c>
      <c r="D155" s="56">
        <v>0</v>
      </c>
      <c r="E155" s="58">
        <v>0</v>
      </c>
      <c r="F155" s="56">
        <v>0</v>
      </c>
      <c r="G155" s="58">
        <v>1</v>
      </c>
      <c r="H155" s="58">
        <v>0</v>
      </c>
      <c r="I155" s="58">
        <v>0</v>
      </c>
      <c r="J155" s="57">
        <f t="shared" si="17"/>
        <v>1</v>
      </c>
      <c r="K155" s="57">
        <f t="shared" si="14"/>
        <v>0</v>
      </c>
      <c r="L155" s="57">
        <f t="shared" si="15"/>
        <v>0</v>
      </c>
      <c r="M155" s="57">
        <f t="shared" si="16"/>
        <v>0</v>
      </c>
    </row>
    <row r="156" spans="1:13" s="33" customFormat="1" ht="15" customHeight="1" x14ac:dyDescent="0.2">
      <c r="A156" s="33" t="s">
        <v>65</v>
      </c>
      <c r="B156" s="34">
        <v>0</v>
      </c>
      <c r="C156" s="34">
        <v>1</v>
      </c>
      <c r="D156" s="56">
        <v>0</v>
      </c>
      <c r="E156" s="34">
        <v>1</v>
      </c>
      <c r="F156" s="34">
        <v>1</v>
      </c>
      <c r="G156" s="34">
        <v>0</v>
      </c>
      <c r="H156" s="34">
        <v>0</v>
      </c>
      <c r="I156" s="34">
        <v>0</v>
      </c>
      <c r="J156" s="33">
        <f t="shared" si="17"/>
        <v>1</v>
      </c>
      <c r="K156" s="33">
        <f t="shared" si="14"/>
        <v>1</v>
      </c>
      <c r="L156" s="33">
        <f t="shared" si="15"/>
        <v>1</v>
      </c>
      <c r="M156" s="33">
        <f t="shared" si="16"/>
        <v>0</v>
      </c>
    </row>
    <row r="157" spans="1:13" s="33" customFormat="1" ht="15" customHeight="1" x14ac:dyDescent="0.2">
      <c r="A157" s="33" t="s">
        <v>66</v>
      </c>
      <c r="B157" s="34">
        <v>0</v>
      </c>
      <c r="C157" s="34">
        <v>0</v>
      </c>
      <c r="D157" s="56">
        <v>0</v>
      </c>
      <c r="E157" s="34">
        <v>1</v>
      </c>
      <c r="F157" s="34">
        <v>1</v>
      </c>
      <c r="G157" s="34">
        <v>0</v>
      </c>
      <c r="H157" s="34">
        <v>0</v>
      </c>
      <c r="I157" s="34">
        <v>0</v>
      </c>
      <c r="J157" s="33">
        <f t="shared" si="17"/>
        <v>1</v>
      </c>
      <c r="K157" s="33">
        <f t="shared" si="14"/>
        <v>0</v>
      </c>
      <c r="L157" s="33">
        <f t="shared" si="15"/>
        <v>1</v>
      </c>
      <c r="M157" s="33">
        <f t="shared" si="16"/>
        <v>0</v>
      </c>
    </row>
    <row r="158" spans="1:13" ht="15" customHeight="1" x14ac:dyDescent="0.2">
      <c r="A158" s="57" t="s">
        <v>67</v>
      </c>
      <c r="B158" s="58">
        <v>0</v>
      </c>
      <c r="C158" s="58">
        <v>0</v>
      </c>
      <c r="D158" s="56">
        <v>0</v>
      </c>
      <c r="E158" s="58">
        <v>0</v>
      </c>
      <c r="F158" s="56">
        <v>0</v>
      </c>
      <c r="G158" s="58">
        <v>1</v>
      </c>
      <c r="H158" s="58">
        <v>0</v>
      </c>
      <c r="I158" s="58">
        <v>0</v>
      </c>
      <c r="J158" s="57">
        <f t="shared" si="17"/>
        <v>1</v>
      </c>
      <c r="K158" s="57">
        <f t="shared" si="14"/>
        <v>0</v>
      </c>
      <c r="L158" s="57">
        <f t="shared" si="15"/>
        <v>0</v>
      </c>
      <c r="M158" s="57">
        <f t="shared" si="16"/>
        <v>0</v>
      </c>
    </row>
    <row r="159" spans="1:13" ht="15" customHeight="1" x14ac:dyDescent="0.2">
      <c r="A159" s="57" t="s">
        <v>68</v>
      </c>
      <c r="B159" s="58">
        <v>0</v>
      </c>
      <c r="C159" s="58">
        <v>1</v>
      </c>
      <c r="D159" s="56">
        <v>0</v>
      </c>
      <c r="E159" s="58">
        <v>0</v>
      </c>
      <c r="F159" s="56">
        <v>0</v>
      </c>
      <c r="G159" s="58">
        <v>1</v>
      </c>
      <c r="H159" s="58">
        <v>0</v>
      </c>
      <c r="I159" s="58">
        <v>0</v>
      </c>
      <c r="J159" s="57">
        <f t="shared" si="17"/>
        <v>1</v>
      </c>
      <c r="K159" s="57">
        <f t="shared" si="14"/>
        <v>1</v>
      </c>
      <c r="L159" s="57">
        <f t="shared" si="15"/>
        <v>0</v>
      </c>
      <c r="M159" s="57">
        <f t="shared" si="16"/>
        <v>0</v>
      </c>
    </row>
    <row r="160" spans="1:13" ht="15" customHeight="1" x14ac:dyDescent="0.2">
      <c r="A160" s="57" t="s">
        <v>69</v>
      </c>
      <c r="B160" s="58">
        <v>0</v>
      </c>
      <c r="C160" s="58">
        <v>1</v>
      </c>
      <c r="D160" s="56">
        <v>0</v>
      </c>
      <c r="E160" s="58">
        <v>1</v>
      </c>
      <c r="F160" s="56">
        <v>0</v>
      </c>
      <c r="G160" s="58">
        <v>0</v>
      </c>
      <c r="H160" s="58">
        <v>0</v>
      </c>
      <c r="I160" s="58">
        <v>0</v>
      </c>
      <c r="J160" s="57">
        <f t="shared" si="17"/>
        <v>1</v>
      </c>
      <c r="K160" s="57">
        <f t="shared" si="14"/>
        <v>1</v>
      </c>
      <c r="L160" s="57">
        <f t="shared" si="15"/>
        <v>0</v>
      </c>
      <c r="M160" s="57">
        <f t="shared" si="16"/>
        <v>0</v>
      </c>
    </row>
    <row r="161" spans="1:13" ht="15" customHeight="1" x14ac:dyDescent="0.2">
      <c r="A161" s="57" t="s">
        <v>70</v>
      </c>
      <c r="B161" s="58">
        <v>0</v>
      </c>
      <c r="C161" s="58">
        <v>0</v>
      </c>
      <c r="D161" s="56">
        <v>0</v>
      </c>
      <c r="E161" s="58">
        <v>0</v>
      </c>
      <c r="F161" s="56">
        <v>0</v>
      </c>
      <c r="G161" s="58">
        <v>0</v>
      </c>
      <c r="H161" s="58">
        <v>0</v>
      </c>
      <c r="I161" s="58">
        <v>0</v>
      </c>
      <c r="J161" s="57">
        <f t="shared" si="17"/>
        <v>0</v>
      </c>
      <c r="K161" s="57">
        <f t="shared" si="14"/>
        <v>0</v>
      </c>
      <c r="L161" s="57">
        <f t="shared" si="15"/>
        <v>0</v>
      </c>
      <c r="M161" s="57">
        <f t="shared" si="16"/>
        <v>0</v>
      </c>
    </row>
    <row r="162" spans="1:13" ht="15" customHeight="1" x14ac:dyDescent="0.2">
      <c r="A162" s="57" t="s">
        <v>71</v>
      </c>
      <c r="B162" s="58">
        <v>0</v>
      </c>
      <c r="C162" s="58">
        <v>1</v>
      </c>
      <c r="D162" s="56">
        <v>0</v>
      </c>
      <c r="E162" s="58">
        <v>1</v>
      </c>
      <c r="F162" s="56">
        <v>0</v>
      </c>
      <c r="G162" s="58">
        <v>1</v>
      </c>
      <c r="H162" s="58">
        <v>0</v>
      </c>
      <c r="I162" s="58">
        <v>0</v>
      </c>
      <c r="J162" s="57">
        <f t="shared" si="17"/>
        <v>2</v>
      </c>
      <c r="K162" s="57">
        <f t="shared" si="14"/>
        <v>1</v>
      </c>
      <c r="L162" s="57">
        <f t="shared" si="15"/>
        <v>0</v>
      </c>
      <c r="M162" s="57">
        <f t="shared" si="16"/>
        <v>0</v>
      </c>
    </row>
    <row r="163" spans="1:13" ht="15" customHeight="1" x14ac:dyDescent="0.2">
      <c r="A163" s="57" t="s">
        <v>72</v>
      </c>
      <c r="B163" s="58">
        <v>0</v>
      </c>
      <c r="C163" s="58">
        <v>1</v>
      </c>
      <c r="D163" s="56">
        <v>0</v>
      </c>
      <c r="E163" s="58">
        <v>1</v>
      </c>
      <c r="F163" s="56">
        <v>0</v>
      </c>
      <c r="G163" s="58">
        <v>1</v>
      </c>
      <c r="H163" s="58">
        <v>0</v>
      </c>
      <c r="I163" s="58">
        <v>0</v>
      </c>
      <c r="J163" s="57">
        <f t="shared" si="17"/>
        <v>2</v>
      </c>
      <c r="K163" s="57">
        <f t="shared" si="14"/>
        <v>1</v>
      </c>
      <c r="L163" s="57">
        <f t="shared" si="15"/>
        <v>0</v>
      </c>
      <c r="M163" s="57">
        <f t="shared" si="16"/>
        <v>0</v>
      </c>
    </row>
    <row r="164" spans="1:13" s="33" customFormat="1" ht="15" customHeight="1" x14ac:dyDescent="0.2">
      <c r="A164" s="33" t="s">
        <v>73</v>
      </c>
      <c r="B164" s="34">
        <v>1</v>
      </c>
      <c r="C164" s="34">
        <v>3</v>
      </c>
      <c r="D164" s="56">
        <v>0</v>
      </c>
      <c r="E164" s="34">
        <v>0</v>
      </c>
      <c r="F164" s="34">
        <v>1</v>
      </c>
      <c r="G164" s="34">
        <v>0</v>
      </c>
      <c r="H164" s="34">
        <v>0</v>
      </c>
      <c r="I164" s="34">
        <v>0</v>
      </c>
      <c r="J164" s="33">
        <f t="shared" si="17"/>
        <v>0</v>
      </c>
      <c r="K164" s="33">
        <f t="shared" si="14"/>
        <v>3</v>
      </c>
      <c r="L164" s="33">
        <f t="shared" si="15"/>
        <v>1</v>
      </c>
      <c r="M164" s="33">
        <f t="shared" si="16"/>
        <v>1</v>
      </c>
    </row>
    <row r="165" spans="1:13" ht="15" customHeight="1" x14ac:dyDescent="0.2">
      <c r="A165" s="57" t="s">
        <v>74</v>
      </c>
      <c r="B165" s="58">
        <v>0</v>
      </c>
      <c r="C165" s="58">
        <v>0</v>
      </c>
      <c r="D165" s="56">
        <v>0</v>
      </c>
      <c r="E165" s="58">
        <v>0</v>
      </c>
      <c r="F165" s="56">
        <v>0</v>
      </c>
      <c r="G165" s="58">
        <v>0</v>
      </c>
      <c r="H165" s="58">
        <v>0</v>
      </c>
      <c r="I165" s="58">
        <v>0</v>
      </c>
      <c r="J165" s="57">
        <f t="shared" si="17"/>
        <v>0</v>
      </c>
      <c r="K165" s="57">
        <f t="shared" si="14"/>
        <v>0</v>
      </c>
      <c r="L165" s="57">
        <f t="shared" si="15"/>
        <v>0</v>
      </c>
      <c r="M165" s="57">
        <f t="shared" si="16"/>
        <v>0</v>
      </c>
    </row>
    <row r="166" spans="1:13" ht="15" customHeight="1" x14ac:dyDescent="0.2">
      <c r="A166" s="57" t="s">
        <v>75</v>
      </c>
      <c r="B166" s="58">
        <v>0</v>
      </c>
      <c r="C166" s="58">
        <v>0</v>
      </c>
      <c r="D166" s="56">
        <v>0</v>
      </c>
      <c r="E166" s="58">
        <v>0</v>
      </c>
      <c r="F166" s="56">
        <v>0</v>
      </c>
      <c r="G166" s="58">
        <v>0</v>
      </c>
      <c r="H166" s="58">
        <v>0</v>
      </c>
      <c r="I166" s="58">
        <v>0</v>
      </c>
      <c r="J166" s="57">
        <f t="shared" si="17"/>
        <v>0</v>
      </c>
      <c r="K166" s="57">
        <f t="shared" si="14"/>
        <v>0</v>
      </c>
      <c r="L166" s="57">
        <f t="shared" si="15"/>
        <v>0</v>
      </c>
      <c r="M166" s="57">
        <f t="shared" si="16"/>
        <v>0</v>
      </c>
    </row>
    <row r="167" spans="1:13" ht="15" customHeight="1" x14ac:dyDescent="0.2">
      <c r="A167" s="57" t="s">
        <v>76</v>
      </c>
      <c r="B167" s="58">
        <v>0</v>
      </c>
      <c r="C167" s="58">
        <v>0</v>
      </c>
      <c r="D167" s="56">
        <v>0</v>
      </c>
      <c r="E167" s="58">
        <v>1</v>
      </c>
      <c r="F167" s="56">
        <v>0</v>
      </c>
      <c r="G167" s="58">
        <v>1</v>
      </c>
      <c r="H167" s="58">
        <v>1</v>
      </c>
      <c r="I167" s="58">
        <v>3</v>
      </c>
      <c r="J167" s="57">
        <f t="shared" si="17"/>
        <v>2</v>
      </c>
      <c r="K167" s="57">
        <f t="shared" si="14"/>
        <v>3</v>
      </c>
      <c r="L167" s="57">
        <f t="shared" si="15"/>
        <v>0</v>
      </c>
      <c r="M167" s="57">
        <f t="shared" si="16"/>
        <v>1</v>
      </c>
    </row>
    <row r="168" spans="1:13" ht="15" customHeight="1" x14ac:dyDescent="0.2">
      <c r="A168" s="57" t="s">
        <v>77</v>
      </c>
      <c r="B168" s="58">
        <v>0</v>
      </c>
      <c r="C168" s="58">
        <v>1</v>
      </c>
      <c r="D168" s="56">
        <v>0</v>
      </c>
      <c r="E168" s="58">
        <v>0</v>
      </c>
      <c r="F168" s="56">
        <v>0</v>
      </c>
      <c r="G168" s="58">
        <v>0</v>
      </c>
      <c r="H168" s="58">
        <v>0</v>
      </c>
      <c r="I168" s="58">
        <v>1</v>
      </c>
      <c r="J168" s="57">
        <f t="shared" si="17"/>
        <v>0</v>
      </c>
      <c r="K168" s="57">
        <f t="shared" si="14"/>
        <v>2</v>
      </c>
      <c r="L168" s="57">
        <f t="shared" si="15"/>
        <v>0</v>
      </c>
      <c r="M168" s="57">
        <f t="shared" si="16"/>
        <v>0</v>
      </c>
    </row>
    <row r="169" spans="1:13" ht="15" customHeight="1" x14ac:dyDescent="0.2">
      <c r="A169" s="57" t="s">
        <v>78</v>
      </c>
      <c r="B169" s="58">
        <v>0</v>
      </c>
      <c r="C169" s="58">
        <v>1</v>
      </c>
      <c r="D169" s="56">
        <v>0</v>
      </c>
      <c r="E169" s="58">
        <v>0</v>
      </c>
      <c r="F169" s="56">
        <v>0</v>
      </c>
      <c r="G169" s="58">
        <v>1</v>
      </c>
      <c r="H169" s="58">
        <v>0</v>
      </c>
      <c r="I169" s="58">
        <v>0</v>
      </c>
      <c r="J169" s="57">
        <f t="shared" si="17"/>
        <v>1</v>
      </c>
      <c r="K169" s="57">
        <f t="shared" si="14"/>
        <v>1</v>
      </c>
      <c r="L169" s="57">
        <f t="shared" si="15"/>
        <v>0</v>
      </c>
      <c r="M169" s="57">
        <f t="shared" si="16"/>
        <v>0</v>
      </c>
    </row>
    <row r="170" spans="1:13" ht="15" customHeight="1" x14ac:dyDescent="0.2">
      <c r="A170" s="57" t="s">
        <v>79</v>
      </c>
      <c r="B170" s="58">
        <v>0</v>
      </c>
      <c r="C170" s="58">
        <v>3</v>
      </c>
      <c r="D170" s="56">
        <v>0</v>
      </c>
      <c r="E170" s="58">
        <v>1</v>
      </c>
      <c r="F170" s="56">
        <v>0</v>
      </c>
      <c r="G170" s="58">
        <v>2</v>
      </c>
      <c r="H170" s="58">
        <v>0</v>
      </c>
      <c r="I170" s="58">
        <v>0</v>
      </c>
      <c r="J170" s="57">
        <f t="shared" si="17"/>
        <v>3</v>
      </c>
      <c r="K170" s="57">
        <f t="shared" ref="K170:K201" si="18">SUM(C170+I170)</f>
        <v>3</v>
      </c>
      <c r="L170" s="57">
        <f t="shared" ref="L170:L201" si="19">SUM(D170+F170)</f>
        <v>0</v>
      </c>
      <c r="M170" s="57">
        <f t="shared" ref="M170:M201" si="20">SUM(B170+H170)</f>
        <v>0</v>
      </c>
    </row>
    <row r="171" spans="1:13" ht="15" customHeight="1" x14ac:dyDescent="0.2">
      <c r="A171" s="57" t="s">
        <v>80</v>
      </c>
      <c r="B171" s="58">
        <v>0</v>
      </c>
      <c r="C171" s="58">
        <v>0</v>
      </c>
      <c r="D171" s="56">
        <v>0</v>
      </c>
      <c r="E171" s="58">
        <v>0</v>
      </c>
      <c r="F171" s="56">
        <v>0</v>
      </c>
      <c r="G171" s="58">
        <v>1</v>
      </c>
      <c r="H171" s="58">
        <v>0</v>
      </c>
      <c r="I171" s="58">
        <v>0</v>
      </c>
      <c r="J171" s="57">
        <f t="shared" si="17"/>
        <v>1</v>
      </c>
      <c r="K171" s="57">
        <f t="shared" si="18"/>
        <v>0</v>
      </c>
      <c r="L171" s="57">
        <f t="shared" si="19"/>
        <v>0</v>
      </c>
      <c r="M171" s="57">
        <f t="shared" si="20"/>
        <v>0</v>
      </c>
    </row>
    <row r="172" spans="1:13" s="33" customFormat="1" ht="15" customHeight="1" x14ac:dyDescent="0.2">
      <c r="A172" s="33" t="s">
        <v>81</v>
      </c>
      <c r="B172" s="34">
        <v>0</v>
      </c>
      <c r="C172" s="34">
        <v>0</v>
      </c>
      <c r="D172" s="56">
        <v>0</v>
      </c>
      <c r="E172" s="34">
        <v>0</v>
      </c>
      <c r="F172" s="34">
        <v>1</v>
      </c>
      <c r="G172" s="34">
        <v>1</v>
      </c>
      <c r="H172" s="34">
        <v>0</v>
      </c>
      <c r="I172" s="34">
        <v>0</v>
      </c>
      <c r="J172" s="33">
        <f t="shared" si="17"/>
        <v>1</v>
      </c>
      <c r="K172" s="33">
        <f t="shared" si="18"/>
        <v>0</v>
      </c>
      <c r="L172" s="33">
        <f t="shared" si="19"/>
        <v>1</v>
      </c>
      <c r="M172" s="33">
        <f t="shared" si="20"/>
        <v>0</v>
      </c>
    </row>
    <row r="173" spans="1:13" ht="15" customHeight="1" x14ac:dyDescent="0.2">
      <c r="A173" s="57" t="s">
        <v>82</v>
      </c>
      <c r="B173" s="58">
        <v>0</v>
      </c>
      <c r="C173" s="58">
        <v>1</v>
      </c>
      <c r="D173" s="56">
        <v>0</v>
      </c>
      <c r="E173" s="58">
        <v>0</v>
      </c>
      <c r="F173" s="56">
        <v>0</v>
      </c>
      <c r="G173" s="58">
        <v>0</v>
      </c>
      <c r="H173" s="58">
        <v>0</v>
      </c>
      <c r="I173" s="58">
        <v>0</v>
      </c>
      <c r="J173" s="57">
        <f t="shared" si="17"/>
        <v>0</v>
      </c>
      <c r="K173" s="57">
        <f t="shared" si="18"/>
        <v>1</v>
      </c>
      <c r="L173" s="57">
        <f t="shared" si="19"/>
        <v>0</v>
      </c>
      <c r="M173" s="57">
        <f t="shared" si="20"/>
        <v>0</v>
      </c>
    </row>
    <row r="174" spans="1:13" ht="15" customHeight="1" x14ac:dyDescent="0.2">
      <c r="A174" s="57" t="s">
        <v>83</v>
      </c>
      <c r="B174" s="58">
        <v>0</v>
      </c>
      <c r="C174" s="58">
        <v>1</v>
      </c>
      <c r="D174" s="56">
        <v>0</v>
      </c>
      <c r="E174" s="58">
        <v>0</v>
      </c>
      <c r="F174" s="56">
        <v>0</v>
      </c>
      <c r="G174" s="58">
        <v>0</v>
      </c>
      <c r="H174" s="58">
        <v>0</v>
      </c>
      <c r="I174" s="58">
        <v>0</v>
      </c>
      <c r="J174" s="57">
        <f t="shared" si="17"/>
        <v>0</v>
      </c>
      <c r="K174" s="57">
        <f t="shared" si="18"/>
        <v>1</v>
      </c>
      <c r="L174" s="57">
        <f t="shared" si="19"/>
        <v>0</v>
      </c>
      <c r="M174" s="57">
        <f t="shared" si="20"/>
        <v>0</v>
      </c>
    </row>
    <row r="175" spans="1:13" ht="15" customHeight="1" x14ac:dyDescent="0.2">
      <c r="A175" s="57" t="s">
        <v>84</v>
      </c>
      <c r="B175" s="58">
        <v>0</v>
      </c>
      <c r="C175" s="58">
        <v>1</v>
      </c>
      <c r="D175" s="56">
        <v>0</v>
      </c>
      <c r="E175" s="58">
        <v>0</v>
      </c>
      <c r="F175" s="56">
        <v>0</v>
      </c>
      <c r="G175" s="58">
        <v>1</v>
      </c>
      <c r="H175" s="58">
        <v>0</v>
      </c>
      <c r="I175" s="58">
        <v>0</v>
      </c>
      <c r="J175" s="57">
        <f t="shared" si="17"/>
        <v>1</v>
      </c>
      <c r="K175" s="57">
        <f t="shared" si="18"/>
        <v>1</v>
      </c>
      <c r="L175" s="57">
        <f t="shared" si="19"/>
        <v>0</v>
      </c>
      <c r="M175" s="57">
        <f t="shared" si="20"/>
        <v>0</v>
      </c>
    </row>
    <row r="176" spans="1:13" ht="15" customHeight="1" x14ac:dyDescent="0.2">
      <c r="A176" s="57" t="s">
        <v>85</v>
      </c>
      <c r="B176" s="58">
        <v>0</v>
      </c>
      <c r="C176" s="58">
        <v>0</v>
      </c>
      <c r="D176" s="56">
        <v>0</v>
      </c>
      <c r="E176" s="58">
        <v>2</v>
      </c>
      <c r="F176" s="56">
        <v>0</v>
      </c>
      <c r="G176" s="58">
        <v>1</v>
      </c>
      <c r="H176" s="58">
        <v>0</v>
      </c>
      <c r="I176" s="58">
        <v>1</v>
      </c>
      <c r="J176" s="57">
        <f t="shared" si="17"/>
        <v>3</v>
      </c>
      <c r="K176" s="57">
        <f t="shared" si="18"/>
        <v>1</v>
      </c>
      <c r="L176" s="57">
        <f t="shared" si="19"/>
        <v>0</v>
      </c>
      <c r="M176" s="57">
        <f t="shared" si="20"/>
        <v>0</v>
      </c>
    </row>
    <row r="177" spans="1:13" s="33" customFormat="1" ht="15" customHeight="1" x14ac:dyDescent="0.2">
      <c r="A177" s="33" t="s">
        <v>86</v>
      </c>
      <c r="B177" s="34">
        <v>0</v>
      </c>
      <c r="C177" s="34">
        <v>1</v>
      </c>
      <c r="D177" s="56">
        <v>0</v>
      </c>
      <c r="E177" s="34">
        <v>0</v>
      </c>
      <c r="F177" s="34">
        <v>1</v>
      </c>
      <c r="G177" s="34">
        <v>2</v>
      </c>
      <c r="H177" s="34">
        <v>0</v>
      </c>
      <c r="I177" s="34">
        <v>1</v>
      </c>
      <c r="J177" s="33">
        <f t="shared" si="17"/>
        <v>2</v>
      </c>
      <c r="K177" s="33">
        <f t="shared" si="18"/>
        <v>2</v>
      </c>
      <c r="L177" s="33">
        <f t="shared" si="19"/>
        <v>1</v>
      </c>
      <c r="M177" s="33">
        <f t="shared" si="20"/>
        <v>0</v>
      </c>
    </row>
    <row r="178" spans="1:13" s="33" customFormat="1" ht="15" customHeight="1" x14ac:dyDescent="0.2">
      <c r="A178" s="33" t="s">
        <v>87</v>
      </c>
      <c r="B178" s="34">
        <v>0</v>
      </c>
      <c r="C178" s="34">
        <v>2</v>
      </c>
      <c r="D178" s="56">
        <v>0</v>
      </c>
      <c r="E178" s="34">
        <v>1</v>
      </c>
      <c r="F178" s="34">
        <v>1</v>
      </c>
      <c r="G178" s="34">
        <v>0</v>
      </c>
      <c r="H178" s="34">
        <v>0</v>
      </c>
      <c r="I178" s="34">
        <v>0</v>
      </c>
      <c r="J178" s="33">
        <f t="shared" si="17"/>
        <v>1</v>
      </c>
      <c r="K178" s="33">
        <f t="shared" si="18"/>
        <v>2</v>
      </c>
      <c r="L178" s="33">
        <f t="shared" si="19"/>
        <v>1</v>
      </c>
      <c r="M178" s="33">
        <f t="shared" si="20"/>
        <v>0</v>
      </c>
    </row>
    <row r="179" spans="1:13" ht="15" customHeight="1" x14ac:dyDescent="0.2">
      <c r="A179" s="57" t="s">
        <v>88</v>
      </c>
      <c r="B179" s="58">
        <v>0</v>
      </c>
      <c r="C179" s="58">
        <v>0</v>
      </c>
      <c r="D179" s="56">
        <v>0</v>
      </c>
      <c r="E179" s="58">
        <v>1</v>
      </c>
      <c r="F179" s="56">
        <v>0</v>
      </c>
      <c r="G179" s="58">
        <v>0</v>
      </c>
      <c r="H179" s="58">
        <v>0</v>
      </c>
      <c r="I179" s="58">
        <v>0</v>
      </c>
      <c r="J179" s="57">
        <f t="shared" si="17"/>
        <v>1</v>
      </c>
      <c r="K179" s="57">
        <f t="shared" si="18"/>
        <v>0</v>
      </c>
      <c r="L179" s="57">
        <f t="shared" si="19"/>
        <v>0</v>
      </c>
      <c r="M179" s="57">
        <f t="shared" si="20"/>
        <v>0</v>
      </c>
    </row>
    <row r="180" spans="1:13" ht="15" customHeight="1" x14ac:dyDescent="0.2">
      <c r="A180" s="57" t="s">
        <v>89</v>
      </c>
      <c r="B180" s="58">
        <v>0</v>
      </c>
      <c r="C180" s="58">
        <v>0</v>
      </c>
      <c r="D180" s="56">
        <v>0</v>
      </c>
      <c r="E180" s="58">
        <v>0</v>
      </c>
      <c r="F180" s="56">
        <v>0</v>
      </c>
      <c r="G180" s="58">
        <v>0</v>
      </c>
      <c r="H180" s="58">
        <v>0</v>
      </c>
      <c r="I180" s="58">
        <v>0</v>
      </c>
      <c r="J180" s="57">
        <f t="shared" si="17"/>
        <v>0</v>
      </c>
      <c r="K180" s="57">
        <f t="shared" si="18"/>
        <v>0</v>
      </c>
      <c r="L180" s="57">
        <f t="shared" si="19"/>
        <v>0</v>
      </c>
      <c r="M180" s="57">
        <f t="shared" si="20"/>
        <v>0</v>
      </c>
    </row>
    <row r="181" spans="1:13" ht="15" customHeight="1" x14ac:dyDescent="0.2">
      <c r="A181" s="57" t="s">
        <v>90</v>
      </c>
      <c r="B181" s="58">
        <v>0</v>
      </c>
      <c r="C181" s="58">
        <v>0</v>
      </c>
      <c r="D181" s="56">
        <v>0</v>
      </c>
      <c r="E181" s="58">
        <v>0</v>
      </c>
      <c r="F181" s="56">
        <v>0</v>
      </c>
      <c r="G181" s="58">
        <v>1</v>
      </c>
      <c r="H181" s="58">
        <v>0</v>
      </c>
      <c r="I181" s="58">
        <v>0</v>
      </c>
      <c r="J181" s="57">
        <f t="shared" si="17"/>
        <v>1</v>
      </c>
      <c r="K181" s="57">
        <f t="shared" si="18"/>
        <v>0</v>
      </c>
      <c r="L181" s="57">
        <f t="shared" si="19"/>
        <v>0</v>
      </c>
      <c r="M181" s="57">
        <f t="shared" si="20"/>
        <v>0</v>
      </c>
    </row>
    <row r="182" spans="1:13" ht="15" customHeight="1" x14ac:dyDescent="0.2">
      <c r="A182" s="57" t="s">
        <v>91</v>
      </c>
      <c r="B182" s="58">
        <v>0</v>
      </c>
      <c r="C182" s="58">
        <v>0</v>
      </c>
      <c r="D182" s="56">
        <v>0</v>
      </c>
      <c r="E182" s="58">
        <v>1</v>
      </c>
      <c r="F182" s="56">
        <v>0</v>
      </c>
      <c r="G182" s="58">
        <v>0</v>
      </c>
      <c r="H182" s="58">
        <v>0</v>
      </c>
      <c r="I182" s="58">
        <v>0</v>
      </c>
      <c r="J182" s="57">
        <f t="shared" si="17"/>
        <v>1</v>
      </c>
      <c r="K182" s="57">
        <f t="shared" si="18"/>
        <v>0</v>
      </c>
      <c r="L182" s="57">
        <f t="shared" si="19"/>
        <v>0</v>
      </c>
      <c r="M182" s="57">
        <f t="shared" si="20"/>
        <v>0</v>
      </c>
    </row>
    <row r="183" spans="1:13" ht="15" customHeight="1" x14ac:dyDescent="0.2">
      <c r="A183" s="57" t="s">
        <v>92</v>
      </c>
      <c r="B183" s="58">
        <v>0</v>
      </c>
      <c r="C183" s="58">
        <v>0</v>
      </c>
      <c r="D183" s="56">
        <v>0</v>
      </c>
      <c r="E183" s="58">
        <v>0</v>
      </c>
      <c r="F183" s="56">
        <v>0</v>
      </c>
      <c r="G183" s="58">
        <v>0</v>
      </c>
      <c r="H183" s="58">
        <v>0</v>
      </c>
      <c r="I183" s="58">
        <v>0</v>
      </c>
      <c r="J183" s="57">
        <f t="shared" si="17"/>
        <v>0</v>
      </c>
      <c r="K183" s="57">
        <f t="shared" si="18"/>
        <v>0</v>
      </c>
      <c r="L183" s="57">
        <f t="shared" si="19"/>
        <v>0</v>
      </c>
      <c r="M183" s="57">
        <f t="shared" si="20"/>
        <v>0</v>
      </c>
    </row>
    <row r="184" spans="1:13" ht="15" customHeight="1" x14ac:dyDescent="0.2">
      <c r="A184" s="57" t="s">
        <v>93</v>
      </c>
      <c r="B184" s="58">
        <v>0</v>
      </c>
      <c r="C184" s="58">
        <v>0</v>
      </c>
      <c r="D184" s="56">
        <v>0</v>
      </c>
      <c r="E184" s="58">
        <v>1</v>
      </c>
      <c r="F184" s="56">
        <v>0</v>
      </c>
      <c r="G184" s="58">
        <v>0</v>
      </c>
      <c r="H184" s="58">
        <v>0</v>
      </c>
      <c r="I184" s="58">
        <v>0</v>
      </c>
      <c r="J184" s="57">
        <f t="shared" si="17"/>
        <v>1</v>
      </c>
      <c r="K184" s="57">
        <f t="shared" si="18"/>
        <v>0</v>
      </c>
      <c r="L184" s="57">
        <f t="shared" si="19"/>
        <v>0</v>
      </c>
      <c r="M184" s="57">
        <f t="shared" si="20"/>
        <v>0</v>
      </c>
    </row>
    <row r="185" spans="1:13" ht="15" customHeight="1" x14ac:dyDescent="0.2">
      <c r="A185" s="57" t="s">
        <v>94</v>
      </c>
      <c r="B185" s="58">
        <v>0</v>
      </c>
      <c r="C185" s="58">
        <v>0</v>
      </c>
      <c r="D185" s="56">
        <v>0</v>
      </c>
      <c r="E185" s="58">
        <v>0</v>
      </c>
      <c r="F185" s="56">
        <v>0</v>
      </c>
      <c r="G185" s="58">
        <v>0</v>
      </c>
      <c r="H185" s="58">
        <v>0</v>
      </c>
      <c r="I185" s="58">
        <v>0</v>
      </c>
      <c r="J185" s="57">
        <f t="shared" si="17"/>
        <v>0</v>
      </c>
      <c r="K185" s="57">
        <f t="shared" si="18"/>
        <v>0</v>
      </c>
      <c r="L185" s="57">
        <f t="shared" si="19"/>
        <v>0</v>
      </c>
      <c r="M185" s="57">
        <f t="shared" si="20"/>
        <v>0</v>
      </c>
    </row>
    <row r="186" spans="1:13" ht="15" customHeight="1" x14ac:dyDescent="0.2">
      <c r="A186" s="57" t="s">
        <v>95</v>
      </c>
      <c r="B186" s="58">
        <v>1</v>
      </c>
      <c r="C186" s="58">
        <v>0</v>
      </c>
      <c r="D186" s="56">
        <v>0</v>
      </c>
      <c r="E186" s="58">
        <v>1</v>
      </c>
      <c r="F186" s="56">
        <v>0</v>
      </c>
      <c r="G186" s="58">
        <v>0</v>
      </c>
      <c r="H186" s="58">
        <v>0</v>
      </c>
      <c r="I186" s="58">
        <v>2</v>
      </c>
      <c r="J186" s="57">
        <f t="shared" si="17"/>
        <v>1</v>
      </c>
      <c r="K186" s="57">
        <f t="shared" si="18"/>
        <v>2</v>
      </c>
      <c r="L186" s="57">
        <f t="shared" si="19"/>
        <v>0</v>
      </c>
      <c r="M186" s="57">
        <f t="shared" si="20"/>
        <v>1</v>
      </c>
    </row>
    <row r="187" spans="1:13" ht="15" customHeight="1" x14ac:dyDescent="0.2">
      <c r="A187" s="57" t="s">
        <v>96</v>
      </c>
      <c r="B187" s="58">
        <v>0</v>
      </c>
      <c r="C187" s="58">
        <v>0</v>
      </c>
      <c r="D187" s="56">
        <v>0</v>
      </c>
      <c r="E187" s="58">
        <v>0</v>
      </c>
      <c r="F187" s="56">
        <v>0</v>
      </c>
      <c r="G187" s="58">
        <v>0</v>
      </c>
      <c r="H187" s="58">
        <v>0</v>
      </c>
      <c r="I187" s="58">
        <v>0</v>
      </c>
      <c r="J187" s="57">
        <f t="shared" si="17"/>
        <v>0</v>
      </c>
      <c r="K187" s="57">
        <f t="shared" si="18"/>
        <v>0</v>
      </c>
      <c r="L187" s="57">
        <f t="shared" si="19"/>
        <v>0</v>
      </c>
      <c r="M187" s="57">
        <f t="shared" si="20"/>
        <v>0</v>
      </c>
    </row>
    <row r="188" spans="1:13" ht="15" customHeight="1" x14ac:dyDescent="0.2">
      <c r="A188" s="57" t="s">
        <v>97</v>
      </c>
      <c r="B188" s="58">
        <v>0</v>
      </c>
      <c r="C188" s="58">
        <v>0</v>
      </c>
      <c r="D188" s="56">
        <v>0</v>
      </c>
      <c r="E188" s="58">
        <v>0</v>
      </c>
      <c r="F188" s="56">
        <v>0</v>
      </c>
      <c r="G188" s="58">
        <v>0</v>
      </c>
      <c r="H188" s="58">
        <v>0</v>
      </c>
      <c r="I188" s="58">
        <v>0</v>
      </c>
      <c r="J188" s="57">
        <f t="shared" si="17"/>
        <v>0</v>
      </c>
      <c r="K188" s="57">
        <f t="shared" si="18"/>
        <v>0</v>
      </c>
      <c r="L188" s="57">
        <f t="shared" si="19"/>
        <v>0</v>
      </c>
      <c r="M188" s="57">
        <f t="shared" si="20"/>
        <v>0</v>
      </c>
    </row>
    <row r="189" spans="1:13" ht="15" customHeight="1" x14ac:dyDescent="0.2">
      <c r="A189" s="57" t="s">
        <v>98</v>
      </c>
      <c r="B189" s="58">
        <v>0</v>
      </c>
      <c r="C189" s="58">
        <v>0</v>
      </c>
      <c r="D189" s="56">
        <v>0</v>
      </c>
      <c r="E189" s="58">
        <v>1</v>
      </c>
      <c r="F189" s="56">
        <v>0</v>
      </c>
      <c r="G189" s="58">
        <v>0</v>
      </c>
      <c r="H189" s="58">
        <v>0</v>
      </c>
      <c r="I189" s="58">
        <v>1</v>
      </c>
      <c r="J189" s="57">
        <f t="shared" si="17"/>
        <v>1</v>
      </c>
      <c r="K189" s="57">
        <f t="shared" si="18"/>
        <v>1</v>
      </c>
      <c r="L189" s="57">
        <f t="shared" si="19"/>
        <v>0</v>
      </c>
      <c r="M189" s="57">
        <f t="shared" si="20"/>
        <v>0</v>
      </c>
    </row>
    <row r="190" spans="1:13" ht="15" customHeight="1" x14ac:dyDescent="0.2">
      <c r="A190" s="57" t="s">
        <v>99</v>
      </c>
      <c r="B190" s="58">
        <v>0</v>
      </c>
      <c r="C190" s="58">
        <v>0</v>
      </c>
      <c r="D190" s="56">
        <v>0</v>
      </c>
      <c r="E190" s="58">
        <v>0</v>
      </c>
      <c r="F190" s="56">
        <v>0</v>
      </c>
      <c r="G190" s="58">
        <v>0</v>
      </c>
      <c r="H190" s="58">
        <v>0</v>
      </c>
      <c r="I190" s="58">
        <v>0</v>
      </c>
      <c r="J190" s="57">
        <f t="shared" si="17"/>
        <v>0</v>
      </c>
      <c r="K190" s="57">
        <f t="shared" si="18"/>
        <v>0</v>
      </c>
      <c r="L190" s="57">
        <f t="shared" si="19"/>
        <v>0</v>
      </c>
      <c r="M190" s="57">
        <f t="shared" si="20"/>
        <v>0</v>
      </c>
    </row>
    <row r="191" spans="1:13" ht="15" customHeight="1" x14ac:dyDescent="0.2">
      <c r="A191" s="57" t="s">
        <v>100</v>
      </c>
      <c r="B191" s="58">
        <v>0</v>
      </c>
      <c r="C191" s="58">
        <v>0</v>
      </c>
      <c r="D191" s="56">
        <v>0</v>
      </c>
      <c r="E191" s="58">
        <v>0</v>
      </c>
      <c r="F191" s="56">
        <v>0</v>
      </c>
      <c r="G191" s="58">
        <v>0</v>
      </c>
      <c r="H191" s="58">
        <v>0</v>
      </c>
      <c r="I191" s="58">
        <v>0</v>
      </c>
      <c r="J191" s="57">
        <f t="shared" si="17"/>
        <v>0</v>
      </c>
      <c r="K191" s="57">
        <f t="shared" si="18"/>
        <v>0</v>
      </c>
      <c r="L191" s="57">
        <f t="shared" si="19"/>
        <v>0</v>
      </c>
      <c r="M191" s="57">
        <f t="shared" si="20"/>
        <v>0</v>
      </c>
    </row>
    <row r="192" spans="1:13" ht="15" customHeight="1" x14ac:dyDescent="0.2">
      <c r="A192" s="57" t="s">
        <v>101</v>
      </c>
      <c r="B192" s="58">
        <v>0</v>
      </c>
      <c r="C192" s="58">
        <v>0</v>
      </c>
      <c r="D192" s="56">
        <v>0</v>
      </c>
      <c r="E192" s="58">
        <v>1</v>
      </c>
      <c r="F192" s="56">
        <v>0</v>
      </c>
      <c r="G192" s="58">
        <v>0</v>
      </c>
      <c r="H192" s="58">
        <v>0</v>
      </c>
      <c r="I192" s="58">
        <v>1</v>
      </c>
      <c r="J192" s="57">
        <f t="shared" si="17"/>
        <v>1</v>
      </c>
      <c r="K192" s="57">
        <f t="shared" si="18"/>
        <v>1</v>
      </c>
      <c r="L192" s="57">
        <f t="shared" si="19"/>
        <v>0</v>
      </c>
      <c r="M192" s="57">
        <f t="shared" si="20"/>
        <v>0</v>
      </c>
    </row>
    <row r="193" spans="1:13" ht="15" customHeight="1" x14ac:dyDescent="0.2">
      <c r="A193" s="57" t="s">
        <v>102</v>
      </c>
      <c r="B193" s="58">
        <v>0</v>
      </c>
      <c r="C193" s="58">
        <v>1</v>
      </c>
      <c r="D193" s="56">
        <v>0</v>
      </c>
      <c r="E193" s="58">
        <v>0</v>
      </c>
      <c r="F193" s="56">
        <v>0</v>
      </c>
      <c r="G193" s="58">
        <v>0</v>
      </c>
      <c r="H193" s="58">
        <v>0</v>
      </c>
      <c r="I193" s="58">
        <v>0</v>
      </c>
      <c r="J193" s="57">
        <f t="shared" si="17"/>
        <v>0</v>
      </c>
      <c r="K193" s="57">
        <f t="shared" si="18"/>
        <v>1</v>
      </c>
      <c r="L193" s="57">
        <f t="shared" si="19"/>
        <v>0</v>
      </c>
      <c r="M193" s="57">
        <f t="shared" si="20"/>
        <v>0</v>
      </c>
    </row>
    <row r="194" spans="1:13" ht="15" customHeight="1" x14ac:dyDescent="0.2">
      <c r="A194" s="57" t="s">
        <v>103</v>
      </c>
      <c r="B194" s="58">
        <v>0</v>
      </c>
      <c r="C194" s="58">
        <v>0</v>
      </c>
      <c r="D194" s="56">
        <v>0</v>
      </c>
      <c r="E194" s="58">
        <v>1</v>
      </c>
      <c r="F194" s="56">
        <v>0</v>
      </c>
      <c r="G194" s="58">
        <v>0</v>
      </c>
      <c r="H194" s="58">
        <v>0</v>
      </c>
      <c r="I194" s="58">
        <v>0</v>
      </c>
      <c r="J194" s="57">
        <f t="shared" si="17"/>
        <v>1</v>
      </c>
      <c r="K194" s="57">
        <f t="shared" si="18"/>
        <v>0</v>
      </c>
      <c r="L194" s="57">
        <f t="shared" si="19"/>
        <v>0</v>
      </c>
      <c r="M194" s="57">
        <f t="shared" si="20"/>
        <v>0</v>
      </c>
    </row>
    <row r="195" spans="1:13" ht="15" customHeight="1" x14ac:dyDescent="0.2">
      <c r="A195" s="57" t="s">
        <v>104</v>
      </c>
      <c r="B195" s="58">
        <v>0</v>
      </c>
      <c r="C195" s="58">
        <v>0</v>
      </c>
      <c r="D195" s="56">
        <v>0</v>
      </c>
      <c r="E195" s="58">
        <v>1</v>
      </c>
      <c r="F195" s="56">
        <v>0</v>
      </c>
      <c r="G195" s="58">
        <v>0</v>
      </c>
      <c r="H195" s="58">
        <v>0</v>
      </c>
      <c r="I195" s="58">
        <v>1</v>
      </c>
      <c r="J195" s="57">
        <f t="shared" si="17"/>
        <v>1</v>
      </c>
      <c r="K195" s="57">
        <f t="shared" si="18"/>
        <v>1</v>
      </c>
      <c r="L195" s="57">
        <f t="shared" si="19"/>
        <v>0</v>
      </c>
      <c r="M195" s="57">
        <f t="shared" si="20"/>
        <v>0</v>
      </c>
    </row>
    <row r="196" spans="1:13" ht="15" customHeight="1" x14ac:dyDescent="0.2">
      <c r="A196" s="57" t="s">
        <v>105</v>
      </c>
      <c r="B196" s="58">
        <v>0</v>
      </c>
      <c r="C196" s="58">
        <v>0</v>
      </c>
      <c r="D196" s="56">
        <v>0</v>
      </c>
      <c r="E196" s="58">
        <v>0</v>
      </c>
      <c r="F196" s="56">
        <v>0</v>
      </c>
      <c r="G196" s="58">
        <v>0</v>
      </c>
      <c r="H196" s="58">
        <v>0</v>
      </c>
      <c r="I196" s="58">
        <v>0</v>
      </c>
      <c r="J196" s="57">
        <f t="shared" si="17"/>
        <v>0</v>
      </c>
      <c r="K196" s="57">
        <f t="shared" si="18"/>
        <v>0</v>
      </c>
      <c r="L196" s="57">
        <f t="shared" si="19"/>
        <v>0</v>
      </c>
      <c r="M196" s="57">
        <f t="shared" si="20"/>
        <v>0</v>
      </c>
    </row>
    <row r="197" spans="1:13" s="33" customFormat="1" ht="15" customHeight="1" x14ac:dyDescent="0.2">
      <c r="A197" s="33" t="s">
        <v>106</v>
      </c>
      <c r="B197" s="34">
        <v>0</v>
      </c>
      <c r="C197" s="34">
        <v>0</v>
      </c>
      <c r="D197" s="34">
        <v>1</v>
      </c>
      <c r="E197" s="34">
        <v>0</v>
      </c>
      <c r="F197" s="34">
        <v>0</v>
      </c>
      <c r="G197" s="34">
        <v>0</v>
      </c>
      <c r="H197" s="34">
        <v>0</v>
      </c>
      <c r="I197" s="34">
        <v>0</v>
      </c>
      <c r="J197" s="33">
        <f t="shared" si="17"/>
        <v>0</v>
      </c>
      <c r="K197" s="33">
        <f t="shared" si="18"/>
        <v>0</v>
      </c>
      <c r="L197" s="33">
        <f t="shared" si="19"/>
        <v>1</v>
      </c>
      <c r="M197" s="33">
        <f t="shared" si="20"/>
        <v>0</v>
      </c>
    </row>
    <row r="198" spans="1:13" ht="15" customHeight="1" x14ac:dyDescent="0.2">
      <c r="A198" s="57" t="s">
        <v>107</v>
      </c>
      <c r="B198" s="58">
        <v>0</v>
      </c>
      <c r="C198" s="58">
        <v>0</v>
      </c>
      <c r="D198" s="56">
        <v>0</v>
      </c>
      <c r="E198" s="58">
        <v>0</v>
      </c>
      <c r="F198" s="56">
        <v>0</v>
      </c>
      <c r="G198" s="58">
        <v>0</v>
      </c>
      <c r="H198" s="58">
        <v>0</v>
      </c>
      <c r="I198" s="58">
        <v>0</v>
      </c>
      <c r="J198" s="57">
        <f t="shared" si="17"/>
        <v>0</v>
      </c>
      <c r="K198" s="57">
        <f t="shared" si="18"/>
        <v>0</v>
      </c>
      <c r="L198" s="57">
        <f t="shared" si="19"/>
        <v>0</v>
      </c>
      <c r="M198" s="57">
        <f t="shared" si="20"/>
        <v>0</v>
      </c>
    </row>
    <row r="199" spans="1:13" ht="15" customHeight="1" x14ac:dyDescent="0.2">
      <c r="A199" s="57" t="s">
        <v>108</v>
      </c>
      <c r="B199" s="58">
        <v>0</v>
      </c>
      <c r="C199" s="58">
        <v>0</v>
      </c>
      <c r="D199" s="56">
        <v>0</v>
      </c>
      <c r="E199" s="58">
        <v>0</v>
      </c>
      <c r="F199" s="56">
        <v>0</v>
      </c>
      <c r="G199" s="58">
        <v>0</v>
      </c>
      <c r="H199" s="58">
        <v>0</v>
      </c>
      <c r="I199" s="58">
        <v>0</v>
      </c>
      <c r="J199" s="57">
        <f t="shared" si="17"/>
        <v>0</v>
      </c>
      <c r="K199" s="57">
        <f t="shared" si="18"/>
        <v>0</v>
      </c>
      <c r="L199" s="57">
        <f t="shared" si="19"/>
        <v>0</v>
      </c>
      <c r="M199" s="57">
        <f t="shared" si="20"/>
        <v>0</v>
      </c>
    </row>
    <row r="200" spans="1:13" ht="15" customHeight="1" x14ac:dyDescent="0.2">
      <c r="A200" s="57" t="s">
        <v>109</v>
      </c>
      <c r="B200" s="58">
        <v>0</v>
      </c>
      <c r="C200" s="58">
        <v>0</v>
      </c>
      <c r="D200" s="56">
        <v>0</v>
      </c>
      <c r="E200" s="58">
        <v>0</v>
      </c>
      <c r="F200" s="56">
        <v>0</v>
      </c>
      <c r="G200" s="58">
        <v>0</v>
      </c>
      <c r="H200" s="58">
        <v>0</v>
      </c>
      <c r="I200" s="58">
        <v>0</v>
      </c>
      <c r="J200" s="57">
        <f t="shared" si="17"/>
        <v>0</v>
      </c>
      <c r="K200" s="57">
        <f t="shared" si="18"/>
        <v>0</v>
      </c>
      <c r="L200" s="57">
        <f t="shared" si="19"/>
        <v>0</v>
      </c>
      <c r="M200" s="57">
        <f t="shared" si="20"/>
        <v>0</v>
      </c>
    </row>
    <row r="201" spans="1:13" ht="15" customHeight="1" x14ac:dyDescent="0.2">
      <c r="A201" s="57" t="s">
        <v>110</v>
      </c>
      <c r="B201" s="58">
        <v>0</v>
      </c>
      <c r="C201" s="58">
        <v>0</v>
      </c>
      <c r="D201" s="56">
        <v>0</v>
      </c>
      <c r="E201" s="58">
        <v>0</v>
      </c>
      <c r="F201" s="56">
        <v>0</v>
      </c>
      <c r="G201" s="58">
        <v>0</v>
      </c>
      <c r="H201" s="58">
        <v>0</v>
      </c>
      <c r="I201" s="58">
        <v>0</v>
      </c>
      <c r="J201" s="57">
        <f t="shared" si="17"/>
        <v>0</v>
      </c>
      <c r="K201" s="57">
        <f t="shared" si="18"/>
        <v>0</v>
      </c>
      <c r="L201" s="57">
        <f t="shared" si="19"/>
        <v>0</v>
      </c>
      <c r="M201" s="57">
        <f t="shared" si="20"/>
        <v>0</v>
      </c>
    </row>
    <row r="202" spans="1:13" ht="15" customHeight="1" x14ac:dyDescent="0.2">
      <c r="B202" s="57">
        <f t="shared" ref="B202:M202" si="21">SUM(B10:B201)</f>
        <v>6</v>
      </c>
      <c r="C202" s="57">
        <f t="shared" si="21"/>
        <v>54</v>
      </c>
      <c r="D202" s="45">
        <f t="shared" si="21"/>
        <v>11</v>
      </c>
      <c r="E202" s="57">
        <f t="shared" si="21"/>
        <v>59</v>
      </c>
      <c r="F202" s="45">
        <f t="shared" si="21"/>
        <v>19</v>
      </c>
      <c r="G202" s="57">
        <f t="shared" si="21"/>
        <v>62</v>
      </c>
      <c r="H202" s="57">
        <f t="shared" si="21"/>
        <v>2</v>
      </c>
      <c r="I202" s="57">
        <f t="shared" si="21"/>
        <v>30</v>
      </c>
      <c r="J202" s="57">
        <f t="shared" si="21"/>
        <v>121</v>
      </c>
      <c r="K202" s="57">
        <f t="shared" si="21"/>
        <v>84</v>
      </c>
      <c r="L202" s="57">
        <f t="shared" si="21"/>
        <v>30</v>
      </c>
      <c r="M202" s="57">
        <f t="shared" si="21"/>
        <v>8</v>
      </c>
    </row>
    <row r="204" spans="1:13" ht="15" customHeight="1" x14ac:dyDescent="0.2">
      <c r="K204" s="88" t="s">
        <v>212</v>
      </c>
      <c r="L204" s="6">
        <f>SUM(L38:L87,L134:L183)</f>
        <v>23</v>
      </c>
    </row>
    <row r="205" spans="1:13" ht="15" customHeight="1" x14ac:dyDescent="0.2">
      <c r="K205" s="88" t="s">
        <v>213</v>
      </c>
      <c r="L205" s="6">
        <f>L202-L204</f>
        <v>7</v>
      </c>
    </row>
  </sheetData>
  <mergeCells count="8">
    <mergeCell ref="A4:B4"/>
    <mergeCell ref="C4:I4"/>
    <mergeCell ref="A1:B1"/>
    <mergeCell ref="C1:I1"/>
    <mergeCell ref="A2:B2"/>
    <mergeCell ref="C2:I2"/>
    <mergeCell ref="A3:B3"/>
    <mergeCell ref="C3:I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Totals</vt:lpstr>
      <vt:lpstr>Winter Park Road</vt:lpstr>
      <vt:lpstr>Lakemont</vt:lpstr>
      <vt:lpstr>Livingston</vt:lpstr>
      <vt:lpstr>Summerlin</vt:lpstr>
      <vt:lpstr>Kaley</vt:lpstr>
      <vt:lpstr>Glenridge</vt:lpstr>
      <vt:lpstr>University</vt:lpstr>
      <vt:lpstr>S Orange</vt:lpstr>
      <vt:lpstr>Curry Ford</vt:lpstr>
      <vt:lpstr>Alafaya</vt:lpstr>
      <vt:lpstr>Colonial</vt:lpstr>
      <vt:lpstr>Lee</vt:lpstr>
      <vt:lpstr>Par</vt:lpstr>
      <vt:lpstr>Clay</vt:lpstr>
      <vt:lpstr>N Orange</vt:lpstr>
      <vt:lpstr>Edgewater</vt:lpstr>
      <vt:lpstr>Pine Hills NBL</vt:lpstr>
      <vt:lpstr>Pine Hills BL</vt:lpstr>
      <vt:lpstr>Carroll NBL</vt:lpstr>
      <vt:lpstr>Columbia BL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Winter Park Road</dc:title>
  <dc:creator>Mighk Wilson</dc:creator>
  <cp:lastModifiedBy>Mighk Wilson</cp:lastModifiedBy>
  <dcterms:created xsi:type="dcterms:W3CDTF">2019-07-02T00:00:00Z</dcterms:created>
  <dcterms:modified xsi:type="dcterms:W3CDTF">2020-02-27T18:48:26Z</dcterms:modified>
</cp:coreProperties>
</file>