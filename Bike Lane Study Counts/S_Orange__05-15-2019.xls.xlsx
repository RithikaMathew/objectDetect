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lanning Department\Bike &amp; Ped\Bicycle &amp; Pedestrian Counts\MioVision\Bike Lane Study Counts\"/>
    </mc:Choice>
  </mc:AlternateContent>
  <xr:revisionPtr revIDLastSave="0" documentId="13_ncr:1_{0933A0AE-1A2E-4568-9E53-D260808442C8}" xr6:coauthVersionLast="47" xr6:coauthVersionMax="47" xr10:uidLastSave="{00000000-0000-0000-0000-000000000000}"/>
  <bookViews>
    <workbookView xWindow="760" yWindow="990" windowWidth="24840" windowHeight="13250" activeTab="1" xr2:uid="{00000000-000D-0000-FFFF-FFFF00000000}"/>
  </bookViews>
  <sheets>
    <sheet name="Pedestrians" sheetId="1" r:id="rId1"/>
    <sheet name="Bicyc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02" i="2" l="1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10" i="2"/>
  <c r="J206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193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97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4" i="1"/>
  <c r="I206" i="1"/>
  <c r="H206" i="1"/>
  <c r="G206" i="1"/>
  <c r="F206" i="1"/>
  <c r="I202" i="2"/>
  <c r="H202" i="2"/>
  <c r="G202" i="2"/>
  <c r="F202" i="2"/>
  <c r="E202" i="2"/>
  <c r="D202" i="2"/>
  <c r="C202" i="2"/>
  <c r="B202" i="2"/>
  <c r="M201" i="2"/>
  <c r="L201" i="2"/>
  <c r="K201" i="2"/>
  <c r="J201" i="2"/>
  <c r="M200" i="2"/>
  <c r="L200" i="2"/>
  <c r="K200" i="2"/>
  <c r="J200" i="2"/>
  <c r="M199" i="2"/>
  <c r="L199" i="2"/>
  <c r="K199" i="2"/>
  <c r="J199" i="2"/>
  <c r="M198" i="2"/>
  <c r="L198" i="2"/>
  <c r="K198" i="2"/>
  <c r="J198" i="2"/>
  <c r="M197" i="2"/>
  <c r="L197" i="2"/>
  <c r="K197" i="2"/>
  <c r="J197" i="2"/>
  <c r="M196" i="2"/>
  <c r="L196" i="2"/>
  <c r="K196" i="2"/>
  <c r="J196" i="2"/>
  <c r="M195" i="2"/>
  <c r="L195" i="2"/>
  <c r="K195" i="2"/>
  <c r="J195" i="2"/>
  <c r="M194" i="2"/>
  <c r="L194" i="2"/>
  <c r="K194" i="2"/>
  <c r="J194" i="2"/>
  <c r="M193" i="2"/>
  <c r="L193" i="2"/>
  <c r="K193" i="2"/>
  <c r="J193" i="2"/>
  <c r="M192" i="2"/>
  <c r="L192" i="2"/>
  <c r="K192" i="2"/>
  <c r="J192" i="2"/>
  <c r="M191" i="2"/>
  <c r="L191" i="2"/>
  <c r="K191" i="2"/>
  <c r="J191" i="2"/>
  <c r="M190" i="2"/>
  <c r="L190" i="2"/>
  <c r="K190" i="2"/>
  <c r="J190" i="2"/>
  <c r="M189" i="2"/>
  <c r="L189" i="2"/>
  <c r="K189" i="2"/>
  <c r="J189" i="2"/>
  <c r="M188" i="2"/>
  <c r="L188" i="2"/>
  <c r="K188" i="2"/>
  <c r="J188" i="2"/>
  <c r="M187" i="2"/>
  <c r="L187" i="2"/>
  <c r="K187" i="2"/>
  <c r="J187" i="2"/>
  <c r="M186" i="2"/>
  <c r="L186" i="2"/>
  <c r="K186" i="2"/>
  <c r="J186" i="2"/>
  <c r="M185" i="2"/>
  <c r="L185" i="2"/>
  <c r="K185" i="2"/>
  <c r="J185" i="2"/>
  <c r="M184" i="2"/>
  <c r="L184" i="2"/>
  <c r="K184" i="2"/>
  <c r="J184" i="2"/>
  <c r="M183" i="2"/>
  <c r="L183" i="2"/>
  <c r="K183" i="2"/>
  <c r="J183" i="2"/>
  <c r="M182" i="2"/>
  <c r="L182" i="2"/>
  <c r="K182" i="2"/>
  <c r="J182" i="2"/>
  <c r="M181" i="2"/>
  <c r="L181" i="2"/>
  <c r="K181" i="2"/>
  <c r="J181" i="2"/>
  <c r="M180" i="2"/>
  <c r="L180" i="2"/>
  <c r="K180" i="2"/>
  <c r="J180" i="2"/>
  <c r="M179" i="2"/>
  <c r="L179" i="2"/>
  <c r="K179" i="2"/>
  <c r="J179" i="2"/>
  <c r="M178" i="2"/>
  <c r="L178" i="2"/>
  <c r="K178" i="2"/>
  <c r="J178" i="2"/>
  <c r="M177" i="2"/>
  <c r="L177" i="2"/>
  <c r="K177" i="2"/>
  <c r="J177" i="2"/>
  <c r="M176" i="2"/>
  <c r="L176" i="2"/>
  <c r="K176" i="2"/>
  <c r="J176" i="2"/>
  <c r="M175" i="2"/>
  <c r="L175" i="2"/>
  <c r="K175" i="2"/>
  <c r="J175" i="2"/>
  <c r="M174" i="2"/>
  <c r="L174" i="2"/>
  <c r="K174" i="2"/>
  <c r="J174" i="2"/>
  <c r="M173" i="2"/>
  <c r="L173" i="2"/>
  <c r="K173" i="2"/>
  <c r="J173" i="2"/>
  <c r="M172" i="2"/>
  <c r="L172" i="2"/>
  <c r="K172" i="2"/>
  <c r="J172" i="2"/>
  <c r="M171" i="2"/>
  <c r="L171" i="2"/>
  <c r="K171" i="2"/>
  <c r="J171" i="2"/>
  <c r="M170" i="2"/>
  <c r="L170" i="2"/>
  <c r="K170" i="2"/>
  <c r="J170" i="2"/>
  <c r="M169" i="2"/>
  <c r="L169" i="2"/>
  <c r="K169" i="2"/>
  <c r="J169" i="2"/>
  <c r="M168" i="2"/>
  <c r="L168" i="2"/>
  <c r="K168" i="2"/>
  <c r="J168" i="2"/>
  <c r="M167" i="2"/>
  <c r="L167" i="2"/>
  <c r="K167" i="2"/>
  <c r="J167" i="2"/>
  <c r="M166" i="2"/>
  <c r="L166" i="2"/>
  <c r="K166" i="2"/>
  <c r="J166" i="2"/>
  <c r="M165" i="2"/>
  <c r="L165" i="2"/>
  <c r="K165" i="2"/>
  <c r="J165" i="2"/>
  <c r="M164" i="2"/>
  <c r="L164" i="2"/>
  <c r="K164" i="2"/>
  <c r="J164" i="2"/>
  <c r="M163" i="2"/>
  <c r="L163" i="2"/>
  <c r="K163" i="2"/>
  <c r="J163" i="2"/>
  <c r="M162" i="2"/>
  <c r="L162" i="2"/>
  <c r="K162" i="2"/>
  <c r="J162" i="2"/>
  <c r="M161" i="2"/>
  <c r="L161" i="2"/>
  <c r="K161" i="2"/>
  <c r="J161" i="2"/>
  <c r="M160" i="2"/>
  <c r="L160" i="2"/>
  <c r="K160" i="2"/>
  <c r="J160" i="2"/>
  <c r="M159" i="2"/>
  <c r="L159" i="2"/>
  <c r="K159" i="2"/>
  <c r="J159" i="2"/>
  <c r="M158" i="2"/>
  <c r="L158" i="2"/>
  <c r="K158" i="2"/>
  <c r="J158" i="2"/>
  <c r="M157" i="2"/>
  <c r="L157" i="2"/>
  <c r="K157" i="2"/>
  <c r="J157" i="2"/>
  <c r="M156" i="2"/>
  <c r="L156" i="2"/>
  <c r="K156" i="2"/>
  <c r="J156" i="2"/>
  <c r="M155" i="2"/>
  <c r="L155" i="2"/>
  <c r="K155" i="2"/>
  <c r="J155" i="2"/>
  <c r="M154" i="2"/>
  <c r="L154" i="2"/>
  <c r="K154" i="2"/>
  <c r="J154" i="2"/>
  <c r="M153" i="2"/>
  <c r="L153" i="2"/>
  <c r="K153" i="2"/>
  <c r="J153" i="2"/>
  <c r="M152" i="2"/>
  <c r="L152" i="2"/>
  <c r="K152" i="2"/>
  <c r="J152" i="2"/>
  <c r="M151" i="2"/>
  <c r="L151" i="2"/>
  <c r="K151" i="2"/>
  <c r="J151" i="2"/>
  <c r="M150" i="2"/>
  <c r="L150" i="2"/>
  <c r="K150" i="2"/>
  <c r="J150" i="2"/>
  <c r="M149" i="2"/>
  <c r="L149" i="2"/>
  <c r="K149" i="2"/>
  <c r="J149" i="2"/>
  <c r="M148" i="2"/>
  <c r="L148" i="2"/>
  <c r="K148" i="2"/>
  <c r="J148" i="2"/>
  <c r="M147" i="2"/>
  <c r="L147" i="2"/>
  <c r="K147" i="2"/>
  <c r="J147" i="2"/>
  <c r="M146" i="2"/>
  <c r="L146" i="2"/>
  <c r="K146" i="2"/>
  <c r="J146" i="2"/>
  <c r="M145" i="2"/>
  <c r="L145" i="2"/>
  <c r="K145" i="2"/>
  <c r="J145" i="2"/>
  <c r="M144" i="2"/>
  <c r="L144" i="2"/>
  <c r="K144" i="2"/>
  <c r="J144" i="2"/>
  <c r="M143" i="2"/>
  <c r="L143" i="2"/>
  <c r="K143" i="2"/>
  <c r="J143" i="2"/>
  <c r="M142" i="2"/>
  <c r="L142" i="2"/>
  <c r="K142" i="2"/>
  <c r="J142" i="2"/>
  <c r="M141" i="2"/>
  <c r="L141" i="2"/>
  <c r="K141" i="2"/>
  <c r="J141" i="2"/>
  <c r="M140" i="2"/>
  <c r="L140" i="2"/>
  <c r="K140" i="2"/>
  <c r="J140" i="2"/>
  <c r="M139" i="2"/>
  <c r="L139" i="2"/>
  <c r="K139" i="2"/>
  <c r="J139" i="2"/>
  <c r="M138" i="2"/>
  <c r="L138" i="2"/>
  <c r="K138" i="2"/>
  <c r="J138" i="2"/>
  <c r="M137" i="2"/>
  <c r="L137" i="2"/>
  <c r="K137" i="2"/>
  <c r="J137" i="2"/>
  <c r="M136" i="2"/>
  <c r="L136" i="2"/>
  <c r="K136" i="2"/>
  <c r="J136" i="2"/>
  <c r="M135" i="2"/>
  <c r="L135" i="2"/>
  <c r="K135" i="2"/>
  <c r="J135" i="2"/>
  <c r="M134" i="2"/>
  <c r="L134" i="2"/>
  <c r="K134" i="2"/>
  <c r="J134" i="2"/>
  <c r="M133" i="2"/>
  <c r="L133" i="2"/>
  <c r="K133" i="2"/>
  <c r="J133" i="2"/>
  <c r="M132" i="2"/>
  <c r="L132" i="2"/>
  <c r="K132" i="2"/>
  <c r="J132" i="2"/>
  <c r="M131" i="2"/>
  <c r="L131" i="2"/>
  <c r="K131" i="2"/>
  <c r="J131" i="2"/>
  <c r="M130" i="2"/>
  <c r="L130" i="2"/>
  <c r="K130" i="2"/>
  <c r="J130" i="2"/>
  <c r="M129" i="2"/>
  <c r="L129" i="2"/>
  <c r="K129" i="2"/>
  <c r="J129" i="2"/>
  <c r="M128" i="2"/>
  <c r="L128" i="2"/>
  <c r="K128" i="2"/>
  <c r="J128" i="2"/>
  <c r="M127" i="2"/>
  <c r="L127" i="2"/>
  <c r="K127" i="2"/>
  <c r="J127" i="2"/>
  <c r="M126" i="2"/>
  <c r="L126" i="2"/>
  <c r="K126" i="2"/>
  <c r="J126" i="2"/>
  <c r="M125" i="2"/>
  <c r="L125" i="2"/>
  <c r="K125" i="2"/>
  <c r="J125" i="2"/>
  <c r="M124" i="2"/>
  <c r="L124" i="2"/>
  <c r="K124" i="2"/>
  <c r="J124" i="2"/>
  <c r="M123" i="2"/>
  <c r="L123" i="2"/>
  <c r="K123" i="2"/>
  <c r="J123" i="2"/>
  <c r="M122" i="2"/>
  <c r="L122" i="2"/>
  <c r="K122" i="2"/>
  <c r="J122" i="2"/>
  <c r="M121" i="2"/>
  <c r="L121" i="2"/>
  <c r="K121" i="2"/>
  <c r="J121" i="2"/>
  <c r="M120" i="2"/>
  <c r="L120" i="2"/>
  <c r="K120" i="2"/>
  <c r="J120" i="2"/>
  <c r="M119" i="2"/>
  <c r="L119" i="2"/>
  <c r="K119" i="2"/>
  <c r="J119" i="2"/>
  <c r="M118" i="2"/>
  <c r="L118" i="2"/>
  <c r="K118" i="2"/>
  <c r="J118" i="2"/>
  <c r="M117" i="2"/>
  <c r="L117" i="2"/>
  <c r="K117" i="2"/>
  <c r="J117" i="2"/>
  <c r="M116" i="2"/>
  <c r="L116" i="2"/>
  <c r="K116" i="2"/>
  <c r="J116" i="2"/>
  <c r="M115" i="2"/>
  <c r="L115" i="2"/>
  <c r="K115" i="2"/>
  <c r="J115" i="2"/>
  <c r="M114" i="2"/>
  <c r="L114" i="2"/>
  <c r="K114" i="2"/>
  <c r="J114" i="2"/>
  <c r="M113" i="2"/>
  <c r="L113" i="2"/>
  <c r="K113" i="2"/>
  <c r="J113" i="2"/>
  <c r="M112" i="2"/>
  <c r="L112" i="2"/>
  <c r="K112" i="2"/>
  <c r="J112" i="2"/>
  <c r="M111" i="2"/>
  <c r="L111" i="2"/>
  <c r="K111" i="2"/>
  <c r="J111" i="2"/>
  <c r="M110" i="2"/>
  <c r="L110" i="2"/>
  <c r="K110" i="2"/>
  <c r="J110" i="2"/>
  <c r="M109" i="2"/>
  <c r="L109" i="2"/>
  <c r="K109" i="2"/>
  <c r="J109" i="2"/>
  <c r="M108" i="2"/>
  <c r="L108" i="2"/>
  <c r="K108" i="2"/>
  <c r="J108" i="2"/>
  <c r="M107" i="2"/>
  <c r="L107" i="2"/>
  <c r="K107" i="2"/>
  <c r="J107" i="2"/>
  <c r="M106" i="2"/>
  <c r="L106" i="2"/>
  <c r="K106" i="2"/>
  <c r="J106" i="2"/>
  <c r="M105" i="2"/>
  <c r="L105" i="2"/>
  <c r="K105" i="2"/>
  <c r="J105" i="2"/>
  <c r="M104" i="2"/>
  <c r="L104" i="2"/>
  <c r="K104" i="2"/>
  <c r="J104" i="2"/>
  <c r="M103" i="2"/>
  <c r="L103" i="2"/>
  <c r="K103" i="2"/>
  <c r="J103" i="2"/>
  <c r="M102" i="2"/>
  <c r="L102" i="2"/>
  <c r="K102" i="2"/>
  <c r="J102" i="2"/>
  <c r="M101" i="2"/>
  <c r="L101" i="2"/>
  <c r="K101" i="2"/>
  <c r="J101" i="2"/>
  <c r="M100" i="2"/>
  <c r="L100" i="2"/>
  <c r="K100" i="2"/>
  <c r="J100" i="2"/>
  <c r="M99" i="2"/>
  <c r="L99" i="2"/>
  <c r="K99" i="2"/>
  <c r="J99" i="2"/>
  <c r="M98" i="2"/>
  <c r="L98" i="2"/>
  <c r="K98" i="2"/>
  <c r="J98" i="2"/>
  <c r="M97" i="2"/>
  <c r="L97" i="2"/>
  <c r="K97" i="2"/>
  <c r="J97" i="2"/>
  <c r="M96" i="2"/>
  <c r="L96" i="2"/>
  <c r="K96" i="2"/>
  <c r="J96" i="2"/>
  <c r="M95" i="2"/>
  <c r="L95" i="2"/>
  <c r="K95" i="2"/>
  <c r="J95" i="2"/>
  <c r="M94" i="2"/>
  <c r="L94" i="2"/>
  <c r="K94" i="2"/>
  <c r="J94" i="2"/>
  <c r="M93" i="2"/>
  <c r="L93" i="2"/>
  <c r="K93" i="2"/>
  <c r="J93" i="2"/>
  <c r="M92" i="2"/>
  <c r="L92" i="2"/>
  <c r="K92" i="2"/>
  <c r="J92" i="2"/>
  <c r="M91" i="2"/>
  <c r="L91" i="2"/>
  <c r="K91" i="2"/>
  <c r="J91" i="2"/>
  <c r="M90" i="2"/>
  <c r="L90" i="2"/>
  <c r="K90" i="2"/>
  <c r="J90" i="2"/>
  <c r="M89" i="2"/>
  <c r="L89" i="2"/>
  <c r="K89" i="2"/>
  <c r="J89" i="2"/>
  <c r="M88" i="2"/>
  <c r="L88" i="2"/>
  <c r="K88" i="2"/>
  <c r="J88" i="2"/>
  <c r="M87" i="2"/>
  <c r="L87" i="2"/>
  <c r="K87" i="2"/>
  <c r="J87" i="2"/>
  <c r="M86" i="2"/>
  <c r="L86" i="2"/>
  <c r="K86" i="2"/>
  <c r="J86" i="2"/>
  <c r="M85" i="2"/>
  <c r="L85" i="2"/>
  <c r="K85" i="2"/>
  <c r="J85" i="2"/>
  <c r="M84" i="2"/>
  <c r="L84" i="2"/>
  <c r="K84" i="2"/>
  <c r="J84" i="2"/>
  <c r="M83" i="2"/>
  <c r="L83" i="2"/>
  <c r="K83" i="2"/>
  <c r="J83" i="2"/>
  <c r="M82" i="2"/>
  <c r="L82" i="2"/>
  <c r="K82" i="2"/>
  <c r="J82" i="2"/>
  <c r="M81" i="2"/>
  <c r="L81" i="2"/>
  <c r="K81" i="2"/>
  <c r="J81" i="2"/>
  <c r="M80" i="2"/>
  <c r="L80" i="2"/>
  <c r="K80" i="2"/>
  <c r="J80" i="2"/>
  <c r="M79" i="2"/>
  <c r="L79" i="2"/>
  <c r="K79" i="2"/>
  <c r="J79" i="2"/>
  <c r="M78" i="2"/>
  <c r="L78" i="2"/>
  <c r="K78" i="2"/>
  <c r="J78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K72" i="2"/>
  <c r="J72" i="2"/>
  <c r="M71" i="2"/>
  <c r="L71" i="2"/>
  <c r="K71" i="2"/>
  <c r="J71" i="2"/>
  <c r="M70" i="2"/>
  <c r="L70" i="2"/>
  <c r="K70" i="2"/>
  <c r="J70" i="2"/>
  <c r="M69" i="2"/>
  <c r="L69" i="2"/>
  <c r="K69" i="2"/>
  <c r="J69" i="2"/>
  <c r="M68" i="2"/>
  <c r="L68" i="2"/>
  <c r="K68" i="2"/>
  <c r="J68" i="2"/>
  <c r="M67" i="2"/>
  <c r="L67" i="2"/>
  <c r="K67" i="2"/>
  <c r="J67" i="2"/>
  <c r="M66" i="2"/>
  <c r="L66" i="2"/>
  <c r="K66" i="2"/>
  <c r="J66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L62" i="2"/>
  <c r="K62" i="2"/>
  <c r="J62" i="2"/>
  <c r="M61" i="2"/>
  <c r="L61" i="2"/>
  <c r="K61" i="2"/>
  <c r="J61" i="2"/>
  <c r="M60" i="2"/>
  <c r="L60" i="2"/>
  <c r="K60" i="2"/>
  <c r="J60" i="2"/>
  <c r="M59" i="2"/>
  <c r="L59" i="2"/>
  <c r="K59" i="2"/>
  <c r="J59" i="2"/>
  <c r="M58" i="2"/>
  <c r="L58" i="2"/>
  <c r="K58" i="2"/>
  <c r="J58" i="2"/>
  <c r="M57" i="2"/>
  <c r="L57" i="2"/>
  <c r="K57" i="2"/>
  <c r="J57" i="2"/>
  <c r="M56" i="2"/>
  <c r="L56" i="2"/>
  <c r="K56" i="2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M51" i="2"/>
  <c r="L51" i="2"/>
  <c r="K51" i="2"/>
  <c r="J51" i="2"/>
  <c r="M50" i="2"/>
  <c r="L50" i="2"/>
  <c r="K50" i="2"/>
  <c r="J50" i="2"/>
  <c r="M49" i="2"/>
  <c r="L49" i="2"/>
  <c r="K49" i="2"/>
  <c r="J49" i="2"/>
  <c r="M48" i="2"/>
  <c r="L48" i="2"/>
  <c r="K48" i="2"/>
  <c r="J48" i="2"/>
  <c r="M47" i="2"/>
  <c r="L47" i="2"/>
  <c r="K47" i="2"/>
  <c r="J47" i="2"/>
  <c r="M46" i="2"/>
  <c r="L46" i="2"/>
  <c r="K46" i="2"/>
  <c r="J46" i="2"/>
  <c r="M45" i="2"/>
  <c r="L45" i="2"/>
  <c r="K45" i="2"/>
  <c r="J45" i="2"/>
  <c r="M44" i="2"/>
  <c r="L44" i="2"/>
  <c r="K44" i="2"/>
  <c r="J44" i="2"/>
  <c r="M43" i="2"/>
  <c r="L43" i="2"/>
  <c r="K43" i="2"/>
  <c r="J43" i="2"/>
  <c r="M42" i="2"/>
  <c r="L42" i="2"/>
  <c r="K42" i="2"/>
  <c r="J42" i="2"/>
  <c r="M41" i="2"/>
  <c r="L41" i="2"/>
  <c r="K41" i="2"/>
  <c r="J41" i="2"/>
  <c r="M40" i="2"/>
  <c r="L40" i="2"/>
  <c r="K40" i="2"/>
  <c r="J40" i="2"/>
  <c r="M39" i="2"/>
  <c r="L39" i="2"/>
  <c r="K39" i="2"/>
  <c r="J39" i="2"/>
  <c r="M38" i="2"/>
  <c r="L38" i="2"/>
  <c r="K38" i="2"/>
  <c r="J38" i="2"/>
  <c r="M37" i="2"/>
  <c r="L37" i="2"/>
  <c r="K37" i="2"/>
  <c r="J37" i="2"/>
  <c r="M36" i="2"/>
  <c r="L36" i="2"/>
  <c r="K36" i="2"/>
  <c r="J36" i="2"/>
  <c r="M35" i="2"/>
  <c r="L35" i="2"/>
  <c r="K35" i="2"/>
  <c r="J35" i="2"/>
  <c r="M34" i="2"/>
  <c r="L34" i="2"/>
  <c r="K34" i="2"/>
  <c r="J34" i="2"/>
  <c r="M33" i="2"/>
  <c r="L33" i="2"/>
  <c r="K33" i="2"/>
  <c r="J33" i="2"/>
  <c r="M32" i="2"/>
  <c r="L32" i="2"/>
  <c r="K32" i="2"/>
  <c r="J32" i="2"/>
  <c r="M31" i="2"/>
  <c r="L31" i="2"/>
  <c r="K31" i="2"/>
  <c r="J31" i="2"/>
  <c r="M30" i="2"/>
  <c r="L30" i="2"/>
  <c r="K30" i="2"/>
  <c r="J30" i="2"/>
  <c r="M29" i="2"/>
  <c r="L29" i="2"/>
  <c r="K29" i="2"/>
  <c r="J29" i="2"/>
  <c r="M28" i="2"/>
  <c r="L28" i="2"/>
  <c r="K28" i="2"/>
  <c r="J28" i="2"/>
  <c r="M27" i="2"/>
  <c r="L27" i="2"/>
  <c r="K27" i="2"/>
  <c r="J27" i="2"/>
  <c r="M26" i="2"/>
  <c r="L26" i="2"/>
  <c r="K26" i="2"/>
  <c r="J26" i="2"/>
  <c r="M25" i="2"/>
  <c r="L25" i="2"/>
  <c r="K25" i="2"/>
  <c r="J25" i="2"/>
  <c r="M24" i="2"/>
  <c r="L24" i="2"/>
  <c r="K24" i="2"/>
  <c r="J24" i="2"/>
  <c r="M23" i="2"/>
  <c r="L23" i="2"/>
  <c r="K23" i="2"/>
  <c r="J23" i="2"/>
  <c r="M22" i="2"/>
  <c r="L22" i="2"/>
  <c r="K22" i="2"/>
  <c r="J22" i="2"/>
  <c r="M21" i="2"/>
  <c r="L21" i="2"/>
  <c r="K21" i="2"/>
  <c r="J21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10" i="2"/>
  <c r="M202" i="2" s="1"/>
  <c r="L10" i="2"/>
  <c r="L202" i="2" s="1"/>
  <c r="K10" i="2"/>
  <c r="K202" i="2" s="1"/>
  <c r="J10" i="2"/>
  <c r="J202" i="2" s="1"/>
  <c r="E206" i="1"/>
  <c r="D206" i="1"/>
  <c r="C206" i="1"/>
  <c r="B206" i="1"/>
</calcChain>
</file>

<file path=xl/sharedStrings.xml><?xml version="1.0" encoding="utf-8"?>
<sst xmlns="http://schemas.openxmlformats.org/spreadsheetml/2006/main" count="458" uniqueCount="117">
  <si>
    <t>Study Name</t>
  </si>
  <si>
    <t>S Orange NB</t>
  </si>
  <si>
    <t>Start Date</t>
  </si>
  <si>
    <t>05/15/2019</t>
  </si>
  <si>
    <t>Start Time</t>
  </si>
  <si>
    <t>12:00 AM</t>
  </si>
  <si>
    <t>Site Code</t>
  </si>
  <si>
    <t/>
  </si>
  <si>
    <t>Channel</t>
  </si>
  <si>
    <t>S Orange NB Bike Lane</t>
  </si>
  <si>
    <t>S Orange NB Sidewalk</t>
  </si>
  <si>
    <t>Direction</t>
  </si>
  <si>
    <t>Southbound</t>
  </si>
  <si>
    <t>Northbound</t>
  </si>
  <si>
    <t>12:15 AM</t>
  </si>
  <si>
    <t>12:30 AM</t>
  </si>
  <si>
    <t>12:45 AM</t>
  </si>
  <si>
    <t>1:00 AM</t>
  </si>
  <si>
    <t>1:15 AM</t>
  </si>
  <si>
    <t>1:30 AM</t>
  </si>
  <si>
    <t>1:45 AM</t>
  </si>
  <si>
    <t>2:00 AM</t>
  </si>
  <si>
    <t>2:15 AM</t>
  </si>
  <si>
    <t>2:30 AM</t>
  </si>
  <si>
    <t>2:45 AM</t>
  </si>
  <si>
    <t>3:00 AM</t>
  </si>
  <si>
    <t>3:15 AM</t>
  </si>
  <si>
    <t>3:30 AM</t>
  </si>
  <si>
    <t>3:45 AM</t>
  </si>
  <si>
    <t>4:00 AM</t>
  </si>
  <si>
    <t>4:15 AM</t>
  </si>
  <si>
    <t>4:30 AM</t>
  </si>
  <si>
    <t>4:45 AM</t>
  </si>
  <si>
    <t>5:00 AM</t>
  </si>
  <si>
    <t>5:15 AM</t>
  </si>
  <si>
    <t>5:30 AM</t>
  </si>
  <si>
    <t>5:45 AM</t>
  </si>
  <si>
    <t>6:00 AM</t>
  </si>
  <si>
    <t>6:15 AM</t>
  </si>
  <si>
    <t>6:30 AM</t>
  </si>
  <si>
    <t>6:45 AM</t>
  </si>
  <si>
    <t>7:00 AM</t>
  </si>
  <si>
    <t>7:15 AM</t>
  </si>
  <si>
    <t>7:30 AM</t>
  </si>
  <si>
    <t>7:45 AM</t>
  </si>
  <si>
    <t>8:00 AM</t>
  </si>
  <si>
    <t>8:15 AM</t>
  </si>
  <si>
    <t>8:30 AM</t>
  </si>
  <si>
    <t>8:45 AM</t>
  </si>
  <si>
    <t>9:00 AM</t>
  </si>
  <si>
    <t>9:15 AM</t>
  </si>
  <si>
    <t>9:30 AM</t>
  </si>
  <si>
    <t>9:45 AM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</si>
  <si>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</si>
  <si>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</si>
  <si>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</si>
  <si>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</si>
  <si>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</si>
  <si>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</si>
  <si>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</si>
  <si>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</si>
  <si>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</si>
  <si>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</si>
  <si>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</si>
  <si>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</si>
  <si>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</si>
  <si>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1:15 PM</t>
  </si>
  <si>
    <t>1:30 PM</t>
  </si>
  <si>
    <t>1:45 PM</t>
  </si>
  <si>
    <t>2:00 PM</t>
  </si>
  <si>
    <t>2:15 PM</t>
  </si>
  <si>
    <t>2:30 PM</t>
  </si>
  <si>
    <t>2:45 PM</t>
  </si>
  <si>
    <t>3:00 PM</t>
  </si>
  <si>
    <t>3:15 PM</t>
  </si>
  <si>
    <t>3:30 PM</t>
  </si>
  <si>
    <t>3:45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</si>
  <si>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</si>
  <si>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</si>
  <si>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</si>
  <si>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</si>
  <si>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</si>
  <si>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</si>
  <si>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</si>
  <si>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</si>
  <si>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</si>
  <si>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6:15 PM</t>
  </si>
  <si>
    <t>6:30 PM</t>
  </si>
  <si>
    <t>6:45 PM</t>
  </si>
  <si>
    <t>7:00 PM</t>
  </si>
  <si>
    <t>7:15 PM</t>
  </si>
  <si>
    <t>7:30 PM</t>
  </si>
  <si>
    <t>7:45 PM</t>
  </si>
  <si>
    <t>8:00 PM</t>
  </si>
  <si>
    <t>8:15 PM</t>
  </si>
  <si>
    <t>8:30 PM</t>
  </si>
  <si>
    <t>8:45 PM</t>
  </si>
  <si>
    <t>9:00 PM</t>
  </si>
  <si>
    <t>9:15 PM</t>
  </si>
  <si>
    <t>9:30 PM</t>
  </si>
  <si>
    <t>9:45 PM</t>
  </si>
  <si>
    <t>10:00 PM</t>
  </si>
  <si>
    <t>10:15 PM</t>
  </si>
  <si>
    <t>10:30 PM</t>
  </si>
  <si>
    <t>10:45 PM</t>
  </si>
  <si>
    <t>11:00 PM</t>
  </si>
  <si>
    <t>11:15 PM</t>
  </si>
  <si>
    <t>11:30 PM</t>
  </si>
  <si>
    <t>11:45 PM</t>
  </si>
  <si>
    <t>S Orange SB Bike Lane</t>
  </si>
  <si>
    <t>S Orange SB Sidewalk</t>
  </si>
  <si>
    <t>Bike Lane Facing</t>
  </si>
  <si>
    <t>Sidewalk Facing</t>
  </si>
  <si>
    <t>Bike Lane With</t>
  </si>
  <si>
    <t>Sidewalk With</t>
  </si>
  <si>
    <t>Night</t>
  </si>
  <si>
    <t>Facing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</si>
</sst>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1"/>
      <color theme="1"/>
      <name val="Franklin Gothic Book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Franklin Gothic Book"/>
      <family val="2"/>
    </font>
    <font>
      <b/>
      <sz val="13"/>
      <color theme="3"/>
      <name val="Franklin Gothic Book"/>
      <family val="2"/>
    </font>
    <font>
      <b/>
      <sz val="11"/>
      <color theme="3"/>
      <name val="Franklin Gothic Book"/>
      <family val="2"/>
    </font>
    <font>
      <sz val="11"/>
      <color rgb="FF006100"/>
      <name val="Franklin Gothic Book"/>
      <family val="2"/>
    </font>
    <font>
      <sz val="11"/>
      <color rgb="FF9C0006"/>
      <name val="Franklin Gothic Book"/>
      <family val="2"/>
    </font>
    <font>
      <sz val="11"/>
      <color rgb="FF9C5700"/>
      <name val="Franklin Gothic Book"/>
      <family val="2"/>
    </font>
    <font>
      <sz val="11"/>
      <color rgb="FF3F3F76"/>
      <name val="Franklin Gothic Book"/>
      <family val="2"/>
    </font>
    <font>
      <b/>
      <sz val="11"/>
      <color rgb="FF3F3F3F"/>
      <name val="Franklin Gothic Book"/>
      <family val="2"/>
    </font>
    <font>
      <b/>
      <sz val="11"/>
      <color rgb="FFFA7D00"/>
      <name val="Franklin Gothic Book"/>
      <family val="2"/>
    </font>
    <font>
      <sz val="11"/>
      <color rgb="FFFA7D00"/>
      <name val="Franklin Gothic Book"/>
      <family val="2"/>
    </font>
    <font>
      <b/>
      <sz val="11"/>
      <color theme="0"/>
      <name val="Franklin Gothic Book"/>
      <family val="2"/>
    </font>
    <font>
      <sz val="11"/>
      <color rgb="FFFF0000"/>
      <name val="Franklin Gothic Book"/>
      <family val="2"/>
    </font>
    <font>
      <i/>
      <sz val="11"/>
      <color rgb="FF7F7F7F"/>
      <name val="Franklin Gothic Book"/>
      <family val="2"/>
    </font>
    <font>
      <b/>
      <sz val="11"/>
      <color theme="1"/>
      <name val="Franklin Gothic Book"/>
      <family val="2"/>
    </font>
    <font>
      <sz val="11"/>
      <color theme="0"/>
      <name val="Franklin Gothic Book"/>
      <family val="2"/>
    </font>
    <font>
      <sz val="10"/>
      <name val="Arial"/>
      <family val="2"/>
    </font>
    <font>
      <sz val="10"/>
      <name val="Arial Black"/>
      <family val="2"/>
    </font>
    <font>
      <sz val="10"/>
      <color indexed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horizontal="left" wrapText="1"/>
    </xf>
    <xf numFmtId="0" fontId="0" fillId="33" borderId="10" xfId="0" applyFill="1" applyBorder="1" applyAlignment="1">
      <alignment horizontal="center" wrapText="1"/>
    </xf>
    <xf numFmtId="0" fontId="0" fillId="33" borderId="11" xfId="0" applyFill="1" applyBorder="1" applyAlignment="1">
      <alignment horizont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2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0" fillId="34" borderId="0" xfId="0" applyFill="1"/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"/>
  <sheetViews>
    <sheetView workbookViewId="0">
      <pane xSplit="1" ySplit="12" topLeftCell="B193" activePane="bottomRight" state="frozen"/>
      <selection pane="topRight" activeCell="B1" sqref="B1"/>
      <selection pane="bottomLeft" activeCell="A13" sqref="A13"/>
      <selection pane="bottomRight" activeCell="J206" sqref="J206"/>
    </sheetView>
  </sheetViews>
  <sheetFormatPr defaultColWidth="11.6328125" defaultRowHeight="15" customHeight="1" x14ac:dyDescent="0.25"/>
  <cols>
    <col min="1" max="1" width="10.08984375" bestFit="1" customWidth="1"/>
    <col min="2" max="3" width="10.1796875" bestFit="1" customWidth="1"/>
    <col min="4" max="5" width="9.90625" bestFit="1" customWidth="1"/>
    <col min="6" max="7" width="10.1796875" bestFit="1" customWidth="1"/>
    <col min="8" max="9" width="9.90625" bestFit="1" customWidth="1"/>
  </cols>
  <sheetData>
    <row r="1" spans="1:10" ht="15" customHeight="1" x14ac:dyDescent="0.45">
      <c r="A1" s="10" t="s">
        <v>0</v>
      </c>
      <c r="B1" s="10"/>
      <c r="C1" s="11" t="s">
        <v>1</v>
      </c>
      <c r="D1" s="11"/>
      <c r="E1" s="11"/>
      <c r="F1" s="11"/>
    </row>
    <row r="2" spans="1:10" ht="15" customHeight="1" x14ac:dyDescent="0.45">
      <c r="A2" s="10" t="s">
        <v>2</v>
      </c>
      <c r="B2" s="10"/>
      <c r="C2" s="11" t="s">
        <v>3</v>
      </c>
      <c r="D2" s="11"/>
      <c r="E2" s="11"/>
      <c r="F2" s="11"/>
    </row>
    <row r="3" spans="1:10" ht="15" customHeight="1" x14ac:dyDescent="0.45">
      <c r="A3" s="10" t="s">
        <v>4</v>
      </c>
      <c r="B3" s="10"/>
      <c r="C3" s="11" t="s">
        <v>5</v>
      </c>
      <c r="D3" s="11"/>
      <c r="E3" s="11"/>
      <c r="F3" s="11"/>
    </row>
    <row r="4" spans="1:10" ht="15" customHeight="1" x14ac:dyDescent="0.45">
      <c r="A4" s="10" t="s">
        <v>6</v>
      </c>
      <c r="B4" s="10"/>
      <c r="C4" s="11" t="s">
        <v>7</v>
      </c>
      <c r="D4" s="11"/>
      <c r="E4" s="11"/>
      <c r="F4" s="11"/>
    </row>
    <row r="5" spans="1:10" ht="15" customHeight="1" x14ac:dyDescent="0.45">
      <c r="A5" s="10" t="s">
        <v>7</v>
      </c>
      <c r="B5" s="10"/>
      <c r="C5" s="11" t="s">
        <v>7</v>
      </c>
      <c r="D5" s="11"/>
      <c r="E5" s="11"/>
      <c r="F5" s="11"/>
    </row>
    <row r="6" spans="1:10" ht="15" customHeight="1" x14ac:dyDescent="0.45">
      <c r="A6" s="10" t="s">
        <v>7</v>
      </c>
      <c r="B6" s="10"/>
      <c r="C6" s="11" t="s">
        <v>7</v>
      </c>
      <c r="D6" s="11"/>
      <c r="E6" s="11"/>
      <c r="F6" s="11"/>
    </row>
    <row r="7" spans="1:10" ht="15" customHeight="1" x14ac:dyDescent="0.45">
      <c r="A7" s="10" t="s">
        <v>7</v>
      </c>
      <c r="B7" s="10"/>
      <c r="C7" s="11" t="s">
        <v>7</v>
      </c>
      <c r="D7" s="11"/>
      <c r="E7" s="11"/>
      <c r="F7" s="11"/>
    </row>
    <row r="8" spans="1:10" ht="15" customHeight="1" x14ac:dyDescent="0.45">
      <c r="A8" s="10" t="s">
        <v>7</v>
      </c>
      <c r="B8" s="10"/>
      <c r="C8" s="11" t="s">
        <v>7</v>
      </c>
      <c r="D8" s="11"/>
      <c r="E8" s="11"/>
      <c r="F8" s="11"/>
    </row>
    <row r="11" spans="1:10" s="1" customFormat="1" ht="15" customHeight="1" x14ac:dyDescent="0.45">
      <c r="A11" s="2" t="s">
        <v>8</v>
      </c>
      <c r="B11" s="3" t="s">
        <v>9</v>
      </c>
      <c r="C11" s="3" t="s">
        <v>10</v>
      </c>
      <c r="D11" s="3" t="s">
        <v>9</v>
      </c>
      <c r="E11" s="3" t="s">
        <v>10</v>
      </c>
      <c r="F11" s="3" t="s">
        <v>109</v>
      </c>
      <c r="G11" s="3" t="s">
        <v>110</v>
      </c>
      <c r="H11" s="3" t="s">
        <v>109</v>
      </c>
      <c r="I11" s="3" t="s">
        <v>110</v>
      </c>
    </row>
    <row r="12" spans="1:10" s="1" customFormat="1" ht="15" customHeight="1" x14ac:dyDescent="0.45">
      <c r="A12" s="2" t="s">
        <v>11</v>
      </c>
      <c r="B12" s="3" t="s">
        <v>12</v>
      </c>
      <c r="C12" s="3" t="s">
        <v>12</v>
      </c>
      <c r="D12" s="3" t="s">
        <v>13</v>
      </c>
      <c r="E12" s="3" t="s">
        <v>13</v>
      </c>
      <c r="F12" s="3" t="s">
        <v>12</v>
      </c>
      <c r="G12" s="3" t="s">
        <v>12</v>
      </c>
      <c r="H12" s="3" t="s">
        <v>13</v>
      </c>
      <c r="I12" s="3" t="s">
        <v>13</v>
      </c>
      <c r="J12" s="1" t="s">
        <v>115</v>
      </c>
    </row>
    <row r="14" spans="1:10" s="9" customFormat="1" ht="15" customHeight="1" x14ac:dyDescent="0.25">
      <c r="A14" s="9" t="s">
        <v>5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f>SUM(B14:I14)</f>
        <v>0</v>
      </c>
    </row>
    <row r="15" spans="1:10" s="9" customFormat="1" ht="15" customHeight="1" x14ac:dyDescent="0.25">
      <c r="A15" s="9" t="s">
        <v>14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f t="shared" ref="J15:J39" si="0">SUM(B15:I15)</f>
        <v>0</v>
      </c>
    </row>
    <row r="16" spans="1:10" s="9" customFormat="1" ht="15" customHeight="1" x14ac:dyDescent="0.25">
      <c r="A16" s="9" t="s">
        <v>15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f t="shared" si="0"/>
        <v>0</v>
      </c>
    </row>
    <row r="17" spans="1:10" s="9" customFormat="1" ht="15" customHeight="1" x14ac:dyDescent="0.25">
      <c r="A17" s="9" t="s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f t="shared" si="0"/>
        <v>0</v>
      </c>
    </row>
    <row r="18" spans="1:10" s="9" customFormat="1" ht="15" customHeight="1" x14ac:dyDescent="0.25">
      <c r="A18" s="9" t="s">
        <v>17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f t="shared" si="0"/>
        <v>0</v>
      </c>
    </row>
    <row r="19" spans="1:10" s="9" customFormat="1" ht="15" customHeight="1" x14ac:dyDescent="0.25">
      <c r="A19" s="9" t="s">
        <v>18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f t="shared" si="0"/>
        <v>0</v>
      </c>
    </row>
    <row r="20" spans="1:10" s="9" customFormat="1" ht="15" customHeight="1" x14ac:dyDescent="0.25">
      <c r="A20" s="9" t="s">
        <v>19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f t="shared" si="0"/>
        <v>0</v>
      </c>
    </row>
    <row r="21" spans="1:10" s="9" customFormat="1" ht="15" customHeight="1" x14ac:dyDescent="0.25">
      <c r="A21" s="9" t="s">
        <v>20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f t="shared" si="0"/>
        <v>0</v>
      </c>
    </row>
    <row r="22" spans="1:10" s="9" customFormat="1" ht="15" customHeight="1" x14ac:dyDescent="0.25">
      <c r="A22" s="9" t="s">
        <v>21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f t="shared" si="0"/>
        <v>0</v>
      </c>
    </row>
    <row r="23" spans="1:10" s="9" customFormat="1" ht="15" customHeight="1" x14ac:dyDescent="0.25">
      <c r="A23" s="9" t="s">
        <v>22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f t="shared" si="0"/>
        <v>0</v>
      </c>
    </row>
    <row r="24" spans="1:10" s="9" customFormat="1" ht="15" customHeight="1" x14ac:dyDescent="0.25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f t="shared" si="0"/>
        <v>0</v>
      </c>
    </row>
    <row r="25" spans="1:10" s="9" customFormat="1" ht="15" customHeight="1" x14ac:dyDescent="0.25">
      <c r="A25" s="9" t="s">
        <v>24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f t="shared" si="0"/>
        <v>0</v>
      </c>
    </row>
    <row r="26" spans="1:10" s="9" customFormat="1" ht="15" customHeight="1" x14ac:dyDescent="0.25">
      <c r="A26" s="9" t="s">
        <v>25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f t="shared" si="0"/>
        <v>0</v>
      </c>
    </row>
    <row r="27" spans="1:10" s="9" customFormat="1" ht="15" customHeight="1" x14ac:dyDescent="0.25">
      <c r="A27" s="9" t="s">
        <v>26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f t="shared" si="0"/>
        <v>0</v>
      </c>
    </row>
    <row r="28" spans="1:10" s="9" customFormat="1" ht="15" customHeight="1" x14ac:dyDescent="0.25">
      <c r="A28" s="9" t="s">
        <v>27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f t="shared" si="0"/>
        <v>0</v>
      </c>
    </row>
    <row r="29" spans="1:10" s="9" customFormat="1" ht="15" customHeight="1" x14ac:dyDescent="0.25">
      <c r="A29" s="9" t="s">
        <v>28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f t="shared" si="0"/>
        <v>0</v>
      </c>
    </row>
    <row r="30" spans="1:10" s="9" customFormat="1" ht="15" customHeight="1" x14ac:dyDescent="0.25">
      <c r="A30" s="9" t="s">
        <v>29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f t="shared" si="0"/>
        <v>0</v>
      </c>
    </row>
    <row r="31" spans="1:10" s="9" customFormat="1" ht="15" customHeight="1" x14ac:dyDescent="0.25">
      <c r="A31" s="9" t="s">
        <v>30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f t="shared" si="0"/>
        <v>0</v>
      </c>
    </row>
    <row r="32" spans="1:10" s="9" customFormat="1" ht="15" customHeight="1" x14ac:dyDescent="0.25">
      <c r="A32" s="9" t="s">
        <v>31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f t="shared" si="0"/>
        <v>0</v>
      </c>
    </row>
    <row r="33" spans="1:10" s="9" customFormat="1" ht="15" customHeight="1" x14ac:dyDescent="0.25">
      <c r="A33" s="9" t="s">
        <v>32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f t="shared" si="0"/>
        <v>0</v>
      </c>
    </row>
    <row r="34" spans="1:10" s="9" customFormat="1" ht="15" customHeight="1" x14ac:dyDescent="0.25">
      <c r="A34" s="9" t="s">
        <v>33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f t="shared" si="0"/>
        <v>0</v>
      </c>
    </row>
    <row r="35" spans="1:10" s="9" customFormat="1" ht="15" customHeight="1" x14ac:dyDescent="0.25">
      <c r="A35" s="9" t="s">
        <v>34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f t="shared" si="0"/>
        <v>0</v>
      </c>
    </row>
    <row r="36" spans="1:10" s="9" customFormat="1" ht="15" customHeight="1" x14ac:dyDescent="0.25">
      <c r="A36" s="9" t="s">
        <v>35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f t="shared" si="0"/>
        <v>0</v>
      </c>
    </row>
    <row r="37" spans="1:10" s="9" customFormat="1" ht="15" customHeight="1" x14ac:dyDescent="0.25">
      <c r="A37" s="9" t="s">
        <v>36</v>
      </c>
      <c r="B37" s="9">
        <v>1</v>
      </c>
      <c r="C37" s="9">
        <v>1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f t="shared" si="0"/>
        <v>2</v>
      </c>
    </row>
    <row r="38" spans="1:10" s="9" customFormat="1" ht="15" customHeight="1" x14ac:dyDescent="0.25">
      <c r="A38" s="9" t="s">
        <v>37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f t="shared" si="0"/>
        <v>0</v>
      </c>
    </row>
    <row r="39" spans="1:10" s="9" customFormat="1" ht="15" customHeight="1" x14ac:dyDescent="0.25">
      <c r="A39" s="9" t="s">
        <v>38</v>
      </c>
      <c r="B39" s="9">
        <v>0</v>
      </c>
      <c r="C39" s="9">
        <v>1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f t="shared" si="0"/>
        <v>1</v>
      </c>
    </row>
    <row r="40" spans="1:10" ht="15" customHeight="1" x14ac:dyDescent="0.25">
      <c r="A40" t="s">
        <v>39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</row>
    <row r="41" spans="1:10" ht="15" customHeight="1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</row>
    <row r="42" spans="1:10" ht="15" customHeight="1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10" ht="15" customHeight="1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10" ht="15" customHeight="1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10" ht="15" customHeight="1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</row>
    <row r="46" spans="1:10" ht="15" customHeight="1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10" ht="15" customHeight="1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10" ht="15" customHeight="1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ht="15" customHeight="1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ht="15" customHeight="1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ht="15" customHeight="1" x14ac:dyDescent="0.25">
      <c r="A51" t="s">
        <v>50</v>
      </c>
      <c r="B51">
        <v>0</v>
      </c>
      <c r="C51">
        <v>1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</row>
    <row r="52" spans="1:9" ht="15" customHeight="1" x14ac:dyDescent="0.2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ht="15" customHeight="1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ht="15" customHeight="1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</row>
    <row r="55" spans="1:9" ht="15" customHeight="1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</row>
    <row r="56" spans="1:9" ht="15" customHeight="1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ht="15" customHeight="1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ht="15" customHeight="1" x14ac:dyDescent="0.25">
      <c r="A58" t="s">
        <v>57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</row>
    <row r="59" spans="1:9" ht="15" customHeight="1" x14ac:dyDescent="0.25">
      <c r="A59" t="s">
        <v>58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</row>
    <row r="60" spans="1:9" ht="15" customHeight="1" x14ac:dyDescent="0.25">
      <c r="A60" t="s">
        <v>59</v>
      </c>
      <c r="B60">
        <v>0</v>
      </c>
      <c r="C60">
        <v>0</v>
      </c>
      <c r="D60">
        <v>0</v>
      </c>
      <c r="E60">
        <v>1</v>
      </c>
      <c r="F60">
        <v>0</v>
      </c>
      <c r="G60">
        <v>1</v>
      </c>
      <c r="H60">
        <v>0</v>
      </c>
      <c r="I60">
        <v>0</v>
      </c>
    </row>
    <row r="61" spans="1:9" ht="15" customHeight="1" x14ac:dyDescent="0.25">
      <c r="A61" t="s">
        <v>60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ht="15" customHeight="1" x14ac:dyDescent="0.25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</row>
    <row r="63" spans="1:9" ht="15" customHeight="1" x14ac:dyDescent="0.25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ht="15" customHeight="1" x14ac:dyDescent="0.25">
      <c r="A64" t="s">
        <v>63</v>
      </c>
      <c r="B64">
        <v>0</v>
      </c>
      <c r="C64">
        <v>1</v>
      </c>
      <c r="D64">
        <v>0</v>
      </c>
      <c r="E64">
        <v>1</v>
      </c>
      <c r="F64">
        <v>1</v>
      </c>
      <c r="G64">
        <v>0</v>
      </c>
      <c r="H64">
        <v>0</v>
      </c>
      <c r="I64">
        <v>0</v>
      </c>
    </row>
    <row r="65" spans="1:9" ht="15" customHeight="1" x14ac:dyDescent="0.25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</row>
    <row r="66" spans="1:9" ht="15" customHeight="1" x14ac:dyDescent="0.25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ht="15" customHeight="1" x14ac:dyDescent="0.25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</row>
    <row r="68" spans="1:9" ht="15" customHeight="1" x14ac:dyDescent="0.25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1</v>
      </c>
    </row>
    <row r="69" spans="1:9" ht="15" customHeight="1" x14ac:dyDescent="0.25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2</v>
      </c>
      <c r="H69">
        <v>0</v>
      </c>
      <c r="I69">
        <v>0</v>
      </c>
    </row>
    <row r="70" spans="1:9" ht="15" customHeight="1" x14ac:dyDescent="0.25">
      <c r="A70" t="s">
        <v>69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</row>
    <row r="71" spans="1:9" ht="15" customHeight="1" x14ac:dyDescent="0.25">
      <c r="A71" t="s">
        <v>70</v>
      </c>
      <c r="B71">
        <v>0</v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</row>
    <row r="72" spans="1:9" ht="15" customHeight="1" x14ac:dyDescent="0.25">
      <c r="A72" t="s">
        <v>71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</row>
    <row r="73" spans="1:9" ht="15" customHeight="1" x14ac:dyDescent="0.25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ht="15" customHeight="1" x14ac:dyDescent="0.25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ht="15" customHeight="1" x14ac:dyDescent="0.25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ht="15" customHeight="1" x14ac:dyDescent="0.25">
      <c r="A76" t="s">
        <v>75</v>
      </c>
      <c r="B76">
        <v>0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ht="15" customHeight="1" x14ac:dyDescent="0.25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ht="15" customHeight="1" x14ac:dyDescent="0.25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ht="15" customHeight="1" x14ac:dyDescent="0.25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ht="15" customHeight="1" x14ac:dyDescent="0.25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</v>
      </c>
    </row>
    <row r="81" spans="1:9" ht="15" customHeight="1" x14ac:dyDescent="0.25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ht="15" customHeight="1" x14ac:dyDescent="0.25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</row>
    <row r="83" spans="1:9" ht="15" customHeight="1" x14ac:dyDescent="0.25">
      <c r="A83" t="s">
        <v>82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 ht="15" customHeight="1" x14ac:dyDescent="0.25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ht="15" customHeight="1" x14ac:dyDescent="0.25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ht="15" customHeight="1" x14ac:dyDescent="0.25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ht="15" customHeight="1" x14ac:dyDescent="0.25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</row>
    <row r="88" spans="1:9" ht="15" customHeight="1" x14ac:dyDescent="0.25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ht="15" customHeight="1" x14ac:dyDescent="0.25">
      <c r="A89" t="s">
        <v>88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 ht="15" customHeight="1" x14ac:dyDescent="0.25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ht="15" customHeight="1" x14ac:dyDescent="0.25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</row>
    <row r="92" spans="1:9" ht="15" customHeight="1" x14ac:dyDescent="0.25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ht="15" customHeight="1" x14ac:dyDescent="0.25">
      <c r="A93" t="s">
        <v>92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</row>
    <row r="94" spans="1:9" ht="15" customHeight="1" x14ac:dyDescent="0.25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</row>
    <row r="95" spans="1:9" ht="15" customHeight="1" x14ac:dyDescent="0.25">
      <c r="A95" t="s">
        <v>94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 ht="15" customHeight="1" x14ac:dyDescent="0.25">
      <c r="A96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10" s="9" customFormat="1" ht="15" customHeight="1" x14ac:dyDescent="0.25">
      <c r="A97" s="9" t="s">
        <v>96</v>
      </c>
      <c r="B97" s="9">
        <v>0</v>
      </c>
      <c r="C97" s="9">
        <v>1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f t="shared" ref="J97:J135" si="1">SUM(B97:I97)</f>
        <v>1</v>
      </c>
    </row>
    <row r="98" spans="1:10" s="9" customFormat="1" ht="15" customHeight="1" x14ac:dyDescent="0.25">
      <c r="A98" s="9" t="s">
        <v>97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f t="shared" si="1"/>
        <v>0</v>
      </c>
    </row>
    <row r="99" spans="1:10" s="9" customFormat="1" ht="15" customHeight="1" x14ac:dyDescent="0.25">
      <c r="A99" s="9" t="s">
        <v>98</v>
      </c>
      <c r="B99" s="9">
        <v>0</v>
      </c>
      <c r="C99" s="9">
        <v>0</v>
      </c>
      <c r="D99" s="9">
        <v>1</v>
      </c>
      <c r="E99" s="9">
        <v>1</v>
      </c>
      <c r="F99" s="9">
        <v>0</v>
      </c>
      <c r="G99" s="9">
        <v>0</v>
      </c>
      <c r="H99" s="9">
        <v>0</v>
      </c>
      <c r="I99" s="9">
        <v>0</v>
      </c>
      <c r="J99" s="9">
        <f t="shared" si="1"/>
        <v>2</v>
      </c>
    </row>
    <row r="100" spans="1:10" s="9" customFormat="1" ht="15" customHeight="1" x14ac:dyDescent="0.25">
      <c r="A100" s="9" t="s">
        <v>99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f t="shared" si="1"/>
        <v>0</v>
      </c>
    </row>
    <row r="101" spans="1:10" s="9" customFormat="1" ht="15" customHeight="1" x14ac:dyDescent="0.25">
      <c r="A101" s="9" t="s">
        <v>100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2</v>
      </c>
      <c r="J101" s="9">
        <f t="shared" si="1"/>
        <v>2</v>
      </c>
    </row>
    <row r="102" spans="1:10" s="9" customFormat="1" ht="15" customHeight="1" x14ac:dyDescent="0.25">
      <c r="A102" s="9" t="s">
        <v>101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f t="shared" si="1"/>
        <v>0</v>
      </c>
    </row>
    <row r="103" spans="1:10" s="9" customFormat="1" ht="15" customHeight="1" x14ac:dyDescent="0.25">
      <c r="A103" s="9" t="s">
        <v>102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1</v>
      </c>
      <c r="H103" s="9">
        <v>0</v>
      </c>
      <c r="I103" s="9">
        <v>0</v>
      </c>
      <c r="J103" s="9">
        <f t="shared" si="1"/>
        <v>1</v>
      </c>
    </row>
    <row r="104" spans="1:10" s="9" customFormat="1" ht="15" customHeight="1" x14ac:dyDescent="0.25">
      <c r="A104" s="9" t="s">
        <v>103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f t="shared" si="1"/>
        <v>0</v>
      </c>
    </row>
    <row r="105" spans="1:10" s="9" customFormat="1" ht="15" customHeight="1" x14ac:dyDescent="0.25">
      <c r="A105" s="9" t="s">
        <v>104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f t="shared" si="1"/>
        <v>0</v>
      </c>
    </row>
    <row r="106" spans="1:10" s="9" customFormat="1" ht="15" customHeight="1" x14ac:dyDescent="0.25">
      <c r="A106" s="9" t="s">
        <v>105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1</v>
      </c>
      <c r="H106" s="9">
        <v>0</v>
      </c>
      <c r="I106" s="9">
        <v>0</v>
      </c>
      <c r="J106" s="9">
        <f t="shared" si="1"/>
        <v>1</v>
      </c>
    </row>
    <row r="107" spans="1:10" s="9" customFormat="1" ht="15" customHeight="1" x14ac:dyDescent="0.25">
      <c r="A107" s="9" t="s">
        <v>106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f t="shared" si="1"/>
        <v>0</v>
      </c>
    </row>
    <row r="108" spans="1:10" s="9" customFormat="1" ht="15" customHeight="1" x14ac:dyDescent="0.25">
      <c r="A108" s="9" t="s">
        <v>107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f t="shared" si="1"/>
        <v>0</v>
      </c>
    </row>
    <row r="109" spans="1:10" s="9" customFormat="1" ht="15" customHeight="1" x14ac:dyDescent="0.25">
      <c r="A109" s="9" t="s">
        <v>108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f t="shared" si="1"/>
        <v>0</v>
      </c>
    </row>
    <row r="110" spans="1:10" s="9" customFormat="1" ht="15" customHeight="1" x14ac:dyDescent="0.25">
      <c r="A110" s="9" t="s">
        <v>5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f t="shared" si="1"/>
        <v>0</v>
      </c>
    </row>
    <row r="111" spans="1:10" s="9" customFormat="1" ht="15" customHeight="1" x14ac:dyDescent="0.25">
      <c r="A111" s="9" t="s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f t="shared" si="1"/>
        <v>0</v>
      </c>
    </row>
    <row r="112" spans="1:10" s="9" customFormat="1" ht="15" customHeight="1" x14ac:dyDescent="0.25">
      <c r="A112" s="9" t="s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1</v>
      </c>
      <c r="H112" s="9">
        <v>0</v>
      </c>
      <c r="I112" s="9">
        <v>0</v>
      </c>
      <c r="J112" s="9">
        <f t="shared" si="1"/>
        <v>1</v>
      </c>
    </row>
    <row r="113" spans="1:10" s="9" customFormat="1" ht="15" customHeight="1" x14ac:dyDescent="0.25">
      <c r="A113" s="9" t="s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f t="shared" si="1"/>
        <v>0</v>
      </c>
    </row>
    <row r="114" spans="1:10" s="9" customFormat="1" ht="15" customHeight="1" x14ac:dyDescent="0.25">
      <c r="A114" s="9" t="s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f t="shared" si="1"/>
        <v>0</v>
      </c>
    </row>
    <row r="115" spans="1:10" s="9" customFormat="1" ht="15" customHeight="1" x14ac:dyDescent="0.25">
      <c r="A115" s="9" t="s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f t="shared" si="1"/>
        <v>0</v>
      </c>
    </row>
    <row r="116" spans="1:10" s="9" customFormat="1" ht="15" customHeight="1" x14ac:dyDescent="0.25">
      <c r="A116" s="9" t="s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f t="shared" si="1"/>
        <v>0</v>
      </c>
    </row>
    <row r="117" spans="1:10" s="9" customFormat="1" ht="15" customHeight="1" x14ac:dyDescent="0.25">
      <c r="A117" s="9" t="s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f t="shared" si="1"/>
        <v>0</v>
      </c>
    </row>
    <row r="118" spans="1:10" s="9" customFormat="1" ht="15" customHeight="1" x14ac:dyDescent="0.25">
      <c r="A118" s="9" t="s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f t="shared" si="1"/>
        <v>0</v>
      </c>
    </row>
    <row r="119" spans="1:10" s="9" customFormat="1" ht="15" customHeight="1" x14ac:dyDescent="0.25">
      <c r="A119" s="9" t="s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f t="shared" si="1"/>
        <v>0</v>
      </c>
    </row>
    <row r="120" spans="1:10" s="9" customFormat="1" ht="15" customHeight="1" x14ac:dyDescent="0.25">
      <c r="A120" s="9" t="s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f t="shared" si="1"/>
        <v>0</v>
      </c>
    </row>
    <row r="121" spans="1:10" s="9" customFormat="1" ht="15" customHeight="1" x14ac:dyDescent="0.25">
      <c r="A121" s="9" t="s">
        <v>24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f t="shared" si="1"/>
        <v>0</v>
      </c>
    </row>
    <row r="122" spans="1:10" s="9" customFormat="1" ht="15" customHeight="1" x14ac:dyDescent="0.25">
      <c r="A122" s="9" t="s">
        <v>25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f t="shared" si="1"/>
        <v>0</v>
      </c>
    </row>
    <row r="123" spans="1:10" s="9" customFormat="1" ht="15" customHeight="1" x14ac:dyDescent="0.25">
      <c r="A123" s="9" t="s">
        <v>26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f t="shared" si="1"/>
        <v>0</v>
      </c>
    </row>
    <row r="124" spans="1:10" s="9" customFormat="1" ht="15" customHeight="1" x14ac:dyDescent="0.25">
      <c r="A124" s="9" t="s">
        <v>27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f t="shared" si="1"/>
        <v>0</v>
      </c>
    </row>
    <row r="125" spans="1:10" s="9" customFormat="1" ht="15" customHeight="1" x14ac:dyDescent="0.25">
      <c r="A125" s="9" t="s">
        <v>28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f t="shared" si="1"/>
        <v>0</v>
      </c>
    </row>
    <row r="126" spans="1:10" s="9" customFormat="1" ht="15" customHeight="1" x14ac:dyDescent="0.25">
      <c r="A126" s="9" t="s">
        <v>29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f t="shared" si="1"/>
        <v>0</v>
      </c>
    </row>
    <row r="127" spans="1:10" s="9" customFormat="1" ht="15" customHeight="1" x14ac:dyDescent="0.25">
      <c r="A127" s="9" t="s">
        <v>30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f t="shared" si="1"/>
        <v>0</v>
      </c>
    </row>
    <row r="128" spans="1:10" s="9" customFormat="1" ht="15" customHeight="1" x14ac:dyDescent="0.25">
      <c r="A128" s="9" t="s">
        <v>31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f t="shared" si="1"/>
        <v>0</v>
      </c>
    </row>
    <row r="129" spans="1:10" s="9" customFormat="1" ht="15" customHeight="1" x14ac:dyDescent="0.25">
      <c r="A129" s="9" t="s">
        <v>32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f t="shared" si="1"/>
        <v>0</v>
      </c>
    </row>
    <row r="130" spans="1:10" s="9" customFormat="1" ht="15" customHeight="1" x14ac:dyDescent="0.25">
      <c r="A130" s="9" t="s">
        <v>33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f t="shared" si="1"/>
        <v>0</v>
      </c>
    </row>
    <row r="131" spans="1:10" s="9" customFormat="1" ht="15" customHeight="1" x14ac:dyDescent="0.25">
      <c r="A131" s="9" t="s">
        <v>34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f t="shared" si="1"/>
        <v>0</v>
      </c>
    </row>
    <row r="132" spans="1:10" s="9" customFormat="1" ht="15" customHeight="1" x14ac:dyDescent="0.25">
      <c r="A132" s="9" t="s">
        <v>35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f t="shared" si="1"/>
        <v>0</v>
      </c>
    </row>
    <row r="133" spans="1:10" s="9" customFormat="1" ht="15" customHeight="1" x14ac:dyDescent="0.25">
      <c r="A133" s="9" t="s">
        <v>36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f t="shared" si="1"/>
        <v>0</v>
      </c>
    </row>
    <row r="134" spans="1:10" s="9" customFormat="1" ht="15" customHeight="1" x14ac:dyDescent="0.25">
      <c r="A134" s="9" t="s">
        <v>37</v>
      </c>
      <c r="B134" s="9">
        <v>0</v>
      </c>
      <c r="C134" s="9">
        <v>1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f t="shared" si="1"/>
        <v>1</v>
      </c>
    </row>
    <row r="135" spans="1:10" s="9" customFormat="1" ht="15" customHeight="1" x14ac:dyDescent="0.25">
      <c r="A135" s="9" t="s">
        <v>38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1</v>
      </c>
      <c r="H135" s="9">
        <v>0</v>
      </c>
      <c r="I135" s="9">
        <v>0</v>
      </c>
      <c r="J135" s="9">
        <f t="shared" si="1"/>
        <v>1</v>
      </c>
    </row>
    <row r="136" spans="1:10" ht="15" customHeight="1" x14ac:dyDescent="0.25">
      <c r="A136" t="s">
        <v>39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0</v>
      </c>
    </row>
    <row r="137" spans="1:10" ht="15" customHeight="1" x14ac:dyDescent="0.25">
      <c r="A137" t="s">
        <v>40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</row>
    <row r="138" spans="1:10" ht="15" customHeight="1" x14ac:dyDescent="0.25">
      <c r="A138" t="s">
        <v>41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10" ht="15" customHeight="1" x14ac:dyDescent="0.25">
      <c r="A139" t="s">
        <v>42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10" ht="15" customHeight="1" x14ac:dyDescent="0.25">
      <c r="A140" t="s">
        <v>43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</row>
    <row r="141" spans="1:10" ht="15" customHeight="1" x14ac:dyDescent="0.25">
      <c r="A141" t="s">
        <v>44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10" ht="15" customHeight="1" x14ac:dyDescent="0.25">
      <c r="A142" t="s">
        <v>45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10" ht="15" customHeight="1" x14ac:dyDescent="0.25">
      <c r="A143" t="s">
        <v>46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10" ht="15" customHeight="1" x14ac:dyDescent="0.25">
      <c r="A144" t="s">
        <v>47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ht="15" customHeight="1" x14ac:dyDescent="0.25">
      <c r="A145" t="s">
        <v>48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</row>
    <row r="146" spans="1:9" ht="15" customHeight="1" x14ac:dyDescent="0.25">
      <c r="A146" t="s">
        <v>49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</row>
    <row r="147" spans="1:9" ht="15" customHeight="1" x14ac:dyDescent="0.25">
      <c r="A147" t="s">
        <v>50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ht="15" customHeight="1" x14ac:dyDescent="0.25">
      <c r="A148" t="s">
        <v>51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ht="15" customHeight="1" x14ac:dyDescent="0.25">
      <c r="A149" t="s">
        <v>52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ht="15" customHeight="1" x14ac:dyDescent="0.25">
      <c r="A150" t="s">
        <v>53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</row>
    <row r="151" spans="1:9" ht="15" customHeight="1" x14ac:dyDescent="0.25">
      <c r="A151" t="s">
        <v>54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ht="15" customHeight="1" x14ac:dyDescent="0.25">
      <c r="A152" t="s">
        <v>55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</row>
    <row r="153" spans="1:9" ht="15" customHeight="1" x14ac:dyDescent="0.25">
      <c r="A153" t="s">
        <v>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ht="15" customHeight="1" x14ac:dyDescent="0.25">
      <c r="A154" t="s">
        <v>57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</row>
    <row r="155" spans="1:9" ht="15" customHeight="1" x14ac:dyDescent="0.25">
      <c r="A155" t="s">
        <v>58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ht="15" customHeight="1" x14ac:dyDescent="0.25">
      <c r="A156" t="s">
        <v>59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ht="15" customHeight="1" x14ac:dyDescent="0.25">
      <c r="A157" t="s">
        <v>60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ht="15" customHeight="1" x14ac:dyDescent="0.25">
      <c r="A158" t="s">
        <v>61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</row>
    <row r="159" spans="1:9" ht="15" customHeight="1" x14ac:dyDescent="0.25">
      <c r="A159" t="s">
        <v>62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1</v>
      </c>
    </row>
    <row r="160" spans="1:9" ht="15" customHeight="1" x14ac:dyDescent="0.25">
      <c r="A160" t="s">
        <v>63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ht="15" customHeight="1" x14ac:dyDescent="0.25">
      <c r="A161" t="s">
        <v>64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ht="15" customHeight="1" x14ac:dyDescent="0.25">
      <c r="A162" t="s">
        <v>65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ht="15" customHeight="1" x14ac:dyDescent="0.25">
      <c r="A163" t="s">
        <v>66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</row>
    <row r="164" spans="1:9" ht="15" customHeight="1" x14ac:dyDescent="0.25">
      <c r="A164" t="s">
        <v>67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ht="15" customHeight="1" x14ac:dyDescent="0.25">
      <c r="A165" t="s">
        <v>68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</row>
    <row r="166" spans="1:9" ht="15" customHeight="1" x14ac:dyDescent="0.25">
      <c r="A166" t="s">
        <v>69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ht="15" customHeight="1" x14ac:dyDescent="0.25">
      <c r="A167" t="s">
        <v>70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ht="15" customHeight="1" x14ac:dyDescent="0.25">
      <c r="A168" t="s">
        <v>71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ht="15" customHeight="1" x14ac:dyDescent="0.25">
      <c r="A169" t="s">
        <v>72</v>
      </c>
      <c r="B169">
        <v>0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</row>
    <row r="170" spans="1:9" ht="15" customHeight="1" x14ac:dyDescent="0.25">
      <c r="A170" t="s">
        <v>73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ht="15" customHeight="1" x14ac:dyDescent="0.25">
      <c r="A171" t="s">
        <v>74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</row>
    <row r="172" spans="1:9" ht="15" customHeight="1" x14ac:dyDescent="0.25">
      <c r="A172" t="s">
        <v>75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ht="15" customHeight="1" x14ac:dyDescent="0.25">
      <c r="A173" t="s">
        <v>76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ht="15" customHeight="1" x14ac:dyDescent="0.25">
      <c r="A174" t="s">
        <v>77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ht="15" customHeight="1" x14ac:dyDescent="0.25">
      <c r="A175" t="s">
        <v>78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ht="15" customHeight="1" x14ac:dyDescent="0.25">
      <c r="A176" t="s">
        <v>79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</row>
    <row r="177" spans="1:9" ht="15" customHeight="1" x14ac:dyDescent="0.25">
      <c r="A177" t="s">
        <v>80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ht="15" customHeight="1" x14ac:dyDescent="0.25">
      <c r="A178" t="s">
        <v>81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</row>
    <row r="179" spans="1:9" ht="15" customHeight="1" x14ac:dyDescent="0.25">
      <c r="A179" t="s">
        <v>82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ht="15" customHeight="1" x14ac:dyDescent="0.25">
      <c r="A180" t="s">
        <v>83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ht="15" customHeight="1" x14ac:dyDescent="0.25">
      <c r="A181" t="s">
        <v>84</v>
      </c>
      <c r="B181">
        <v>0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ht="15" customHeight="1" x14ac:dyDescent="0.25">
      <c r="A182" t="s">
        <v>85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ht="15" customHeight="1" x14ac:dyDescent="0.25">
      <c r="A183" t="s">
        <v>86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ht="15" customHeight="1" x14ac:dyDescent="0.25">
      <c r="A184" t="s">
        <v>87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</v>
      </c>
    </row>
    <row r="185" spans="1:9" ht="15" customHeight="1" x14ac:dyDescent="0.25">
      <c r="A185" t="s">
        <v>88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1</v>
      </c>
    </row>
    <row r="186" spans="1:9" ht="15" customHeight="1" x14ac:dyDescent="0.25">
      <c r="A186" t="s">
        <v>89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ht="15" customHeight="1" x14ac:dyDescent="0.25">
      <c r="A18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ht="15" customHeight="1" x14ac:dyDescent="0.25">
      <c r="A188" t="s">
        <v>91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</row>
    <row r="189" spans="1:9" ht="15" customHeight="1" x14ac:dyDescent="0.25">
      <c r="A189" t="s">
        <v>92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</row>
    <row r="190" spans="1:9" ht="15" customHeight="1" x14ac:dyDescent="0.25">
      <c r="A190" t="s">
        <v>93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</row>
    <row r="191" spans="1:9" ht="15" customHeight="1" x14ac:dyDescent="0.25">
      <c r="A191" t="s">
        <v>94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ht="15" customHeight="1" x14ac:dyDescent="0.25">
      <c r="A192" t="s">
        <v>95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10" s="9" customFormat="1" ht="15" customHeight="1" x14ac:dyDescent="0.25">
      <c r="A193" s="9" t="s">
        <v>96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1</v>
      </c>
      <c r="H193" s="9">
        <v>0</v>
      </c>
      <c r="I193" s="9">
        <v>0</v>
      </c>
      <c r="J193" s="9">
        <f t="shared" ref="J193:J205" si="2">SUM(B193:I193)</f>
        <v>1</v>
      </c>
    </row>
    <row r="194" spans="1:10" s="9" customFormat="1" ht="15" customHeight="1" x14ac:dyDescent="0.25">
      <c r="A194" s="9" t="s">
        <v>97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f t="shared" si="2"/>
        <v>0</v>
      </c>
    </row>
    <row r="195" spans="1:10" s="9" customFormat="1" ht="15" customHeight="1" x14ac:dyDescent="0.25">
      <c r="A195" s="9" t="s">
        <v>98</v>
      </c>
      <c r="B195" s="9">
        <v>0</v>
      </c>
      <c r="C195" s="9">
        <v>0</v>
      </c>
      <c r="D195" s="9">
        <v>0</v>
      </c>
      <c r="E195" s="9">
        <v>1</v>
      </c>
      <c r="F195" s="9">
        <v>0</v>
      </c>
      <c r="G195" s="9">
        <v>2</v>
      </c>
      <c r="H195" s="9">
        <v>0</v>
      </c>
      <c r="I195" s="9">
        <v>0</v>
      </c>
      <c r="J195" s="9">
        <f t="shared" si="2"/>
        <v>3</v>
      </c>
    </row>
    <row r="196" spans="1:10" s="9" customFormat="1" ht="15" customHeight="1" x14ac:dyDescent="0.25">
      <c r="A196" s="9" t="s">
        <v>99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f t="shared" si="2"/>
        <v>0</v>
      </c>
    </row>
    <row r="197" spans="1:10" s="9" customFormat="1" ht="15" customHeight="1" x14ac:dyDescent="0.25">
      <c r="A197" s="9" t="s">
        <v>100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f t="shared" si="2"/>
        <v>0</v>
      </c>
    </row>
    <row r="198" spans="1:10" s="9" customFormat="1" ht="15" customHeight="1" x14ac:dyDescent="0.25">
      <c r="A198" s="9" t="s">
        <v>101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f t="shared" si="2"/>
        <v>0</v>
      </c>
    </row>
    <row r="199" spans="1:10" s="9" customFormat="1" ht="15" customHeight="1" x14ac:dyDescent="0.25">
      <c r="A199" s="9" t="s">
        <v>102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f t="shared" si="2"/>
        <v>0</v>
      </c>
    </row>
    <row r="200" spans="1:10" s="9" customFormat="1" ht="15" customHeight="1" x14ac:dyDescent="0.25">
      <c r="A200" s="9" t="s">
        <v>103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f t="shared" si="2"/>
        <v>0</v>
      </c>
    </row>
    <row r="201" spans="1:10" s="9" customFormat="1" ht="15" customHeight="1" x14ac:dyDescent="0.25">
      <c r="A201" s="9" t="s">
        <v>104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f t="shared" si="2"/>
        <v>0</v>
      </c>
    </row>
    <row r="202" spans="1:10" s="9" customFormat="1" ht="15" customHeight="1" x14ac:dyDescent="0.25">
      <c r="A202" s="9" t="s">
        <v>105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f t="shared" si="2"/>
        <v>0</v>
      </c>
    </row>
    <row r="203" spans="1:10" s="9" customFormat="1" ht="15" customHeight="1" x14ac:dyDescent="0.25">
      <c r="A203" s="9" t="s">
        <v>106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f t="shared" si="2"/>
        <v>0</v>
      </c>
    </row>
    <row r="204" spans="1:10" s="9" customFormat="1" ht="15" customHeight="1" x14ac:dyDescent="0.25">
      <c r="A204" s="9" t="s">
        <v>107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f t="shared" si="2"/>
        <v>0</v>
      </c>
    </row>
    <row r="205" spans="1:10" s="9" customFormat="1" ht="15" customHeight="1" x14ac:dyDescent="0.25">
      <c r="A205" s="9" t="s">
        <v>108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f t="shared" si="2"/>
        <v>0</v>
      </c>
    </row>
    <row r="206" spans="1:10" ht="15" customHeight="1" x14ac:dyDescent="0.25">
      <c r="B206">
        <f t="shared" ref="B206:J206" si="3">SUM(B14:B205)</f>
        <v>1</v>
      </c>
      <c r="C206">
        <f t="shared" si="3"/>
        <v>18</v>
      </c>
      <c r="D206">
        <f t="shared" si="3"/>
        <v>1</v>
      </c>
      <c r="E206">
        <f t="shared" si="3"/>
        <v>21</v>
      </c>
      <c r="F206">
        <f t="shared" si="3"/>
        <v>1</v>
      </c>
      <c r="G206">
        <f t="shared" si="3"/>
        <v>26</v>
      </c>
      <c r="H206">
        <f t="shared" si="3"/>
        <v>0</v>
      </c>
      <c r="I206">
        <f t="shared" si="3"/>
        <v>23</v>
      </c>
      <c r="J206">
        <f t="shared" si="3"/>
        <v>17</v>
      </c>
    </row>
  </sheetData>
  <mergeCells count="16">
    <mergeCell ref="A1:B1"/>
    <mergeCell ref="C1:F1"/>
    <mergeCell ref="A2:B2"/>
    <mergeCell ref="C2:F2"/>
    <mergeCell ref="A3:B3"/>
    <mergeCell ref="C3:F3"/>
    <mergeCell ref="A7:B7"/>
    <mergeCell ref="C7:F7"/>
    <mergeCell ref="A8:B8"/>
    <mergeCell ref="C8:F8"/>
    <mergeCell ref="A4:B4"/>
    <mergeCell ref="C4:F4"/>
    <mergeCell ref="A5:B5"/>
    <mergeCell ref="C5:F5"/>
    <mergeCell ref="A6:B6"/>
    <mergeCell ref="C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2"/>
  <sheetViews>
    <sheetView tabSelected="1" workbookViewId="0">
      <pane xSplit="1" ySplit="9" topLeftCell="B190" activePane="bottomRight" state="frozen"/>
      <selection pane="topRight" activeCell="B1" sqref="B1"/>
      <selection pane="bottomLeft" activeCell="A10" sqref="A10"/>
      <selection pane="bottomRight" activeCell="N202" sqref="N202"/>
    </sheetView>
  </sheetViews>
  <sheetFormatPr defaultColWidth="11.6328125" defaultRowHeight="15" customHeight="1" x14ac:dyDescent="0.25"/>
  <cols>
    <col min="2" max="3" width="10.36328125" customWidth="1"/>
    <col min="4" max="5" width="10" customWidth="1"/>
    <col min="6" max="7" width="10.36328125" customWidth="1"/>
    <col min="8" max="9" width="10" customWidth="1"/>
    <col min="10" max="10" width="9.453125" customWidth="1"/>
    <col min="11" max="11" width="10" customWidth="1"/>
    <col min="12" max="12" width="9.54296875" customWidth="1"/>
    <col min="13" max="13" width="10.08984375" customWidth="1"/>
  </cols>
  <sheetData>
    <row r="1" spans="1:14" ht="15" customHeight="1" x14ac:dyDescent="0.45">
      <c r="A1" s="10" t="s">
        <v>0</v>
      </c>
      <c r="B1" s="10"/>
      <c r="C1" s="11" t="s">
        <v>1</v>
      </c>
      <c r="D1" s="11"/>
      <c r="E1" s="11"/>
      <c r="F1" s="11"/>
    </row>
    <row r="2" spans="1:14" ht="15" customHeight="1" x14ac:dyDescent="0.45">
      <c r="A2" s="10" t="s">
        <v>2</v>
      </c>
      <c r="B2" s="10"/>
      <c r="C2" s="11" t="s">
        <v>3</v>
      </c>
      <c r="D2" s="11"/>
      <c r="E2" s="11"/>
      <c r="F2" s="11"/>
    </row>
    <row r="3" spans="1:14" ht="15" customHeight="1" x14ac:dyDescent="0.45">
      <c r="A3" s="10" t="s">
        <v>4</v>
      </c>
      <c r="B3" s="10"/>
      <c r="C3" s="11" t="s">
        <v>5</v>
      </c>
      <c r="D3" s="11"/>
      <c r="E3" s="11"/>
      <c r="F3" s="11"/>
    </row>
    <row r="4" spans="1:14" ht="15" customHeight="1" x14ac:dyDescent="0.45">
      <c r="A4" s="10" t="s">
        <v>6</v>
      </c>
      <c r="B4" s="10"/>
      <c r="C4" s="11" t="s">
        <v>7</v>
      </c>
      <c r="D4" s="11"/>
      <c r="E4" s="11"/>
      <c r="F4" s="11"/>
    </row>
    <row r="7" spans="1:14" s="1" customFormat="1" ht="46.5" customHeight="1" x14ac:dyDescent="0.45">
      <c r="A7" s="2" t="s">
        <v>8</v>
      </c>
      <c r="B7" s="3" t="s">
        <v>9</v>
      </c>
      <c r="C7" s="3" t="s">
        <v>10</v>
      </c>
      <c r="D7" s="3" t="s">
        <v>9</v>
      </c>
      <c r="E7" s="3" t="s">
        <v>10</v>
      </c>
      <c r="F7" s="3" t="s">
        <v>109</v>
      </c>
      <c r="G7" s="3" t="s">
        <v>110</v>
      </c>
      <c r="H7" s="3" t="s">
        <v>109</v>
      </c>
      <c r="I7" s="3" t="s">
        <v>110</v>
      </c>
    </row>
    <row r="8" spans="1:14" s="1" customFormat="1" ht="15" customHeight="1" x14ac:dyDescent="0.45">
      <c r="A8" s="2" t="s">
        <v>11</v>
      </c>
      <c r="B8" s="4" t="s">
        <v>12</v>
      </c>
      <c r="C8" s="4" t="s">
        <v>12</v>
      </c>
      <c r="D8" s="4" t="s">
        <v>13</v>
      </c>
      <c r="E8" s="4" t="s">
        <v>13</v>
      </c>
      <c r="F8" s="4" t="s">
        <v>12</v>
      </c>
      <c r="G8" s="4" t="s">
        <v>12</v>
      </c>
      <c r="H8" s="4" t="s">
        <v>13</v>
      </c>
      <c r="I8" s="4" t="s">
        <v>13</v>
      </c>
    </row>
    <row r="9" spans="1:14" s="1" customFormat="1" ht="30.75" customHeight="1" x14ac:dyDescent="0.25">
      <c r="B9" s="5" t="s">
        <v>111</v>
      </c>
      <c r="C9" s="5" t="s">
        <v>112</v>
      </c>
      <c r="D9" s="5" t="s">
        <v>113</v>
      </c>
      <c r="E9" s="5" t="s">
        <v>114</v>
      </c>
      <c r="F9" s="5" t="s">
        <v>113</v>
      </c>
      <c r="G9" s="5" t="s">
        <v>114</v>
      </c>
      <c r="H9" s="5" t="s">
        <v>111</v>
      </c>
      <c r="I9" s="5" t="s">
        <v>112</v>
      </c>
      <c r="J9" s="6" t="s">
        <v>114</v>
      </c>
      <c r="K9" s="6" t="s">
        <v>112</v>
      </c>
      <c r="L9" s="5" t="s">
        <v>113</v>
      </c>
      <c r="M9" s="5" t="s">
        <v>111</v>
      </c>
      <c r="N9" s="1" t="s">
        <v>116</v>
      </c>
    </row>
    <row r="10" spans="1:14" ht="15" customHeight="1" x14ac:dyDescent="0.25">
      <c r="A10" t="s">
        <v>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f t="shared" ref="J10:J41" si="0">SUM(E9,G9)</f>
        <v>0</v>
      </c>
      <c r="K10" s="7">
        <f t="shared" ref="K10:K41" si="1">SUM(C10,I10)</f>
        <v>0</v>
      </c>
      <c r="L10" s="7">
        <f t="shared" ref="L10:L41" si="2">SUM(D10,F10)</f>
        <v>0</v>
      </c>
      <c r="M10" s="7">
        <f t="shared" ref="M10:M41" si="3">SUM(B10,H10)</f>
        <v>0</v>
      </c>
      <c r="N10">
        <f>K10+M10</f>
        <v>0</v>
      </c>
    </row>
    <row r="11" spans="1:14" ht="15" customHeight="1" x14ac:dyDescent="0.25">
      <c r="A11" t="s">
        <v>14</v>
      </c>
      <c r="B11" s="7">
        <v>0</v>
      </c>
      <c r="C11" s="7">
        <v>0</v>
      </c>
      <c r="D11" s="7">
        <v>0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f t="shared" si="0"/>
        <v>0</v>
      </c>
      <c r="K11" s="7">
        <f t="shared" si="1"/>
        <v>0</v>
      </c>
      <c r="L11" s="7">
        <f t="shared" si="2"/>
        <v>1</v>
      </c>
      <c r="M11" s="7">
        <f t="shared" si="3"/>
        <v>0</v>
      </c>
      <c r="N11">
        <f t="shared" ref="N11:N74" si="4">K11+M11</f>
        <v>0</v>
      </c>
    </row>
    <row r="12" spans="1:14" ht="15" customHeight="1" x14ac:dyDescent="0.25">
      <c r="A12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si="3"/>
        <v>0</v>
      </c>
      <c r="N12">
        <f t="shared" si="4"/>
        <v>0</v>
      </c>
    </row>
    <row r="13" spans="1:14" ht="15" customHeight="1" x14ac:dyDescent="0.25">
      <c r="A13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si="3"/>
        <v>0</v>
      </c>
      <c r="N13">
        <f t="shared" si="4"/>
        <v>0</v>
      </c>
    </row>
    <row r="14" spans="1:14" ht="15" customHeight="1" x14ac:dyDescent="0.25">
      <c r="A14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si="3"/>
        <v>0</v>
      </c>
      <c r="N14">
        <f t="shared" si="4"/>
        <v>0</v>
      </c>
    </row>
    <row r="15" spans="1:14" ht="15" customHeight="1" x14ac:dyDescent="0.25">
      <c r="A15" t="s">
        <v>18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si="3"/>
        <v>0</v>
      </c>
      <c r="N15">
        <f t="shared" si="4"/>
        <v>0</v>
      </c>
    </row>
    <row r="16" spans="1:14" ht="15" customHeight="1" x14ac:dyDescent="0.25">
      <c r="A16" t="s">
        <v>19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si="3"/>
        <v>0</v>
      </c>
      <c r="N16">
        <f t="shared" si="4"/>
        <v>0</v>
      </c>
    </row>
    <row r="17" spans="1:14" ht="15" customHeight="1" x14ac:dyDescent="0.25">
      <c r="A17" t="s">
        <v>20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si="3"/>
        <v>0</v>
      </c>
      <c r="N17">
        <f t="shared" si="4"/>
        <v>0</v>
      </c>
    </row>
    <row r="18" spans="1:14" ht="15" customHeight="1" x14ac:dyDescent="0.25">
      <c r="A18" t="s">
        <v>21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si="3"/>
        <v>0</v>
      </c>
      <c r="N18">
        <f t="shared" si="4"/>
        <v>0</v>
      </c>
    </row>
    <row r="19" spans="1:14" ht="15" customHeight="1" x14ac:dyDescent="0.25">
      <c r="A19" t="s">
        <v>22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f t="shared" si="0"/>
        <v>0</v>
      </c>
      <c r="K19" s="7">
        <f t="shared" si="1"/>
        <v>0</v>
      </c>
      <c r="L19" s="7">
        <f t="shared" si="2"/>
        <v>0</v>
      </c>
      <c r="M19" s="7">
        <f t="shared" si="3"/>
        <v>0</v>
      </c>
      <c r="N19">
        <f t="shared" si="4"/>
        <v>0</v>
      </c>
    </row>
    <row r="20" spans="1:14" ht="15" customHeight="1" x14ac:dyDescent="0.25">
      <c r="A20" t="s">
        <v>23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f t="shared" si="0"/>
        <v>0</v>
      </c>
      <c r="K20" s="7">
        <f t="shared" si="1"/>
        <v>0</v>
      </c>
      <c r="L20" s="7">
        <f t="shared" si="2"/>
        <v>0</v>
      </c>
      <c r="M20" s="7">
        <f t="shared" si="3"/>
        <v>0</v>
      </c>
      <c r="N20">
        <f t="shared" si="4"/>
        <v>0</v>
      </c>
    </row>
    <row r="21" spans="1:14" ht="15" customHeight="1" x14ac:dyDescent="0.25">
      <c r="A21" t="s">
        <v>24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f t="shared" si="0"/>
        <v>0</v>
      </c>
      <c r="K21" s="7">
        <f t="shared" si="1"/>
        <v>0</v>
      </c>
      <c r="L21" s="7">
        <f t="shared" si="2"/>
        <v>0</v>
      </c>
      <c r="M21" s="7">
        <f t="shared" si="3"/>
        <v>0</v>
      </c>
      <c r="N21">
        <f t="shared" si="4"/>
        <v>0</v>
      </c>
    </row>
    <row r="22" spans="1:14" ht="15" customHeight="1" x14ac:dyDescent="0.25">
      <c r="A22" t="s">
        <v>25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f t="shared" si="0"/>
        <v>0</v>
      </c>
      <c r="K22" s="7">
        <f t="shared" si="1"/>
        <v>0</v>
      </c>
      <c r="L22" s="7">
        <f t="shared" si="2"/>
        <v>0</v>
      </c>
      <c r="M22" s="7">
        <f t="shared" si="3"/>
        <v>0</v>
      </c>
      <c r="N22">
        <f t="shared" si="4"/>
        <v>0</v>
      </c>
    </row>
    <row r="23" spans="1:14" ht="15" customHeight="1" x14ac:dyDescent="0.25">
      <c r="A23" t="s">
        <v>26</v>
      </c>
      <c r="B23" s="7">
        <v>0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f t="shared" si="0"/>
        <v>0</v>
      </c>
      <c r="K23" s="7">
        <f t="shared" si="1"/>
        <v>0</v>
      </c>
      <c r="L23" s="7">
        <f t="shared" si="2"/>
        <v>1</v>
      </c>
      <c r="M23" s="7">
        <f t="shared" si="3"/>
        <v>0</v>
      </c>
      <c r="N23">
        <f t="shared" si="4"/>
        <v>0</v>
      </c>
    </row>
    <row r="24" spans="1:14" ht="15" customHeight="1" x14ac:dyDescent="0.25">
      <c r="A24" t="s">
        <v>27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f t="shared" si="0"/>
        <v>0</v>
      </c>
      <c r="K24" s="7">
        <f t="shared" si="1"/>
        <v>0</v>
      </c>
      <c r="L24" s="7">
        <f t="shared" si="2"/>
        <v>0</v>
      </c>
      <c r="M24" s="7">
        <f t="shared" si="3"/>
        <v>0</v>
      </c>
      <c r="N24">
        <f t="shared" si="4"/>
        <v>0</v>
      </c>
    </row>
    <row r="25" spans="1:14" ht="15" customHeight="1" x14ac:dyDescent="0.25">
      <c r="A25" t="s">
        <v>28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f t="shared" si="0"/>
        <v>0</v>
      </c>
      <c r="K25" s="7">
        <f t="shared" si="1"/>
        <v>0</v>
      </c>
      <c r="L25" s="7">
        <f t="shared" si="2"/>
        <v>0</v>
      </c>
      <c r="M25" s="7">
        <f t="shared" si="3"/>
        <v>0</v>
      </c>
      <c r="N25">
        <f t="shared" si="4"/>
        <v>0</v>
      </c>
    </row>
    <row r="26" spans="1:14" ht="15" customHeight="1" x14ac:dyDescent="0.25">
      <c r="A26" t="s">
        <v>29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f t="shared" si="0"/>
        <v>0</v>
      </c>
      <c r="K26" s="7">
        <f t="shared" si="1"/>
        <v>0</v>
      </c>
      <c r="L26" s="7">
        <f t="shared" si="2"/>
        <v>0</v>
      </c>
      <c r="M26" s="7">
        <f t="shared" si="3"/>
        <v>0</v>
      </c>
      <c r="N26">
        <f t="shared" si="4"/>
        <v>0</v>
      </c>
    </row>
    <row r="27" spans="1:14" ht="15" customHeight="1" x14ac:dyDescent="0.25">
      <c r="A27" t="s">
        <v>30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f t="shared" si="0"/>
        <v>0</v>
      </c>
      <c r="K27" s="7">
        <f t="shared" si="1"/>
        <v>0</v>
      </c>
      <c r="L27" s="7">
        <f t="shared" si="2"/>
        <v>0</v>
      </c>
      <c r="M27" s="7">
        <f t="shared" si="3"/>
        <v>0</v>
      </c>
      <c r="N27">
        <f t="shared" si="4"/>
        <v>0</v>
      </c>
    </row>
    <row r="28" spans="1:14" ht="15" customHeight="1" x14ac:dyDescent="0.25">
      <c r="A28" t="s">
        <v>31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f t="shared" si="0"/>
        <v>0</v>
      </c>
      <c r="K28" s="7">
        <f t="shared" si="1"/>
        <v>0</v>
      </c>
      <c r="L28" s="7">
        <f t="shared" si="2"/>
        <v>0</v>
      </c>
      <c r="M28" s="7">
        <f t="shared" si="3"/>
        <v>0</v>
      </c>
      <c r="N28">
        <f t="shared" si="4"/>
        <v>0</v>
      </c>
    </row>
    <row r="29" spans="1:14" ht="15" customHeight="1" x14ac:dyDescent="0.25">
      <c r="A29" t="s">
        <v>32</v>
      </c>
      <c r="B29" s="7">
        <v>0</v>
      </c>
      <c r="C29" s="7">
        <v>0</v>
      </c>
      <c r="D29" s="7">
        <v>1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f t="shared" si="0"/>
        <v>0</v>
      </c>
      <c r="K29" s="7">
        <f t="shared" si="1"/>
        <v>0</v>
      </c>
      <c r="L29" s="7">
        <f t="shared" si="2"/>
        <v>1</v>
      </c>
      <c r="M29" s="7">
        <f t="shared" si="3"/>
        <v>0</v>
      </c>
      <c r="N29">
        <f t="shared" si="4"/>
        <v>0</v>
      </c>
    </row>
    <row r="30" spans="1:14" ht="15" customHeight="1" x14ac:dyDescent="0.25">
      <c r="A30" t="s">
        <v>33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f t="shared" si="0"/>
        <v>0</v>
      </c>
      <c r="K30" s="7">
        <f t="shared" si="1"/>
        <v>0</v>
      </c>
      <c r="L30" s="7">
        <f t="shared" si="2"/>
        <v>0</v>
      </c>
      <c r="M30" s="7">
        <f t="shared" si="3"/>
        <v>0</v>
      </c>
      <c r="N30">
        <f t="shared" si="4"/>
        <v>0</v>
      </c>
    </row>
    <row r="31" spans="1:14" ht="15" customHeight="1" x14ac:dyDescent="0.25">
      <c r="A31" t="s">
        <v>34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f t="shared" si="0"/>
        <v>0</v>
      </c>
      <c r="K31" s="7">
        <f t="shared" si="1"/>
        <v>0</v>
      </c>
      <c r="L31" s="7">
        <f t="shared" si="2"/>
        <v>0</v>
      </c>
      <c r="M31" s="7">
        <f t="shared" si="3"/>
        <v>0</v>
      </c>
      <c r="N31">
        <f t="shared" si="4"/>
        <v>0</v>
      </c>
    </row>
    <row r="32" spans="1:14" ht="15" customHeight="1" x14ac:dyDescent="0.25">
      <c r="A32" t="s">
        <v>35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f t="shared" si="0"/>
        <v>0</v>
      </c>
      <c r="K32" s="7">
        <f t="shared" si="1"/>
        <v>0</v>
      </c>
      <c r="L32" s="7">
        <f t="shared" si="2"/>
        <v>0</v>
      </c>
      <c r="M32" s="7">
        <f t="shared" si="3"/>
        <v>0</v>
      </c>
      <c r="N32">
        <f t="shared" si="4"/>
        <v>0</v>
      </c>
    </row>
    <row r="33" spans="1:14" ht="15" customHeight="1" x14ac:dyDescent="0.25">
      <c r="A33" t="s">
        <v>36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f t="shared" si="0"/>
        <v>0</v>
      </c>
      <c r="K33" s="7">
        <f t="shared" si="1"/>
        <v>0</v>
      </c>
      <c r="L33" s="7">
        <f t="shared" si="2"/>
        <v>0</v>
      </c>
      <c r="M33" s="7">
        <f t="shared" si="3"/>
        <v>0</v>
      </c>
      <c r="N33">
        <f t="shared" si="4"/>
        <v>0</v>
      </c>
    </row>
    <row r="34" spans="1:14" ht="15" customHeight="1" x14ac:dyDescent="0.25">
      <c r="A34" t="s">
        <v>37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f t="shared" si="0"/>
        <v>0</v>
      </c>
      <c r="K34" s="7">
        <f t="shared" si="1"/>
        <v>0</v>
      </c>
      <c r="L34" s="7">
        <f t="shared" si="2"/>
        <v>0</v>
      </c>
      <c r="M34" s="7">
        <f t="shared" si="3"/>
        <v>0</v>
      </c>
      <c r="N34">
        <f t="shared" si="4"/>
        <v>0</v>
      </c>
    </row>
    <row r="35" spans="1:14" ht="15" customHeight="1" x14ac:dyDescent="0.25">
      <c r="A35" t="s">
        <v>38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f t="shared" si="0"/>
        <v>0</v>
      </c>
      <c r="K35" s="7">
        <f t="shared" si="1"/>
        <v>0</v>
      </c>
      <c r="L35" s="7">
        <f t="shared" si="2"/>
        <v>0</v>
      </c>
      <c r="M35" s="7">
        <f t="shared" si="3"/>
        <v>0</v>
      </c>
      <c r="N35">
        <f t="shared" si="4"/>
        <v>0</v>
      </c>
    </row>
    <row r="36" spans="1:14" ht="15" customHeight="1" x14ac:dyDescent="0.25">
      <c r="A36" t="s">
        <v>39</v>
      </c>
      <c r="B36" s="7">
        <v>0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f t="shared" si="0"/>
        <v>0</v>
      </c>
      <c r="K36" s="7">
        <f t="shared" si="1"/>
        <v>0</v>
      </c>
      <c r="L36" s="7">
        <f t="shared" si="2"/>
        <v>1</v>
      </c>
      <c r="M36" s="7">
        <f t="shared" si="3"/>
        <v>0</v>
      </c>
      <c r="N36">
        <f t="shared" si="4"/>
        <v>0</v>
      </c>
    </row>
    <row r="37" spans="1:14" ht="15" customHeight="1" x14ac:dyDescent="0.25">
      <c r="A37" t="s">
        <v>40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1</v>
      </c>
      <c r="J37" s="7">
        <f t="shared" si="0"/>
        <v>0</v>
      </c>
      <c r="K37" s="7">
        <f t="shared" si="1"/>
        <v>1</v>
      </c>
      <c r="L37" s="7">
        <f t="shared" si="2"/>
        <v>0</v>
      </c>
      <c r="M37" s="7">
        <f t="shared" si="3"/>
        <v>0</v>
      </c>
      <c r="N37">
        <f t="shared" si="4"/>
        <v>1</v>
      </c>
    </row>
    <row r="38" spans="1:14" ht="15" customHeight="1" x14ac:dyDescent="0.25">
      <c r="A38" t="s">
        <v>41</v>
      </c>
      <c r="B38" s="7">
        <v>0</v>
      </c>
      <c r="C38" s="7">
        <v>0</v>
      </c>
      <c r="D38" s="7">
        <v>0</v>
      </c>
      <c r="E38" s="7">
        <v>1</v>
      </c>
      <c r="F38" s="7">
        <v>0</v>
      </c>
      <c r="G38" s="7">
        <v>0</v>
      </c>
      <c r="H38" s="7">
        <v>0</v>
      </c>
      <c r="I38" s="7">
        <v>0</v>
      </c>
      <c r="J38" s="7">
        <f t="shared" si="0"/>
        <v>0</v>
      </c>
      <c r="K38" s="7">
        <f t="shared" si="1"/>
        <v>0</v>
      </c>
      <c r="L38" s="7">
        <f t="shared" si="2"/>
        <v>0</v>
      </c>
      <c r="M38" s="7">
        <f t="shared" si="3"/>
        <v>0</v>
      </c>
      <c r="N38">
        <f t="shared" si="4"/>
        <v>0</v>
      </c>
    </row>
    <row r="39" spans="1:14" ht="15" customHeight="1" x14ac:dyDescent="0.25">
      <c r="A39" t="s">
        <v>42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f t="shared" si="0"/>
        <v>1</v>
      </c>
      <c r="K39" s="7">
        <f t="shared" si="1"/>
        <v>0</v>
      </c>
      <c r="L39" s="7">
        <f t="shared" si="2"/>
        <v>0</v>
      </c>
      <c r="M39" s="7">
        <f t="shared" si="3"/>
        <v>0</v>
      </c>
      <c r="N39">
        <f t="shared" si="4"/>
        <v>0</v>
      </c>
    </row>
    <row r="40" spans="1:14" ht="15" customHeight="1" x14ac:dyDescent="0.25">
      <c r="A40" t="s">
        <v>43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f t="shared" si="0"/>
        <v>0</v>
      </c>
      <c r="K40" s="7">
        <f t="shared" si="1"/>
        <v>0</v>
      </c>
      <c r="L40" s="7">
        <f t="shared" si="2"/>
        <v>0</v>
      </c>
      <c r="M40" s="7">
        <f t="shared" si="3"/>
        <v>0</v>
      </c>
      <c r="N40">
        <f t="shared" si="4"/>
        <v>0</v>
      </c>
    </row>
    <row r="41" spans="1:14" ht="15" customHeight="1" x14ac:dyDescent="0.25">
      <c r="A41" t="s">
        <v>44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f t="shared" si="0"/>
        <v>0</v>
      </c>
      <c r="K41" s="7">
        <f t="shared" si="1"/>
        <v>0</v>
      </c>
      <c r="L41" s="7">
        <f t="shared" si="2"/>
        <v>0</v>
      </c>
      <c r="M41" s="7">
        <f t="shared" si="3"/>
        <v>0</v>
      </c>
      <c r="N41">
        <f t="shared" si="4"/>
        <v>0</v>
      </c>
    </row>
    <row r="42" spans="1:14" ht="15" customHeight="1" x14ac:dyDescent="0.25">
      <c r="A42" t="s">
        <v>45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f t="shared" ref="J42:J73" si="5">SUM(E41,G41)</f>
        <v>0</v>
      </c>
      <c r="K42" s="7">
        <f t="shared" ref="K42:K73" si="6">SUM(C42,I42)</f>
        <v>0</v>
      </c>
      <c r="L42" s="7">
        <f t="shared" ref="L42:L73" si="7">SUM(D42,F42)</f>
        <v>0</v>
      </c>
      <c r="M42" s="7">
        <f t="shared" ref="M42:M73" si="8">SUM(B42,H42)</f>
        <v>0</v>
      </c>
      <c r="N42">
        <f t="shared" si="4"/>
        <v>0</v>
      </c>
    </row>
    <row r="43" spans="1:14" ht="15" customHeight="1" x14ac:dyDescent="0.25">
      <c r="A43" t="s">
        <v>46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f t="shared" si="5"/>
        <v>0</v>
      </c>
      <c r="K43" s="7">
        <f t="shared" si="6"/>
        <v>0</v>
      </c>
      <c r="L43" s="7">
        <f t="shared" si="7"/>
        <v>0</v>
      </c>
      <c r="M43" s="7">
        <f t="shared" si="8"/>
        <v>0</v>
      </c>
      <c r="N43">
        <f t="shared" si="4"/>
        <v>0</v>
      </c>
    </row>
    <row r="44" spans="1:14" ht="15" customHeight="1" x14ac:dyDescent="0.25">
      <c r="A44" t="s">
        <v>47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f t="shared" si="5"/>
        <v>0</v>
      </c>
      <c r="K44" s="7">
        <f t="shared" si="6"/>
        <v>0</v>
      </c>
      <c r="L44" s="7">
        <f t="shared" si="7"/>
        <v>0</v>
      </c>
      <c r="M44" s="7">
        <f t="shared" si="8"/>
        <v>0</v>
      </c>
      <c r="N44">
        <f t="shared" si="4"/>
        <v>0</v>
      </c>
    </row>
    <row r="45" spans="1:14" ht="15" customHeight="1" x14ac:dyDescent="0.25">
      <c r="A45" t="s">
        <v>48</v>
      </c>
      <c r="B45" s="7">
        <v>0</v>
      </c>
      <c r="C45" s="7">
        <v>0</v>
      </c>
      <c r="D45" s="7">
        <v>0</v>
      </c>
      <c r="E45" s="7">
        <v>0</v>
      </c>
      <c r="F45" s="7">
        <v>2</v>
      </c>
      <c r="G45" s="7">
        <v>2</v>
      </c>
      <c r="H45" s="7">
        <v>0</v>
      </c>
      <c r="I45" s="7">
        <v>0</v>
      </c>
      <c r="J45" s="7">
        <f t="shared" si="5"/>
        <v>0</v>
      </c>
      <c r="K45" s="7">
        <f t="shared" si="6"/>
        <v>0</v>
      </c>
      <c r="L45" s="7">
        <f t="shared" si="7"/>
        <v>2</v>
      </c>
      <c r="M45" s="7">
        <f t="shared" si="8"/>
        <v>0</v>
      </c>
      <c r="N45">
        <f t="shared" si="4"/>
        <v>0</v>
      </c>
    </row>
    <row r="46" spans="1:14" ht="15" customHeight="1" x14ac:dyDescent="0.25">
      <c r="A46" t="s">
        <v>49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f t="shared" si="5"/>
        <v>2</v>
      </c>
      <c r="K46" s="7">
        <f t="shared" si="6"/>
        <v>0</v>
      </c>
      <c r="L46" s="7">
        <f t="shared" si="7"/>
        <v>0</v>
      </c>
      <c r="M46" s="7">
        <f t="shared" si="8"/>
        <v>0</v>
      </c>
      <c r="N46">
        <f t="shared" si="4"/>
        <v>0</v>
      </c>
    </row>
    <row r="47" spans="1:14" ht="15" customHeight="1" x14ac:dyDescent="0.25">
      <c r="A47" t="s">
        <v>50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f t="shared" si="5"/>
        <v>0</v>
      </c>
      <c r="K47" s="7">
        <f t="shared" si="6"/>
        <v>0</v>
      </c>
      <c r="L47" s="7">
        <f t="shared" si="7"/>
        <v>0</v>
      </c>
      <c r="M47" s="7">
        <f t="shared" si="8"/>
        <v>0</v>
      </c>
      <c r="N47">
        <f t="shared" si="4"/>
        <v>0</v>
      </c>
    </row>
    <row r="48" spans="1:14" ht="15" customHeight="1" x14ac:dyDescent="0.25">
      <c r="A48" t="s">
        <v>51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f t="shared" si="5"/>
        <v>0</v>
      </c>
      <c r="K48" s="7">
        <f t="shared" si="6"/>
        <v>0</v>
      </c>
      <c r="L48" s="7">
        <f t="shared" si="7"/>
        <v>0</v>
      </c>
      <c r="M48" s="7">
        <f t="shared" si="8"/>
        <v>0</v>
      </c>
      <c r="N48">
        <f t="shared" si="4"/>
        <v>0</v>
      </c>
    </row>
    <row r="49" spans="1:14" ht="15" customHeight="1" x14ac:dyDescent="0.25">
      <c r="A49" t="s">
        <v>52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f t="shared" si="5"/>
        <v>0</v>
      </c>
      <c r="K49" s="7">
        <f t="shared" si="6"/>
        <v>0</v>
      </c>
      <c r="L49" s="7">
        <f t="shared" si="7"/>
        <v>0</v>
      </c>
      <c r="M49" s="7">
        <f t="shared" si="8"/>
        <v>0</v>
      </c>
      <c r="N49">
        <f t="shared" si="4"/>
        <v>0</v>
      </c>
    </row>
    <row r="50" spans="1:14" ht="15" customHeight="1" x14ac:dyDescent="0.25">
      <c r="A50" t="s">
        <v>53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f t="shared" si="5"/>
        <v>0</v>
      </c>
      <c r="K50" s="7">
        <f t="shared" si="6"/>
        <v>0</v>
      </c>
      <c r="L50" s="7">
        <f t="shared" si="7"/>
        <v>0</v>
      </c>
      <c r="M50" s="7">
        <f t="shared" si="8"/>
        <v>0</v>
      </c>
      <c r="N50">
        <f t="shared" si="4"/>
        <v>0</v>
      </c>
    </row>
    <row r="51" spans="1:14" ht="15" customHeight="1" x14ac:dyDescent="0.25">
      <c r="A51" t="s">
        <v>54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f t="shared" si="5"/>
        <v>0</v>
      </c>
      <c r="K51" s="7">
        <f t="shared" si="6"/>
        <v>0</v>
      </c>
      <c r="L51" s="7">
        <f t="shared" si="7"/>
        <v>0</v>
      </c>
      <c r="M51" s="7">
        <f t="shared" si="8"/>
        <v>0</v>
      </c>
      <c r="N51">
        <f t="shared" si="4"/>
        <v>0</v>
      </c>
    </row>
    <row r="52" spans="1:14" ht="15" customHeight="1" x14ac:dyDescent="0.25">
      <c r="A52" t="s">
        <v>55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f t="shared" si="5"/>
        <v>0</v>
      </c>
      <c r="K52" s="7">
        <f t="shared" si="6"/>
        <v>0</v>
      </c>
      <c r="L52" s="7">
        <f t="shared" si="7"/>
        <v>0</v>
      </c>
      <c r="M52" s="7">
        <f t="shared" si="8"/>
        <v>0</v>
      </c>
      <c r="N52">
        <f t="shared" si="4"/>
        <v>0</v>
      </c>
    </row>
    <row r="53" spans="1:14" ht="15" customHeight="1" x14ac:dyDescent="0.25">
      <c r="A53" t="s">
        <v>56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f t="shared" si="5"/>
        <v>0</v>
      </c>
      <c r="K53" s="7">
        <f t="shared" si="6"/>
        <v>0</v>
      </c>
      <c r="L53" s="7">
        <f t="shared" si="7"/>
        <v>0</v>
      </c>
      <c r="M53" s="7">
        <f t="shared" si="8"/>
        <v>0</v>
      </c>
      <c r="N53">
        <f t="shared" si="4"/>
        <v>0</v>
      </c>
    </row>
    <row r="54" spans="1:14" ht="15" customHeight="1" x14ac:dyDescent="0.25">
      <c r="A54" t="s">
        <v>57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f t="shared" si="5"/>
        <v>0</v>
      </c>
      <c r="K54" s="7">
        <f t="shared" si="6"/>
        <v>0</v>
      </c>
      <c r="L54" s="7">
        <f t="shared" si="7"/>
        <v>0</v>
      </c>
      <c r="M54" s="7">
        <f t="shared" si="8"/>
        <v>0</v>
      </c>
      <c r="N54">
        <f t="shared" si="4"/>
        <v>0</v>
      </c>
    </row>
    <row r="55" spans="1:14" ht="15" customHeight="1" x14ac:dyDescent="0.25">
      <c r="A55" t="s">
        <v>58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f t="shared" si="5"/>
        <v>0</v>
      </c>
      <c r="K55" s="7">
        <f t="shared" si="6"/>
        <v>0</v>
      </c>
      <c r="L55" s="7">
        <f t="shared" si="7"/>
        <v>0</v>
      </c>
      <c r="M55" s="7">
        <f t="shared" si="8"/>
        <v>0</v>
      </c>
      <c r="N55">
        <f t="shared" si="4"/>
        <v>0</v>
      </c>
    </row>
    <row r="56" spans="1:14" ht="15" customHeight="1" x14ac:dyDescent="0.25">
      <c r="A56" t="s">
        <v>59</v>
      </c>
      <c r="B56" s="7">
        <v>0</v>
      </c>
      <c r="C56" s="7">
        <v>0</v>
      </c>
      <c r="D56" s="7">
        <v>0</v>
      </c>
      <c r="E56" s="7">
        <v>0</v>
      </c>
      <c r="F56" s="7">
        <v>1</v>
      </c>
      <c r="G56" s="7">
        <v>0</v>
      </c>
      <c r="H56" s="7">
        <v>0</v>
      </c>
      <c r="I56" s="7">
        <v>0</v>
      </c>
      <c r="J56" s="7">
        <f t="shared" si="5"/>
        <v>0</v>
      </c>
      <c r="K56" s="7">
        <f t="shared" si="6"/>
        <v>0</v>
      </c>
      <c r="L56" s="7">
        <f t="shared" si="7"/>
        <v>1</v>
      </c>
      <c r="M56" s="7">
        <f t="shared" si="8"/>
        <v>0</v>
      </c>
      <c r="N56">
        <f t="shared" si="4"/>
        <v>0</v>
      </c>
    </row>
    <row r="57" spans="1:14" ht="15" customHeight="1" x14ac:dyDescent="0.25">
      <c r="A57" t="s">
        <v>60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f t="shared" si="5"/>
        <v>0</v>
      </c>
      <c r="K57" s="7">
        <f t="shared" si="6"/>
        <v>1</v>
      </c>
      <c r="L57" s="7">
        <f t="shared" si="7"/>
        <v>0</v>
      </c>
      <c r="M57" s="7">
        <f t="shared" si="8"/>
        <v>0</v>
      </c>
      <c r="N57">
        <f t="shared" si="4"/>
        <v>1</v>
      </c>
    </row>
    <row r="58" spans="1:14" ht="15" customHeight="1" x14ac:dyDescent="0.25">
      <c r="A58" t="s">
        <v>61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1</v>
      </c>
      <c r="J58" s="7">
        <f t="shared" si="5"/>
        <v>0</v>
      </c>
      <c r="K58" s="7">
        <f t="shared" si="6"/>
        <v>1</v>
      </c>
      <c r="L58" s="7">
        <f t="shared" si="7"/>
        <v>0</v>
      </c>
      <c r="M58" s="7">
        <f t="shared" si="8"/>
        <v>0</v>
      </c>
      <c r="N58">
        <f t="shared" si="4"/>
        <v>1</v>
      </c>
    </row>
    <row r="59" spans="1:14" ht="15" customHeight="1" x14ac:dyDescent="0.25">
      <c r="A59" t="s">
        <v>62</v>
      </c>
      <c r="B59" s="7">
        <v>0</v>
      </c>
      <c r="C59" s="7">
        <v>0</v>
      </c>
      <c r="D59" s="7">
        <v>0</v>
      </c>
      <c r="E59" s="7">
        <v>0</v>
      </c>
      <c r="F59" s="7">
        <v>1</v>
      </c>
      <c r="G59" s="7">
        <v>0</v>
      </c>
      <c r="H59" s="7">
        <v>0</v>
      </c>
      <c r="I59" s="7">
        <v>0</v>
      </c>
      <c r="J59" s="7">
        <f t="shared" si="5"/>
        <v>0</v>
      </c>
      <c r="K59" s="7">
        <f t="shared" si="6"/>
        <v>0</v>
      </c>
      <c r="L59" s="7">
        <f t="shared" si="7"/>
        <v>1</v>
      </c>
      <c r="M59" s="7">
        <f t="shared" si="8"/>
        <v>0</v>
      </c>
      <c r="N59">
        <f t="shared" si="4"/>
        <v>0</v>
      </c>
    </row>
    <row r="60" spans="1:14" ht="15" customHeight="1" x14ac:dyDescent="0.25">
      <c r="A60" t="s">
        <v>63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f t="shared" si="5"/>
        <v>0</v>
      </c>
      <c r="K60" s="7">
        <f t="shared" si="6"/>
        <v>0</v>
      </c>
      <c r="L60" s="7">
        <f t="shared" si="7"/>
        <v>0</v>
      </c>
      <c r="M60" s="7">
        <f t="shared" si="8"/>
        <v>0</v>
      </c>
      <c r="N60">
        <f t="shared" si="4"/>
        <v>0</v>
      </c>
    </row>
    <row r="61" spans="1:14" ht="15" customHeight="1" x14ac:dyDescent="0.25">
      <c r="A61" t="s">
        <v>64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f t="shared" si="5"/>
        <v>0</v>
      </c>
      <c r="K61" s="7">
        <f t="shared" si="6"/>
        <v>0</v>
      </c>
      <c r="L61" s="7">
        <f t="shared" si="7"/>
        <v>0</v>
      </c>
      <c r="M61" s="7">
        <f t="shared" si="8"/>
        <v>0</v>
      </c>
      <c r="N61">
        <f t="shared" si="4"/>
        <v>0</v>
      </c>
    </row>
    <row r="62" spans="1:14" ht="15" customHeight="1" x14ac:dyDescent="0.25">
      <c r="A62" t="s">
        <v>65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f t="shared" si="5"/>
        <v>0</v>
      </c>
      <c r="K62" s="7">
        <f t="shared" si="6"/>
        <v>0</v>
      </c>
      <c r="L62" s="7">
        <f t="shared" si="7"/>
        <v>0</v>
      </c>
      <c r="M62" s="7">
        <f t="shared" si="8"/>
        <v>0</v>
      </c>
      <c r="N62">
        <f t="shared" si="4"/>
        <v>0</v>
      </c>
    </row>
    <row r="63" spans="1:14" ht="15" customHeight="1" x14ac:dyDescent="0.25">
      <c r="A63" t="s">
        <v>66</v>
      </c>
      <c r="B63" s="7">
        <v>0</v>
      </c>
      <c r="C63" s="7">
        <v>0</v>
      </c>
      <c r="D63" s="7">
        <v>0</v>
      </c>
      <c r="E63" s="7">
        <v>0</v>
      </c>
      <c r="F63" s="7">
        <v>1</v>
      </c>
      <c r="G63" s="7">
        <v>0</v>
      </c>
      <c r="H63" s="7">
        <v>0</v>
      </c>
      <c r="I63" s="7">
        <v>0</v>
      </c>
      <c r="J63" s="7">
        <f t="shared" si="5"/>
        <v>0</v>
      </c>
      <c r="K63" s="7">
        <f t="shared" si="6"/>
        <v>0</v>
      </c>
      <c r="L63" s="7">
        <f t="shared" si="7"/>
        <v>1</v>
      </c>
      <c r="M63" s="7">
        <f t="shared" si="8"/>
        <v>0</v>
      </c>
      <c r="N63">
        <f t="shared" si="4"/>
        <v>0</v>
      </c>
    </row>
    <row r="64" spans="1:14" ht="15" customHeight="1" x14ac:dyDescent="0.25">
      <c r="A64" t="s">
        <v>67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f t="shared" si="5"/>
        <v>0</v>
      </c>
      <c r="K64" s="7">
        <f t="shared" si="6"/>
        <v>0</v>
      </c>
      <c r="L64" s="7">
        <f t="shared" si="7"/>
        <v>0</v>
      </c>
      <c r="M64" s="7">
        <f t="shared" si="8"/>
        <v>0</v>
      </c>
      <c r="N64">
        <f t="shared" si="4"/>
        <v>0</v>
      </c>
    </row>
    <row r="65" spans="1:14" ht="15" customHeight="1" x14ac:dyDescent="0.25">
      <c r="A65" t="s">
        <v>68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f t="shared" si="5"/>
        <v>0</v>
      </c>
      <c r="K65" s="7">
        <f t="shared" si="6"/>
        <v>0</v>
      </c>
      <c r="L65" s="7">
        <f t="shared" si="7"/>
        <v>0</v>
      </c>
      <c r="M65" s="7">
        <f t="shared" si="8"/>
        <v>0</v>
      </c>
      <c r="N65">
        <f t="shared" si="4"/>
        <v>0</v>
      </c>
    </row>
    <row r="66" spans="1:14" ht="15" customHeight="1" x14ac:dyDescent="0.25">
      <c r="A66" t="s">
        <v>69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f t="shared" si="5"/>
        <v>0</v>
      </c>
      <c r="K66" s="7">
        <f t="shared" si="6"/>
        <v>0</v>
      </c>
      <c r="L66" s="7">
        <f t="shared" si="7"/>
        <v>0</v>
      </c>
      <c r="M66" s="7">
        <f t="shared" si="8"/>
        <v>0</v>
      </c>
      <c r="N66">
        <f t="shared" si="4"/>
        <v>0</v>
      </c>
    </row>
    <row r="67" spans="1:14" ht="15" customHeight="1" x14ac:dyDescent="0.25">
      <c r="A67" t="s">
        <v>70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f t="shared" si="5"/>
        <v>0</v>
      </c>
      <c r="K67" s="7">
        <f t="shared" si="6"/>
        <v>0</v>
      </c>
      <c r="L67" s="7">
        <f t="shared" si="7"/>
        <v>0</v>
      </c>
      <c r="M67" s="7">
        <f t="shared" si="8"/>
        <v>0</v>
      </c>
      <c r="N67">
        <f t="shared" si="4"/>
        <v>0</v>
      </c>
    </row>
    <row r="68" spans="1:14" ht="15" customHeight="1" x14ac:dyDescent="0.25">
      <c r="A68" t="s">
        <v>71</v>
      </c>
      <c r="B68" s="7">
        <v>0</v>
      </c>
      <c r="C68" s="7">
        <v>0</v>
      </c>
      <c r="D68" s="7">
        <v>1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f t="shared" si="5"/>
        <v>0</v>
      </c>
      <c r="K68" s="7">
        <f t="shared" si="6"/>
        <v>0</v>
      </c>
      <c r="L68" s="7">
        <f t="shared" si="7"/>
        <v>1</v>
      </c>
      <c r="M68" s="7">
        <f t="shared" si="8"/>
        <v>0</v>
      </c>
      <c r="N68">
        <f t="shared" si="4"/>
        <v>0</v>
      </c>
    </row>
    <row r="69" spans="1:14" ht="15" customHeight="1" x14ac:dyDescent="0.25">
      <c r="A69" t="s">
        <v>72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f t="shared" si="5"/>
        <v>0</v>
      </c>
      <c r="K69" s="7">
        <f t="shared" si="6"/>
        <v>0</v>
      </c>
      <c r="L69" s="7">
        <f t="shared" si="7"/>
        <v>0</v>
      </c>
      <c r="M69" s="7">
        <f t="shared" si="8"/>
        <v>0</v>
      </c>
      <c r="N69">
        <f t="shared" si="4"/>
        <v>0</v>
      </c>
    </row>
    <row r="70" spans="1:14" ht="15" customHeight="1" x14ac:dyDescent="0.25">
      <c r="A70" t="s">
        <v>73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f t="shared" si="5"/>
        <v>0</v>
      </c>
      <c r="K70" s="7">
        <f t="shared" si="6"/>
        <v>0</v>
      </c>
      <c r="L70" s="7">
        <f t="shared" si="7"/>
        <v>0</v>
      </c>
      <c r="M70" s="7">
        <f t="shared" si="8"/>
        <v>0</v>
      </c>
      <c r="N70">
        <f t="shared" si="4"/>
        <v>0</v>
      </c>
    </row>
    <row r="71" spans="1:14" ht="15" customHeight="1" x14ac:dyDescent="0.25">
      <c r="A71" t="s">
        <v>74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f t="shared" si="5"/>
        <v>0</v>
      </c>
      <c r="K71" s="7">
        <f t="shared" si="6"/>
        <v>0</v>
      </c>
      <c r="L71" s="7">
        <f t="shared" si="7"/>
        <v>0</v>
      </c>
      <c r="M71" s="7">
        <f t="shared" si="8"/>
        <v>0</v>
      </c>
      <c r="N71">
        <f t="shared" si="4"/>
        <v>0</v>
      </c>
    </row>
    <row r="72" spans="1:14" ht="15" customHeight="1" x14ac:dyDescent="0.25">
      <c r="A72" t="s">
        <v>75</v>
      </c>
      <c r="B72" s="7">
        <v>0</v>
      </c>
      <c r="C72" s="7">
        <v>0</v>
      </c>
      <c r="D72" s="7">
        <v>2</v>
      </c>
      <c r="E72" s="7">
        <v>0</v>
      </c>
      <c r="F72" s="7">
        <v>0</v>
      </c>
      <c r="G72" s="7">
        <v>1</v>
      </c>
      <c r="H72" s="7">
        <v>0</v>
      </c>
      <c r="I72" s="7">
        <v>0</v>
      </c>
      <c r="J72" s="7">
        <f t="shared" si="5"/>
        <v>0</v>
      </c>
      <c r="K72" s="7">
        <f t="shared" si="6"/>
        <v>0</v>
      </c>
      <c r="L72" s="7">
        <f t="shared" si="7"/>
        <v>2</v>
      </c>
      <c r="M72" s="7">
        <f t="shared" si="8"/>
        <v>0</v>
      </c>
      <c r="N72">
        <f t="shared" si="4"/>
        <v>0</v>
      </c>
    </row>
    <row r="73" spans="1:14" ht="15" customHeight="1" x14ac:dyDescent="0.25">
      <c r="A73" t="s">
        <v>76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f t="shared" si="5"/>
        <v>1</v>
      </c>
      <c r="K73" s="7">
        <f t="shared" si="6"/>
        <v>0</v>
      </c>
      <c r="L73" s="7">
        <f t="shared" si="7"/>
        <v>0</v>
      </c>
      <c r="M73" s="7">
        <f t="shared" si="8"/>
        <v>0</v>
      </c>
      <c r="N73">
        <f t="shared" si="4"/>
        <v>0</v>
      </c>
    </row>
    <row r="74" spans="1:14" ht="15" customHeight="1" x14ac:dyDescent="0.25">
      <c r="A74" t="s">
        <v>77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f t="shared" ref="J74:J105" si="9">SUM(E73,G73)</f>
        <v>0</v>
      </c>
      <c r="K74" s="7">
        <f t="shared" ref="K74:K105" si="10">SUM(C74,I74)</f>
        <v>0</v>
      </c>
      <c r="L74" s="7">
        <f t="shared" ref="L74:L105" si="11">SUM(D74,F74)</f>
        <v>0</v>
      </c>
      <c r="M74" s="7">
        <f t="shared" ref="M74:M105" si="12">SUM(B74,H74)</f>
        <v>0</v>
      </c>
      <c r="N74">
        <f t="shared" si="4"/>
        <v>0</v>
      </c>
    </row>
    <row r="75" spans="1:14" ht="15" customHeight="1" x14ac:dyDescent="0.25">
      <c r="A75" t="s">
        <v>78</v>
      </c>
      <c r="B75" s="7">
        <v>0</v>
      </c>
      <c r="C75" s="7">
        <v>1</v>
      </c>
      <c r="D75" s="7">
        <v>0</v>
      </c>
      <c r="E75" s="7">
        <v>0</v>
      </c>
      <c r="F75" s="7">
        <v>0</v>
      </c>
      <c r="G75" s="7">
        <v>1</v>
      </c>
      <c r="H75" s="7">
        <v>0</v>
      </c>
      <c r="I75" s="7">
        <v>0</v>
      </c>
      <c r="J75" s="7">
        <f t="shared" si="9"/>
        <v>0</v>
      </c>
      <c r="K75" s="7">
        <f t="shared" si="10"/>
        <v>1</v>
      </c>
      <c r="L75" s="7">
        <f t="shared" si="11"/>
        <v>0</v>
      </c>
      <c r="M75" s="7">
        <f t="shared" si="12"/>
        <v>0</v>
      </c>
      <c r="N75">
        <f t="shared" ref="N75:N138" si="13">K75+M75</f>
        <v>1</v>
      </c>
    </row>
    <row r="76" spans="1:14" ht="15" customHeight="1" x14ac:dyDescent="0.25">
      <c r="A76" t="s">
        <v>79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f t="shared" si="9"/>
        <v>1</v>
      </c>
      <c r="K76" s="7">
        <f t="shared" si="10"/>
        <v>0</v>
      </c>
      <c r="L76" s="7">
        <f t="shared" si="11"/>
        <v>0</v>
      </c>
      <c r="M76" s="7">
        <f t="shared" si="12"/>
        <v>0</v>
      </c>
      <c r="N76">
        <f t="shared" si="13"/>
        <v>0</v>
      </c>
    </row>
    <row r="77" spans="1:14" ht="15" customHeight="1" x14ac:dyDescent="0.25">
      <c r="A77" t="s">
        <v>80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1</v>
      </c>
      <c r="J77" s="7">
        <f t="shared" si="9"/>
        <v>0</v>
      </c>
      <c r="K77" s="7">
        <f t="shared" si="10"/>
        <v>1</v>
      </c>
      <c r="L77" s="7">
        <f t="shared" si="11"/>
        <v>0</v>
      </c>
      <c r="M77" s="7">
        <f t="shared" si="12"/>
        <v>0</v>
      </c>
      <c r="N77">
        <f t="shared" si="13"/>
        <v>1</v>
      </c>
    </row>
    <row r="78" spans="1:14" ht="15" customHeight="1" x14ac:dyDescent="0.25">
      <c r="A78" t="s">
        <v>81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1</v>
      </c>
      <c r="H78" s="7">
        <v>0</v>
      </c>
      <c r="I78" s="7">
        <v>0</v>
      </c>
      <c r="J78" s="7">
        <f t="shared" si="9"/>
        <v>0</v>
      </c>
      <c r="K78" s="7">
        <f t="shared" si="10"/>
        <v>0</v>
      </c>
      <c r="L78" s="7">
        <f t="shared" si="11"/>
        <v>0</v>
      </c>
      <c r="M78" s="7">
        <f t="shared" si="12"/>
        <v>0</v>
      </c>
      <c r="N78">
        <f t="shared" si="13"/>
        <v>0</v>
      </c>
    </row>
    <row r="79" spans="1:14" ht="15" customHeight="1" x14ac:dyDescent="0.25">
      <c r="A79" t="s">
        <v>82</v>
      </c>
      <c r="B79" s="7">
        <v>0</v>
      </c>
      <c r="C79" s="7">
        <v>0</v>
      </c>
      <c r="D79" s="7">
        <v>0</v>
      </c>
      <c r="E79" s="7">
        <v>0</v>
      </c>
      <c r="F79" s="7">
        <v>2</v>
      </c>
      <c r="G79" s="7">
        <v>0</v>
      </c>
      <c r="H79" s="7">
        <v>0</v>
      </c>
      <c r="I79" s="7">
        <v>1</v>
      </c>
      <c r="J79" s="7">
        <f t="shared" si="9"/>
        <v>1</v>
      </c>
      <c r="K79" s="7">
        <f t="shared" si="10"/>
        <v>1</v>
      </c>
      <c r="L79" s="7">
        <f t="shared" si="11"/>
        <v>2</v>
      </c>
      <c r="M79" s="7">
        <f t="shared" si="12"/>
        <v>0</v>
      </c>
      <c r="N79">
        <f t="shared" si="13"/>
        <v>1</v>
      </c>
    </row>
    <row r="80" spans="1:14" ht="15" customHeight="1" x14ac:dyDescent="0.25">
      <c r="A80" t="s">
        <v>83</v>
      </c>
      <c r="B80" s="7">
        <v>0</v>
      </c>
      <c r="C80" s="7">
        <v>1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f t="shared" si="9"/>
        <v>0</v>
      </c>
      <c r="K80" s="7">
        <f t="shared" si="10"/>
        <v>1</v>
      </c>
      <c r="L80" s="7">
        <f t="shared" si="11"/>
        <v>0</v>
      </c>
      <c r="M80" s="7">
        <f t="shared" si="12"/>
        <v>0</v>
      </c>
      <c r="N80">
        <f t="shared" si="13"/>
        <v>1</v>
      </c>
    </row>
    <row r="81" spans="1:14" ht="15" customHeight="1" x14ac:dyDescent="0.25">
      <c r="A81" t="s">
        <v>84</v>
      </c>
      <c r="B81" s="7">
        <v>0</v>
      </c>
      <c r="C81" s="7">
        <v>0</v>
      </c>
      <c r="D81" s="7">
        <v>1</v>
      </c>
      <c r="E81" s="7">
        <v>0</v>
      </c>
      <c r="F81" s="7">
        <v>0</v>
      </c>
      <c r="G81" s="7">
        <v>1</v>
      </c>
      <c r="H81" s="7">
        <v>0</v>
      </c>
      <c r="I81" s="7">
        <v>0</v>
      </c>
      <c r="J81" s="7">
        <f t="shared" si="9"/>
        <v>0</v>
      </c>
      <c r="K81" s="7">
        <f t="shared" si="10"/>
        <v>0</v>
      </c>
      <c r="L81" s="7">
        <f t="shared" si="11"/>
        <v>1</v>
      </c>
      <c r="M81" s="7">
        <f t="shared" si="12"/>
        <v>0</v>
      </c>
      <c r="N81">
        <f t="shared" si="13"/>
        <v>0</v>
      </c>
    </row>
    <row r="82" spans="1:14" ht="15" customHeight="1" x14ac:dyDescent="0.25">
      <c r="A82" t="s">
        <v>85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f t="shared" si="9"/>
        <v>1</v>
      </c>
      <c r="K82" s="7">
        <f t="shared" si="10"/>
        <v>0</v>
      </c>
      <c r="L82" s="7">
        <f t="shared" si="11"/>
        <v>0</v>
      </c>
      <c r="M82" s="7">
        <f t="shared" si="12"/>
        <v>0</v>
      </c>
      <c r="N82">
        <f t="shared" si="13"/>
        <v>0</v>
      </c>
    </row>
    <row r="83" spans="1:14" ht="15" customHeight="1" x14ac:dyDescent="0.25">
      <c r="A83" t="s">
        <v>86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f t="shared" si="9"/>
        <v>0</v>
      </c>
      <c r="K83" s="7">
        <f t="shared" si="10"/>
        <v>0</v>
      </c>
      <c r="L83" s="7">
        <f t="shared" si="11"/>
        <v>0</v>
      </c>
      <c r="M83" s="7">
        <f t="shared" si="12"/>
        <v>0</v>
      </c>
      <c r="N83">
        <f t="shared" si="13"/>
        <v>0</v>
      </c>
    </row>
    <row r="84" spans="1:14" ht="15" customHeight="1" x14ac:dyDescent="0.25">
      <c r="A84" t="s">
        <v>87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f t="shared" si="9"/>
        <v>0</v>
      </c>
      <c r="K84" s="7">
        <f t="shared" si="10"/>
        <v>0</v>
      </c>
      <c r="L84" s="7">
        <f t="shared" si="11"/>
        <v>0</v>
      </c>
      <c r="M84" s="7">
        <f t="shared" si="12"/>
        <v>0</v>
      </c>
      <c r="N84">
        <f t="shared" si="13"/>
        <v>0</v>
      </c>
    </row>
    <row r="85" spans="1:14" ht="15" customHeight="1" x14ac:dyDescent="0.25">
      <c r="A85" t="s">
        <v>88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f t="shared" si="9"/>
        <v>0</v>
      </c>
      <c r="K85" s="7">
        <f t="shared" si="10"/>
        <v>0</v>
      </c>
      <c r="L85" s="7">
        <f t="shared" si="11"/>
        <v>0</v>
      </c>
      <c r="M85" s="7">
        <f t="shared" si="12"/>
        <v>0</v>
      </c>
      <c r="N85">
        <f t="shared" si="13"/>
        <v>0</v>
      </c>
    </row>
    <row r="86" spans="1:14" ht="15" customHeight="1" x14ac:dyDescent="0.25">
      <c r="A86" t="s">
        <v>89</v>
      </c>
      <c r="B86" s="7">
        <v>0</v>
      </c>
      <c r="C86" s="7">
        <v>0</v>
      </c>
      <c r="D86" s="7">
        <v>0</v>
      </c>
      <c r="E86" s="7">
        <v>0</v>
      </c>
      <c r="F86" s="7">
        <v>1</v>
      </c>
      <c r="G86" s="7">
        <v>1</v>
      </c>
      <c r="H86" s="7">
        <v>0</v>
      </c>
      <c r="I86" s="7">
        <v>0</v>
      </c>
      <c r="J86" s="7">
        <f t="shared" si="9"/>
        <v>0</v>
      </c>
      <c r="K86" s="7">
        <f t="shared" si="10"/>
        <v>0</v>
      </c>
      <c r="L86" s="7">
        <f t="shared" si="11"/>
        <v>1</v>
      </c>
      <c r="M86" s="7">
        <f t="shared" si="12"/>
        <v>0</v>
      </c>
      <c r="N86">
        <f t="shared" si="13"/>
        <v>0</v>
      </c>
    </row>
    <row r="87" spans="1:14" ht="15" customHeight="1" x14ac:dyDescent="0.25">
      <c r="A87" t="s">
        <v>90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f t="shared" si="9"/>
        <v>1</v>
      </c>
      <c r="K87" s="7">
        <f t="shared" si="10"/>
        <v>0</v>
      </c>
      <c r="L87" s="7">
        <f t="shared" si="11"/>
        <v>0</v>
      </c>
      <c r="M87" s="7">
        <f t="shared" si="12"/>
        <v>0</v>
      </c>
      <c r="N87">
        <f t="shared" si="13"/>
        <v>0</v>
      </c>
    </row>
    <row r="88" spans="1:14" ht="15" customHeight="1" x14ac:dyDescent="0.25">
      <c r="A88" t="s">
        <v>91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1</v>
      </c>
      <c r="J88" s="7">
        <f t="shared" si="9"/>
        <v>0</v>
      </c>
      <c r="K88" s="7">
        <f t="shared" si="10"/>
        <v>1</v>
      </c>
      <c r="L88" s="7">
        <f t="shared" si="11"/>
        <v>0</v>
      </c>
      <c r="M88" s="7">
        <f t="shared" si="12"/>
        <v>0</v>
      </c>
      <c r="N88">
        <f t="shared" si="13"/>
        <v>1</v>
      </c>
    </row>
    <row r="89" spans="1:14" ht="15" customHeight="1" x14ac:dyDescent="0.25">
      <c r="A89" t="s">
        <v>92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1</v>
      </c>
      <c r="H89" s="7">
        <v>0</v>
      </c>
      <c r="I89" s="7">
        <v>0</v>
      </c>
      <c r="J89" s="7">
        <f t="shared" si="9"/>
        <v>0</v>
      </c>
      <c r="K89" s="7">
        <f t="shared" si="10"/>
        <v>0</v>
      </c>
      <c r="L89" s="7">
        <f t="shared" si="11"/>
        <v>0</v>
      </c>
      <c r="M89" s="7">
        <f t="shared" si="12"/>
        <v>0</v>
      </c>
      <c r="N89">
        <f t="shared" si="13"/>
        <v>0</v>
      </c>
    </row>
    <row r="90" spans="1:14" ht="15" customHeight="1" x14ac:dyDescent="0.25">
      <c r="A90" t="s">
        <v>93</v>
      </c>
      <c r="B90" s="7">
        <v>0</v>
      </c>
      <c r="C90" s="7">
        <v>1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1</v>
      </c>
      <c r="J90" s="7">
        <f t="shared" si="9"/>
        <v>1</v>
      </c>
      <c r="K90" s="7">
        <f t="shared" si="10"/>
        <v>2</v>
      </c>
      <c r="L90" s="7">
        <f t="shared" si="11"/>
        <v>0</v>
      </c>
      <c r="M90" s="7">
        <f t="shared" si="12"/>
        <v>0</v>
      </c>
      <c r="N90">
        <f t="shared" si="13"/>
        <v>2</v>
      </c>
    </row>
    <row r="91" spans="1:14" ht="15" customHeight="1" x14ac:dyDescent="0.25">
      <c r="A91" t="s">
        <v>94</v>
      </c>
      <c r="B91" s="7">
        <v>0</v>
      </c>
      <c r="C91" s="7">
        <v>0</v>
      </c>
      <c r="D91" s="7">
        <v>0</v>
      </c>
      <c r="E91" s="7">
        <v>1</v>
      </c>
      <c r="F91" s="7">
        <v>0</v>
      </c>
      <c r="G91" s="7">
        <v>0</v>
      </c>
      <c r="H91" s="7">
        <v>0</v>
      </c>
      <c r="I91" s="7">
        <v>0</v>
      </c>
      <c r="J91" s="7">
        <f t="shared" si="9"/>
        <v>0</v>
      </c>
      <c r="K91" s="7">
        <f t="shared" si="10"/>
        <v>0</v>
      </c>
      <c r="L91" s="7">
        <f t="shared" si="11"/>
        <v>0</v>
      </c>
      <c r="M91" s="7">
        <f t="shared" si="12"/>
        <v>0</v>
      </c>
      <c r="N91">
        <f t="shared" si="13"/>
        <v>0</v>
      </c>
    </row>
    <row r="92" spans="1:14" ht="15" customHeight="1" x14ac:dyDescent="0.25">
      <c r="A92" t="s">
        <v>95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f t="shared" si="9"/>
        <v>1</v>
      </c>
      <c r="K92" s="7">
        <f t="shared" si="10"/>
        <v>0</v>
      </c>
      <c r="L92" s="7">
        <f t="shared" si="11"/>
        <v>0</v>
      </c>
      <c r="M92" s="7">
        <f t="shared" si="12"/>
        <v>0</v>
      </c>
      <c r="N92">
        <f t="shared" si="13"/>
        <v>0</v>
      </c>
    </row>
    <row r="93" spans="1:14" ht="15" customHeight="1" x14ac:dyDescent="0.25">
      <c r="A93" t="s">
        <v>96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1</v>
      </c>
      <c r="H93" s="7">
        <v>0</v>
      </c>
      <c r="I93" s="7">
        <v>0</v>
      </c>
      <c r="J93" s="7">
        <f t="shared" si="9"/>
        <v>0</v>
      </c>
      <c r="K93" s="7">
        <f t="shared" si="10"/>
        <v>0</v>
      </c>
      <c r="L93" s="7">
        <f t="shared" si="11"/>
        <v>0</v>
      </c>
      <c r="M93" s="7">
        <f t="shared" si="12"/>
        <v>0</v>
      </c>
      <c r="N93">
        <f t="shared" si="13"/>
        <v>0</v>
      </c>
    </row>
    <row r="94" spans="1:14" ht="15" customHeight="1" x14ac:dyDescent="0.25">
      <c r="A94" t="s">
        <v>97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f t="shared" si="9"/>
        <v>1</v>
      </c>
      <c r="K94" s="7">
        <f t="shared" si="10"/>
        <v>0</v>
      </c>
      <c r="L94" s="7">
        <f t="shared" si="11"/>
        <v>0</v>
      </c>
      <c r="M94" s="7">
        <f t="shared" si="12"/>
        <v>0</v>
      </c>
      <c r="N94">
        <f t="shared" si="13"/>
        <v>0</v>
      </c>
    </row>
    <row r="95" spans="1:14" ht="15" customHeight="1" x14ac:dyDescent="0.25">
      <c r="A95" t="s">
        <v>98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f t="shared" si="9"/>
        <v>0</v>
      </c>
      <c r="K95" s="7">
        <f t="shared" si="10"/>
        <v>0</v>
      </c>
      <c r="L95" s="7">
        <f t="shared" si="11"/>
        <v>0</v>
      </c>
      <c r="M95" s="7">
        <f t="shared" si="12"/>
        <v>0</v>
      </c>
      <c r="N95">
        <f t="shared" si="13"/>
        <v>0</v>
      </c>
    </row>
    <row r="96" spans="1:14" ht="15" customHeight="1" x14ac:dyDescent="0.25">
      <c r="A96" t="s">
        <v>99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f t="shared" si="9"/>
        <v>0</v>
      </c>
      <c r="K96" s="7">
        <f t="shared" si="10"/>
        <v>0</v>
      </c>
      <c r="L96" s="7">
        <f t="shared" si="11"/>
        <v>0</v>
      </c>
      <c r="M96" s="7">
        <f t="shared" si="12"/>
        <v>0</v>
      </c>
      <c r="N96">
        <f t="shared" si="13"/>
        <v>0</v>
      </c>
    </row>
    <row r="97" spans="1:14" ht="15" customHeight="1" x14ac:dyDescent="0.25">
      <c r="A97" t="s">
        <v>100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f t="shared" si="9"/>
        <v>0</v>
      </c>
      <c r="K97" s="7">
        <f t="shared" si="10"/>
        <v>0</v>
      </c>
      <c r="L97" s="7">
        <f t="shared" si="11"/>
        <v>0</v>
      </c>
      <c r="M97" s="7">
        <f t="shared" si="12"/>
        <v>0</v>
      </c>
      <c r="N97">
        <f t="shared" si="13"/>
        <v>0</v>
      </c>
    </row>
    <row r="98" spans="1:14" ht="15" customHeight="1" x14ac:dyDescent="0.25">
      <c r="A98" t="s">
        <v>101</v>
      </c>
      <c r="B98" s="7">
        <v>0</v>
      </c>
      <c r="C98" s="7">
        <v>1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f t="shared" si="9"/>
        <v>0</v>
      </c>
      <c r="K98" s="7">
        <f t="shared" si="10"/>
        <v>1</v>
      </c>
      <c r="L98" s="7">
        <f t="shared" si="11"/>
        <v>0</v>
      </c>
      <c r="M98" s="7">
        <f t="shared" si="12"/>
        <v>0</v>
      </c>
      <c r="N98">
        <f t="shared" si="13"/>
        <v>1</v>
      </c>
    </row>
    <row r="99" spans="1:14" ht="15" customHeight="1" x14ac:dyDescent="0.25">
      <c r="A99" t="s">
        <v>102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f t="shared" si="9"/>
        <v>0</v>
      </c>
      <c r="K99" s="7">
        <f t="shared" si="10"/>
        <v>0</v>
      </c>
      <c r="L99" s="7">
        <f t="shared" si="11"/>
        <v>0</v>
      </c>
      <c r="M99" s="7">
        <f t="shared" si="12"/>
        <v>0</v>
      </c>
      <c r="N99">
        <f t="shared" si="13"/>
        <v>0</v>
      </c>
    </row>
    <row r="100" spans="1:14" ht="15" customHeight="1" x14ac:dyDescent="0.25">
      <c r="A100" t="s">
        <v>103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f t="shared" si="9"/>
        <v>0</v>
      </c>
      <c r="K100" s="7">
        <f t="shared" si="10"/>
        <v>0</v>
      </c>
      <c r="L100" s="7">
        <f t="shared" si="11"/>
        <v>0</v>
      </c>
      <c r="M100" s="7">
        <f t="shared" si="12"/>
        <v>0</v>
      </c>
      <c r="N100">
        <f t="shared" si="13"/>
        <v>0</v>
      </c>
    </row>
    <row r="101" spans="1:14" ht="15" customHeight="1" x14ac:dyDescent="0.25">
      <c r="A101" t="s">
        <v>104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1</v>
      </c>
      <c r="H101" s="7">
        <v>0</v>
      </c>
      <c r="I101" s="7">
        <v>1</v>
      </c>
      <c r="J101" s="7">
        <f t="shared" si="9"/>
        <v>0</v>
      </c>
      <c r="K101" s="7">
        <f t="shared" si="10"/>
        <v>1</v>
      </c>
      <c r="L101" s="7">
        <f t="shared" si="11"/>
        <v>0</v>
      </c>
      <c r="M101" s="7">
        <f t="shared" si="12"/>
        <v>0</v>
      </c>
      <c r="N101">
        <f t="shared" si="13"/>
        <v>1</v>
      </c>
    </row>
    <row r="102" spans="1:14" ht="15" customHeight="1" x14ac:dyDescent="0.25">
      <c r="A102" t="s">
        <v>105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f t="shared" si="9"/>
        <v>1</v>
      </c>
      <c r="K102" s="7">
        <f t="shared" si="10"/>
        <v>0</v>
      </c>
      <c r="L102" s="7">
        <f t="shared" si="11"/>
        <v>0</v>
      </c>
      <c r="M102" s="7">
        <f t="shared" si="12"/>
        <v>0</v>
      </c>
      <c r="N102">
        <f t="shared" si="13"/>
        <v>0</v>
      </c>
    </row>
    <row r="103" spans="1:14" ht="15" customHeight="1" x14ac:dyDescent="0.25">
      <c r="A103" t="s">
        <v>106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f t="shared" si="9"/>
        <v>0</v>
      </c>
      <c r="K103" s="7">
        <f t="shared" si="10"/>
        <v>0</v>
      </c>
      <c r="L103" s="7">
        <f t="shared" si="11"/>
        <v>0</v>
      </c>
      <c r="M103" s="7">
        <f t="shared" si="12"/>
        <v>0</v>
      </c>
      <c r="N103">
        <f t="shared" si="13"/>
        <v>0</v>
      </c>
    </row>
    <row r="104" spans="1:14" ht="15" customHeight="1" x14ac:dyDescent="0.25">
      <c r="A104" t="s">
        <v>107</v>
      </c>
      <c r="B104" s="7">
        <v>0</v>
      </c>
      <c r="C104" s="7">
        <v>0</v>
      </c>
      <c r="D104" s="7">
        <v>1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f t="shared" si="9"/>
        <v>0</v>
      </c>
      <c r="K104" s="7">
        <f t="shared" si="10"/>
        <v>0</v>
      </c>
      <c r="L104" s="7">
        <f t="shared" si="11"/>
        <v>1</v>
      </c>
      <c r="M104" s="7">
        <f t="shared" si="12"/>
        <v>0</v>
      </c>
      <c r="N104">
        <f t="shared" si="13"/>
        <v>0</v>
      </c>
    </row>
    <row r="105" spans="1:14" ht="15" customHeight="1" x14ac:dyDescent="0.25">
      <c r="A105" t="s">
        <v>108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f t="shared" si="9"/>
        <v>0</v>
      </c>
      <c r="K105" s="7">
        <f t="shared" si="10"/>
        <v>0</v>
      </c>
      <c r="L105" s="7">
        <f t="shared" si="11"/>
        <v>0</v>
      </c>
      <c r="M105" s="7">
        <f t="shared" si="12"/>
        <v>0</v>
      </c>
      <c r="N105">
        <f t="shared" si="13"/>
        <v>0</v>
      </c>
    </row>
    <row r="106" spans="1:14" ht="15" customHeight="1" x14ac:dyDescent="0.25">
      <c r="A106" t="s">
        <v>5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f t="shared" ref="J106:J137" si="14">SUM(E105,G105)</f>
        <v>0</v>
      </c>
      <c r="K106" s="7">
        <f t="shared" ref="K106:K137" si="15">SUM(C106,I106)</f>
        <v>0</v>
      </c>
      <c r="L106" s="7">
        <f t="shared" ref="L106:L137" si="16">SUM(D106,F106)</f>
        <v>0</v>
      </c>
      <c r="M106" s="7">
        <f t="shared" ref="M106:M137" si="17">SUM(B106,H106)</f>
        <v>0</v>
      </c>
      <c r="N106">
        <f t="shared" si="13"/>
        <v>0</v>
      </c>
    </row>
    <row r="107" spans="1:14" ht="15" customHeight="1" x14ac:dyDescent="0.25">
      <c r="A107" t="s">
        <v>14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f t="shared" si="14"/>
        <v>0</v>
      </c>
      <c r="K107" s="7">
        <f t="shared" si="15"/>
        <v>0</v>
      </c>
      <c r="L107" s="7">
        <f t="shared" si="16"/>
        <v>0</v>
      </c>
      <c r="M107" s="7">
        <f t="shared" si="17"/>
        <v>0</v>
      </c>
      <c r="N107">
        <f t="shared" si="13"/>
        <v>0</v>
      </c>
    </row>
    <row r="108" spans="1:14" ht="15" customHeight="1" x14ac:dyDescent="0.25">
      <c r="A108" t="s">
        <v>15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f t="shared" si="14"/>
        <v>0</v>
      </c>
      <c r="K108" s="7">
        <f t="shared" si="15"/>
        <v>0</v>
      </c>
      <c r="L108" s="7">
        <f t="shared" si="16"/>
        <v>0</v>
      </c>
      <c r="M108" s="7">
        <f t="shared" si="17"/>
        <v>0</v>
      </c>
      <c r="N108">
        <f t="shared" si="13"/>
        <v>0</v>
      </c>
    </row>
    <row r="109" spans="1:14" ht="15" customHeight="1" x14ac:dyDescent="0.25">
      <c r="A109" t="s">
        <v>16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f t="shared" si="14"/>
        <v>0</v>
      </c>
      <c r="K109" s="7">
        <f t="shared" si="15"/>
        <v>0</v>
      </c>
      <c r="L109" s="7">
        <f t="shared" si="16"/>
        <v>0</v>
      </c>
      <c r="M109" s="7">
        <f t="shared" si="17"/>
        <v>0</v>
      </c>
      <c r="N109">
        <f t="shared" si="13"/>
        <v>0</v>
      </c>
    </row>
    <row r="110" spans="1:14" ht="15" customHeight="1" x14ac:dyDescent="0.25">
      <c r="A110" t="s">
        <v>17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f t="shared" si="14"/>
        <v>0</v>
      </c>
      <c r="K110" s="7">
        <f t="shared" si="15"/>
        <v>0</v>
      </c>
      <c r="L110" s="7">
        <f t="shared" si="16"/>
        <v>0</v>
      </c>
      <c r="M110" s="7">
        <f t="shared" si="17"/>
        <v>0</v>
      </c>
      <c r="N110">
        <f t="shared" si="13"/>
        <v>0</v>
      </c>
    </row>
    <row r="111" spans="1:14" ht="15" customHeight="1" x14ac:dyDescent="0.25">
      <c r="A111" t="s">
        <v>18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1</v>
      </c>
      <c r="H111" s="7">
        <v>0</v>
      </c>
      <c r="I111" s="7">
        <v>0</v>
      </c>
      <c r="J111" s="7">
        <f t="shared" si="14"/>
        <v>0</v>
      </c>
      <c r="K111" s="7">
        <f t="shared" si="15"/>
        <v>0</v>
      </c>
      <c r="L111" s="7">
        <f t="shared" si="16"/>
        <v>0</v>
      </c>
      <c r="M111" s="7">
        <f t="shared" si="17"/>
        <v>0</v>
      </c>
      <c r="N111">
        <f t="shared" si="13"/>
        <v>0</v>
      </c>
    </row>
    <row r="112" spans="1:14" ht="15" customHeight="1" x14ac:dyDescent="0.25">
      <c r="A112" t="s">
        <v>19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f t="shared" si="14"/>
        <v>1</v>
      </c>
      <c r="K112" s="7">
        <f t="shared" si="15"/>
        <v>0</v>
      </c>
      <c r="L112" s="7">
        <f t="shared" si="16"/>
        <v>0</v>
      </c>
      <c r="M112" s="7">
        <f t="shared" si="17"/>
        <v>0</v>
      </c>
      <c r="N112">
        <f t="shared" si="13"/>
        <v>0</v>
      </c>
    </row>
    <row r="113" spans="1:14" ht="15" customHeight="1" x14ac:dyDescent="0.25">
      <c r="A113" t="s">
        <v>20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f t="shared" si="14"/>
        <v>0</v>
      </c>
      <c r="K113" s="7">
        <f t="shared" si="15"/>
        <v>0</v>
      </c>
      <c r="L113" s="7">
        <f t="shared" si="16"/>
        <v>0</v>
      </c>
      <c r="M113" s="7">
        <f t="shared" si="17"/>
        <v>0</v>
      </c>
      <c r="N113">
        <f t="shared" si="13"/>
        <v>0</v>
      </c>
    </row>
    <row r="114" spans="1:14" ht="15" customHeight="1" x14ac:dyDescent="0.25">
      <c r="A114" t="s">
        <v>21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f t="shared" si="14"/>
        <v>0</v>
      </c>
      <c r="K114" s="7">
        <f t="shared" si="15"/>
        <v>0</v>
      </c>
      <c r="L114" s="7">
        <f t="shared" si="16"/>
        <v>0</v>
      </c>
      <c r="M114" s="7">
        <f t="shared" si="17"/>
        <v>0</v>
      </c>
      <c r="N114">
        <f t="shared" si="13"/>
        <v>0</v>
      </c>
    </row>
    <row r="115" spans="1:14" ht="15" customHeight="1" x14ac:dyDescent="0.25">
      <c r="A115" t="s">
        <v>22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f t="shared" si="14"/>
        <v>0</v>
      </c>
      <c r="K115" s="7">
        <f t="shared" si="15"/>
        <v>0</v>
      </c>
      <c r="L115" s="7">
        <f t="shared" si="16"/>
        <v>0</v>
      </c>
      <c r="M115" s="7">
        <f t="shared" si="17"/>
        <v>0</v>
      </c>
      <c r="N115">
        <f t="shared" si="13"/>
        <v>0</v>
      </c>
    </row>
    <row r="116" spans="1:14" ht="15" customHeight="1" x14ac:dyDescent="0.25">
      <c r="A116" t="s">
        <v>23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f t="shared" si="14"/>
        <v>0</v>
      </c>
      <c r="K116" s="7">
        <f t="shared" si="15"/>
        <v>0</v>
      </c>
      <c r="L116" s="7">
        <f t="shared" si="16"/>
        <v>0</v>
      </c>
      <c r="M116" s="7">
        <f t="shared" si="17"/>
        <v>0</v>
      </c>
      <c r="N116">
        <f t="shared" si="13"/>
        <v>0</v>
      </c>
    </row>
    <row r="117" spans="1:14" ht="15" customHeight="1" x14ac:dyDescent="0.25">
      <c r="A117" t="s">
        <v>24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f t="shared" si="14"/>
        <v>0</v>
      </c>
      <c r="K117" s="7">
        <f t="shared" si="15"/>
        <v>0</v>
      </c>
      <c r="L117" s="7">
        <f t="shared" si="16"/>
        <v>0</v>
      </c>
      <c r="M117" s="7">
        <f t="shared" si="17"/>
        <v>0</v>
      </c>
      <c r="N117">
        <f t="shared" si="13"/>
        <v>0</v>
      </c>
    </row>
    <row r="118" spans="1:14" ht="15" customHeight="1" x14ac:dyDescent="0.25">
      <c r="A118" t="s">
        <v>25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f t="shared" si="14"/>
        <v>0</v>
      </c>
      <c r="K118" s="7">
        <f t="shared" si="15"/>
        <v>0</v>
      </c>
      <c r="L118" s="7">
        <f t="shared" si="16"/>
        <v>0</v>
      </c>
      <c r="M118" s="7">
        <f t="shared" si="17"/>
        <v>0</v>
      </c>
      <c r="N118">
        <f t="shared" si="13"/>
        <v>0</v>
      </c>
    </row>
    <row r="119" spans="1:14" ht="15" customHeight="1" x14ac:dyDescent="0.25">
      <c r="A119" t="s">
        <v>26</v>
      </c>
      <c r="B119" s="7">
        <v>0</v>
      </c>
      <c r="C119" s="7">
        <v>0</v>
      </c>
      <c r="D119" s="7">
        <v>1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f t="shared" si="14"/>
        <v>0</v>
      </c>
      <c r="K119" s="7">
        <f t="shared" si="15"/>
        <v>0</v>
      </c>
      <c r="L119" s="7">
        <f t="shared" si="16"/>
        <v>1</v>
      </c>
      <c r="M119" s="7">
        <f t="shared" si="17"/>
        <v>0</v>
      </c>
      <c r="N119">
        <f t="shared" si="13"/>
        <v>0</v>
      </c>
    </row>
    <row r="120" spans="1:14" ht="15" customHeight="1" x14ac:dyDescent="0.25">
      <c r="A120" t="s">
        <v>27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f t="shared" si="14"/>
        <v>0</v>
      </c>
      <c r="K120" s="7">
        <f t="shared" si="15"/>
        <v>0</v>
      </c>
      <c r="L120" s="7">
        <f t="shared" si="16"/>
        <v>0</v>
      </c>
      <c r="M120" s="7">
        <f t="shared" si="17"/>
        <v>0</v>
      </c>
      <c r="N120">
        <f t="shared" si="13"/>
        <v>0</v>
      </c>
    </row>
    <row r="121" spans="1:14" ht="15" customHeight="1" x14ac:dyDescent="0.25">
      <c r="A121" t="s">
        <v>28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f t="shared" si="14"/>
        <v>0</v>
      </c>
      <c r="K121" s="7">
        <f t="shared" si="15"/>
        <v>0</v>
      </c>
      <c r="L121" s="7">
        <f t="shared" si="16"/>
        <v>0</v>
      </c>
      <c r="M121" s="7">
        <f t="shared" si="17"/>
        <v>0</v>
      </c>
      <c r="N121">
        <f t="shared" si="13"/>
        <v>0</v>
      </c>
    </row>
    <row r="122" spans="1:14" ht="15" customHeight="1" x14ac:dyDescent="0.25">
      <c r="A122" t="s">
        <v>29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f t="shared" si="14"/>
        <v>0</v>
      </c>
      <c r="K122" s="7">
        <f t="shared" si="15"/>
        <v>0</v>
      </c>
      <c r="L122" s="7">
        <f t="shared" si="16"/>
        <v>0</v>
      </c>
      <c r="M122" s="7">
        <f t="shared" si="17"/>
        <v>0</v>
      </c>
      <c r="N122">
        <f t="shared" si="13"/>
        <v>0</v>
      </c>
    </row>
    <row r="123" spans="1:14" ht="15" customHeight="1" x14ac:dyDescent="0.25">
      <c r="A123" t="s">
        <v>30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f t="shared" si="14"/>
        <v>0</v>
      </c>
      <c r="K123" s="7">
        <f t="shared" si="15"/>
        <v>0</v>
      </c>
      <c r="L123" s="7">
        <f t="shared" si="16"/>
        <v>0</v>
      </c>
      <c r="M123" s="7">
        <f t="shared" si="17"/>
        <v>0</v>
      </c>
      <c r="N123">
        <f t="shared" si="13"/>
        <v>0</v>
      </c>
    </row>
    <row r="124" spans="1:14" ht="15" customHeight="1" x14ac:dyDescent="0.25">
      <c r="A124" t="s">
        <v>31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f t="shared" si="14"/>
        <v>0</v>
      </c>
      <c r="K124" s="7">
        <f t="shared" si="15"/>
        <v>0</v>
      </c>
      <c r="L124" s="7">
        <f t="shared" si="16"/>
        <v>0</v>
      </c>
      <c r="M124" s="7">
        <f t="shared" si="17"/>
        <v>0</v>
      </c>
      <c r="N124">
        <f t="shared" si="13"/>
        <v>0</v>
      </c>
    </row>
    <row r="125" spans="1:14" ht="15" customHeight="1" x14ac:dyDescent="0.25">
      <c r="A125" t="s">
        <v>32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f t="shared" si="14"/>
        <v>0</v>
      </c>
      <c r="K125" s="7">
        <f t="shared" si="15"/>
        <v>0</v>
      </c>
      <c r="L125" s="7">
        <f t="shared" si="16"/>
        <v>0</v>
      </c>
      <c r="M125" s="7">
        <f t="shared" si="17"/>
        <v>0</v>
      </c>
      <c r="N125">
        <f t="shared" si="13"/>
        <v>0</v>
      </c>
    </row>
    <row r="126" spans="1:14" ht="15" customHeight="1" x14ac:dyDescent="0.25">
      <c r="A126" t="s">
        <v>33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f t="shared" si="14"/>
        <v>0</v>
      </c>
      <c r="K126" s="7">
        <f t="shared" si="15"/>
        <v>0</v>
      </c>
      <c r="L126" s="7">
        <f t="shared" si="16"/>
        <v>0</v>
      </c>
      <c r="M126" s="7">
        <f t="shared" si="17"/>
        <v>0</v>
      </c>
      <c r="N126">
        <f t="shared" si="13"/>
        <v>0</v>
      </c>
    </row>
    <row r="127" spans="1:14" ht="15" customHeight="1" x14ac:dyDescent="0.25">
      <c r="A127" t="s">
        <v>34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f t="shared" si="14"/>
        <v>0</v>
      </c>
      <c r="K127" s="7">
        <f t="shared" si="15"/>
        <v>0</v>
      </c>
      <c r="L127" s="7">
        <f t="shared" si="16"/>
        <v>0</v>
      </c>
      <c r="M127" s="7">
        <f t="shared" si="17"/>
        <v>0</v>
      </c>
      <c r="N127">
        <f t="shared" si="13"/>
        <v>0</v>
      </c>
    </row>
    <row r="128" spans="1:14" ht="15" customHeight="1" x14ac:dyDescent="0.25">
      <c r="A128" t="s">
        <v>35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f t="shared" si="14"/>
        <v>0</v>
      </c>
      <c r="K128" s="7">
        <f t="shared" si="15"/>
        <v>0</v>
      </c>
      <c r="L128" s="7">
        <f t="shared" si="16"/>
        <v>0</v>
      </c>
      <c r="M128" s="7">
        <f t="shared" si="17"/>
        <v>0</v>
      </c>
      <c r="N128">
        <f t="shared" si="13"/>
        <v>0</v>
      </c>
    </row>
    <row r="129" spans="1:14" ht="15" customHeight="1" x14ac:dyDescent="0.25">
      <c r="A129" t="s">
        <v>36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f t="shared" si="14"/>
        <v>0</v>
      </c>
      <c r="K129" s="7">
        <f t="shared" si="15"/>
        <v>0</v>
      </c>
      <c r="L129" s="7">
        <f t="shared" si="16"/>
        <v>0</v>
      </c>
      <c r="M129" s="7">
        <f t="shared" si="17"/>
        <v>0</v>
      </c>
      <c r="N129">
        <f t="shared" si="13"/>
        <v>0</v>
      </c>
    </row>
    <row r="130" spans="1:14" ht="15" customHeight="1" x14ac:dyDescent="0.25">
      <c r="A130" t="s">
        <v>37</v>
      </c>
      <c r="B130" s="7">
        <v>0</v>
      </c>
      <c r="C130" s="7">
        <v>0</v>
      </c>
      <c r="D130" s="7">
        <v>1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f t="shared" si="14"/>
        <v>0</v>
      </c>
      <c r="K130" s="7">
        <f t="shared" si="15"/>
        <v>0</v>
      </c>
      <c r="L130" s="7">
        <f t="shared" si="16"/>
        <v>1</v>
      </c>
      <c r="M130" s="7">
        <f t="shared" si="17"/>
        <v>0</v>
      </c>
      <c r="N130">
        <f t="shared" si="13"/>
        <v>0</v>
      </c>
    </row>
    <row r="131" spans="1:14" ht="15" customHeight="1" x14ac:dyDescent="0.25">
      <c r="A131" t="s">
        <v>38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f t="shared" si="14"/>
        <v>0</v>
      </c>
      <c r="K131" s="7">
        <f t="shared" si="15"/>
        <v>0</v>
      </c>
      <c r="L131" s="7">
        <f t="shared" si="16"/>
        <v>0</v>
      </c>
      <c r="M131" s="7">
        <f t="shared" si="17"/>
        <v>0</v>
      </c>
      <c r="N131">
        <f t="shared" si="13"/>
        <v>0</v>
      </c>
    </row>
    <row r="132" spans="1:14" ht="15" customHeight="1" x14ac:dyDescent="0.25">
      <c r="A132" t="s">
        <v>39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f t="shared" si="14"/>
        <v>0</v>
      </c>
      <c r="K132" s="7">
        <f t="shared" si="15"/>
        <v>0</v>
      </c>
      <c r="L132" s="7">
        <f t="shared" si="16"/>
        <v>0</v>
      </c>
      <c r="M132" s="7">
        <f t="shared" si="17"/>
        <v>0</v>
      </c>
      <c r="N132">
        <f t="shared" si="13"/>
        <v>0</v>
      </c>
    </row>
    <row r="133" spans="1:14" ht="15" customHeight="1" x14ac:dyDescent="0.25">
      <c r="A133" t="s">
        <v>40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1</v>
      </c>
      <c r="J133" s="7">
        <f t="shared" si="14"/>
        <v>0</v>
      </c>
      <c r="K133" s="7">
        <f t="shared" si="15"/>
        <v>1</v>
      </c>
      <c r="L133" s="7">
        <f t="shared" si="16"/>
        <v>0</v>
      </c>
      <c r="M133" s="7">
        <f t="shared" si="17"/>
        <v>0</v>
      </c>
      <c r="N133">
        <f t="shared" si="13"/>
        <v>1</v>
      </c>
    </row>
    <row r="134" spans="1:14" ht="15" customHeight="1" x14ac:dyDescent="0.25">
      <c r="A134" t="s">
        <v>41</v>
      </c>
      <c r="B134" s="7">
        <v>0</v>
      </c>
      <c r="C134" s="7">
        <v>0</v>
      </c>
      <c r="D134" s="7">
        <v>1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f t="shared" si="14"/>
        <v>0</v>
      </c>
      <c r="K134" s="7">
        <f t="shared" si="15"/>
        <v>0</v>
      </c>
      <c r="L134" s="7">
        <f t="shared" si="16"/>
        <v>1</v>
      </c>
      <c r="M134" s="7">
        <f t="shared" si="17"/>
        <v>0</v>
      </c>
      <c r="N134">
        <f t="shared" si="13"/>
        <v>0</v>
      </c>
    </row>
    <row r="135" spans="1:14" ht="15" customHeight="1" x14ac:dyDescent="0.25">
      <c r="A135" t="s">
        <v>42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f t="shared" si="14"/>
        <v>0</v>
      </c>
      <c r="K135" s="7">
        <f t="shared" si="15"/>
        <v>0</v>
      </c>
      <c r="L135" s="7">
        <f t="shared" si="16"/>
        <v>0</v>
      </c>
      <c r="M135" s="7">
        <f t="shared" si="17"/>
        <v>0</v>
      </c>
      <c r="N135">
        <f t="shared" si="13"/>
        <v>0</v>
      </c>
    </row>
    <row r="136" spans="1:14" ht="15" customHeight="1" x14ac:dyDescent="0.25">
      <c r="A136" t="s">
        <v>43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1</v>
      </c>
      <c r="H136" s="7">
        <v>0</v>
      </c>
      <c r="I136" s="7">
        <v>0</v>
      </c>
      <c r="J136" s="7">
        <f t="shared" si="14"/>
        <v>0</v>
      </c>
      <c r="K136" s="7">
        <f t="shared" si="15"/>
        <v>0</v>
      </c>
      <c r="L136" s="7">
        <f t="shared" si="16"/>
        <v>0</v>
      </c>
      <c r="M136" s="7">
        <f t="shared" si="17"/>
        <v>0</v>
      </c>
      <c r="N136">
        <f t="shared" si="13"/>
        <v>0</v>
      </c>
    </row>
    <row r="137" spans="1:14" ht="15" customHeight="1" x14ac:dyDescent="0.25">
      <c r="A137" t="s">
        <v>44</v>
      </c>
      <c r="B137" s="7">
        <v>0</v>
      </c>
      <c r="C137" s="7">
        <v>0</v>
      </c>
      <c r="D137" s="7">
        <v>1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f t="shared" si="14"/>
        <v>1</v>
      </c>
      <c r="K137" s="7">
        <f t="shared" si="15"/>
        <v>0</v>
      </c>
      <c r="L137" s="7">
        <f t="shared" si="16"/>
        <v>1</v>
      </c>
      <c r="M137" s="7">
        <f t="shared" si="17"/>
        <v>0</v>
      </c>
      <c r="N137">
        <f t="shared" si="13"/>
        <v>0</v>
      </c>
    </row>
    <row r="138" spans="1:14" ht="15" customHeight="1" x14ac:dyDescent="0.25">
      <c r="A138" t="s">
        <v>45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f t="shared" ref="J138:J169" si="18">SUM(E137,G137)</f>
        <v>0</v>
      </c>
      <c r="K138" s="7">
        <f t="shared" ref="K138:K169" si="19">SUM(C138,I138)</f>
        <v>0</v>
      </c>
      <c r="L138" s="7">
        <f t="shared" ref="L138:L169" si="20">SUM(D138,F138)</f>
        <v>0</v>
      </c>
      <c r="M138" s="7">
        <f t="shared" ref="M138:M169" si="21">SUM(B138,H138)</f>
        <v>0</v>
      </c>
      <c r="N138">
        <f t="shared" si="13"/>
        <v>0</v>
      </c>
    </row>
    <row r="139" spans="1:14" ht="15" customHeight="1" x14ac:dyDescent="0.25">
      <c r="A139" t="s">
        <v>46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f t="shared" si="18"/>
        <v>0</v>
      </c>
      <c r="K139" s="7">
        <f t="shared" si="19"/>
        <v>0</v>
      </c>
      <c r="L139" s="7">
        <f t="shared" si="20"/>
        <v>0</v>
      </c>
      <c r="M139" s="7">
        <f t="shared" si="21"/>
        <v>0</v>
      </c>
      <c r="N139">
        <f t="shared" ref="N139:N202" si="22">K139+M139</f>
        <v>0</v>
      </c>
    </row>
    <row r="140" spans="1:14" ht="15" customHeight="1" x14ac:dyDescent="0.25">
      <c r="A140" t="s">
        <v>47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1</v>
      </c>
      <c r="H140" s="7">
        <v>0</v>
      </c>
      <c r="I140" s="7">
        <v>0</v>
      </c>
      <c r="J140" s="7">
        <f t="shared" si="18"/>
        <v>0</v>
      </c>
      <c r="K140" s="7">
        <f t="shared" si="19"/>
        <v>0</v>
      </c>
      <c r="L140" s="7">
        <f t="shared" si="20"/>
        <v>0</v>
      </c>
      <c r="M140" s="7">
        <f t="shared" si="21"/>
        <v>0</v>
      </c>
      <c r="N140">
        <f t="shared" si="22"/>
        <v>0</v>
      </c>
    </row>
    <row r="141" spans="1:14" ht="15" customHeight="1" x14ac:dyDescent="0.25">
      <c r="A141" t="s">
        <v>48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f t="shared" si="18"/>
        <v>1</v>
      </c>
      <c r="K141" s="7">
        <f t="shared" si="19"/>
        <v>0</v>
      </c>
      <c r="L141" s="7">
        <f t="shared" si="20"/>
        <v>0</v>
      </c>
      <c r="M141" s="7">
        <f t="shared" si="21"/>
        <v>0</v>
      </c>
      <c r="N141">
        <f t="shared" si="22"/>
        <v>0</v>
      </c>
    </row>
    <row r="142" spans="1:14" ht="15" customHeight="1" x14ac:dyDescent="0.25">
      <c r="A142" t="s">
        <v>49</v>
      </c>
      <c r="B142" s="7">
        <v>0</v>
      </c>
      <c r="C142" s="7">
        <v>0</v>
      </c>
      <c r="D142" s="7">
        <v>1</v>
      </c>
      <c r="E142" s="7">
        <v>1</v>
      </c>
      <c r="F142" s="7">
        <v>0</v>
      </c>
      <c r="G142" s="7">
        <v>0</v>
      </c>
      <c r="H142" s="7">
        <v>0</v>
      </c>
      <c r="I142" s="7">
        <v>0</v>
      </c>
      <c r="J142" s="7">
        <f t="shared" si="18"/>
        <v>0</v>
      </c>
      <c r="K142" s="7">
        <f t="shared" si="19"/>
        <v>0</v>
      </c>
      <c r="L142" s="7">
        <f t="shared" si="20"/>
        <v>1</v>
      </c>
      <c r="M142" s="7">
        <f t="shared" si="21"/>
        <v>0</v>
      </c>
      <c r="N142">
        <f t="shared" si="22"/>
        <v>0</v>
      </c>
    </row>
    <row r="143" spans="1:14" ht="15" customHeight="1" x14ac:dyDescent="0.25">
      <c r="A143" t="s">
        <v>50</v>
      </c>
      <c r="B143" s="7">
        <v>0</v>
      </c>
      <c r="C143" s="7">
        <v>0</v>
      </c>
      <c r="D143" s="7">
        <v>0</v>
      </c>
      <c r="E143" s="7">
        <v>0</v>
      </c>
      <c r="F143" s="7">
        <v>1</v>
      </c>
      <c r="G143" s="7">
        <v>0</v>
      </c>
      <c r="H143" s="7">
        <v>0</v>
      </c>
      <c r="I143" s="7">
        <v>0</v>
      </c>
      <c r="J143" s="7">
        <f t="shared" si="18"/>
        <v>1</v>
      </c>
      <c r="K143" s="7">
        <f t="shared" si="19"/>
        <v>0</v>
      </c>
      <c r="L143" s="7">
        <f t="shared" si="20"/>
        <v>1</v>
      </c>
      <c r="M143" s="7">
        <f t="shared" si="21"/>
        <v>0</v>
      </c>
      <c r="N143">
        <f t="shared" si="22"/>
        <v>0</v>
      </c>
    </row>
    <row r="144" spans="1:14" ht="15" customHeight="1" x14ac:dyDescent="0.25">
      <c r="A144" t="s">
        <v>51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1</v>
      </c>
      <c r="J144" s="7">
        <f t="shared" si="18"/>
        <v>0</v>
      </c>
      <c r="K144" s="7">
        <f t="shared" si="19"/>
        <v>1</v>
      </c>
      <c r="L144" s="7">
        <f t="shared" si="20"/>
        <v>0</v>
      </c>
      <c r="M144" s="7">
        <f t="shared" si="21"/>
        <v>0</v>
      </c>
      <c r="N144">
        <f t="shared" si="22"/>
        <v>1</v>
      </c>
    </row>
    <row r="145" spans="1:14" ht="15" customHeight="1" x14ac:dyDescent="0.25">
      <c r="A145" t="s">
        <v>52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1</v>
      </c>
      <c r="H145" s="7">
        <v>0</v>
      </c>
      <c r="I145" s="7">
        <v>0</v>
      </c>
      <c r="J145" s="7">
        <f t="shared" si="18"/>
        <v>0</v>
      </c>
      <c r="K145" s="7">
        <f t="shared" si="19"/>
        <v>0</v>
      </c>
      <c r="L145" s="7">
        <f t="shared" si="20"/>
        <v>0</v>
      </c>
      <c r="M145" s="7">
        <f t="shared" si="21"/>
        <v>0</v>
      </c>
      <c r="N145">
        <f t="shared" si="22"/>
        <v>0</v>
      </c>
    </row>
    <row r="146" spans="1:14" ht="15" customHeight="1" x14ac:dyDescent="0.25">
      <c r="A146" t="s">
        <v>53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f t="shared" si="18"/>
        <v>1</v>
      </c>
      <c r="K146" s="7">
        <f t="shared" si="19"/>
        <v>0</v>
      </c>
      <c r="L146" s="7">
        <f t="shared" si="20"/>
        <v>0</v>
      </c>
      <c r="M146" s="7">
        <f t="shared" si="21"/>
        <v>0</v>
      </c>
      <c r="N146">
        <f t="shared" si="22"/>
        <v>0</v>
      </c>
    </row>
    <row r="147" spans="1:14" ht="15" customHeight="1" x14ac:dyDescent="0.25">
      <c r="A147" t="s">
        <v>54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f t="shared" si="18"/>
        <v>0</v>
      </c>
      <c r="K147" s="7">
        <f t="shared" si="19"/>
        <v>0</v>
      </c>
      <c r="L147" s="7">
        <f t="shared" si="20"/>
        <v>0</v>
      </c>
      <c r="M147" s="7">
        <f t="shared" si="21"/>
        <v>0</v>
      </c>
      <c r="N147">
        <f t="shared" si="22"/>
        <v>0</v>
      </c>
    </row>
    <row r="148" spans="1:14" ht="15" customHeight="1" x14ac:dyDescent="0.25">
      <c r="A148" t="s">
        <v>55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f t="shared" si="18"/>
        <v>0</v>
      </c>
      <c r="K148" s="7">
        <f t="shared" si="19"/>
        <v>0</v>
      </c>
      <c r="L148" s="7">
        <f t="shared" si="20"/>
        <v>0</v>
      </c>
      <c r="M148" s="7">
        <f t="shared" si="21"/>
        <v>0</v>
      </c>
      <c r="N148">
        <f t="shared" si="22"/>
        <v>0</v>
      </c>
    </row>
    <row r="149" spans="1:14" ht="15" customHeight="1" x14ac:dyDescent="0.25">
      <c r="A149" t="s">
        <v>56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f t="shared" si="18"/>
        <v>0</v>
      </c>
      <c r="K149" s="7">
        <f t="shared" si="19"/>
        <v>0</v>
      </c>
      <c r="L149" s="7">
        <f t="shared" si="20"/>
        <v>0</v>
      </c>
      <c r="M149" s="7">
        <f t="shared" si="21"/>
        <v>0</v>
      </c>
      <c r="N149">
        <f t="shared" si="22"/>
        <v>0</v>
      </c>
    </row>
    <row r="150" spans="1:14" ht="15" customHeight="1" x14ac:dyDescent="0.25">
      <c r="A150" t="s">
        <v>57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f t="shared" si="18"/>
        <v>0</v>
      </c>
      <c r="K150" s="7">
        <f t="shared" si="19"/>
        <v>0</v>
      </c>
      <c r="L150" s="7">
        <f t="shared" si="20"/>
        <v>0</v>
      </c>
      <c r="M150" s="7">
        <f t="shared" si="21"/>
        <v>0</v>
      </c>
      <c r="N150">
        <f t="shared" si="22"/>
        <v>0</v>
      </c>
    </row>
    <row r="151" spans="1:14" ht="15" customHeight="1" x14ac:dyDescent="0.25">
      <c r="A151" t="s">
        <v>58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f t="shared" si="18"/>
        <v>0</v>
      </c>
      <c r="K151" s="7">
        <f t="shared" si="19"/>
        <v>0</v>
      </c>
      <c r="L151" s="7">
        <f t="shared" si="20"/>
        <v>0</v>
      </c>
      <c r="M151" s="7">
        <f t="shared" si="21"/>
        <v>0</v>
      </c>
      <c r="N151">
        <f t="shared" si="22"/>
        <v>0</v>
      </c>
    </row>
    <row r="152" spans="1:14" ht="15" customHeight="1" x14ac:dyDescent="0.25">
      <c r="A152" t="s">
        <v>59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f t="shared" si="18"/>
        <v>0</v>
      </c>
      <c r="K152" s="7">
        <f t="shared" si="19"/>
        <v>0</v>
      </c>
      <c r="L152" s="7">
        <f t="shared" si="20"/>
        <v>0</v>
      </c>
      <c r="M152" s="7">
        <f t="shared" si="21"/>
        <v>0</v>
      </c>
      <c r="N152">
        <f t="shared" si="22"/>
        <v>0</v>
      </c>
    </row>
    <row r="153" spans="1:14" ht="15" customHeight="1" x14ac:dyDescent="0.25">
      <c r="A153" t="s">
        <v>60</v>
      </c>
      <c r="B153" s="7">
        <v>0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2</v>
      </c>
      <c r="J153" s="7">
        <f t="shared" si="18"/>
        <v>0</v>
      </c>
      <c r="K153" s="7">
        <f t="shared" si="19"/>
        <v>2</v>
      </c>
      <c r="L153" s="7">
        <f t="shared" si="20"/>
        <v>0</v>
      </c>
      <c r="M153" s="7">
        <f t="shared" si="21"/>
        <v>0</v>
      </c>
      <c r="N153">
        <f t="shared" si="22"/>
        <v>2</v>
      </c>
    </row>
    <row r="154" spans="1:14" ht="15" customHeight="1" x14ac:dyDescent="0.25">
      <c r="A154" t="s">
        <v>61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1</v>
      </c>
      <c r="H154" s="7">
        <v>0</v>
      </c>
      <c r="I154" s="7">
        <v>2</v>
      </c>
      <c r="J154" s="7">
        <f t="shared" si="18"/>
        <v>0</v>
      </c>
      <c r="K154" s="7">
        <f t="shared" si="19"/>
        <v>2</v>
      </c>
      <c r="L154" s="7">
        <f t="shared" si="20"/>
        <v>0</v>
      </c>
      <c r="M154" s="7">
        <f t="shared" si="21"/>
        <v>0</v>
      </c>
      <c r="N154">
        <f t="shared" si="22"/>
        <v>2</v>
      </c>
    </row>
    <row r="155" spans="1:14" ht="15" customHeight="1" x14ac:dyDescent="0.25">
      <c r="A155" t="s">
        <v>62</v>
      </c>
      <c r="B155" s="7">
        <v>0</v>
      </c>
      <c r="C155" s="7">
        <v>0</v>
      </c>
      <c r="D155" s="7">
        <v>0</v>
      </c>
      <c r="E155" s="7">
        <v>0</v>
      </c>
      <c r="F155" s="7">
        <v>2</v>
      </c>
      <c r="G155" s="7">
        <v>0</v>
      </c>
      <c r="H155" s="7">
        <v>0</v>
      </c>
      <c r="I155" s="7">
        <v>0</v>
      </c>
      <c r="J155" s="7">
        <f t="shared" si="18"/>
        <v>1</v>
      </c>
      <c r="K155" s="7">
        <f t="shared" si="19"/>
        <v>0</v>
      </c>
      <c r="L155" s="7">
        <f t="shared" si="20"/>
        <v>2</v>
      </c>
      <c r="M155" s="7">
        <f t="shared" si="21"/>
        <v>0</v>
      </c>
      <c r="N155">
        <f t="shared" si="22"/>
        <v>0</v>
      </c>
    </row>
    <row r="156" spans="1:14" ht="15" customHeight="1" x14ac:dyDescent="0.25">
      <c r="A156" t="s">
        <v>63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f t="shared" si="18"/>
        <v>0</v>
      </c>
      <c r="K156" s="7">
        <f t="shared" si="19"/>
        <v>0</v>
      </c>
      <c r="L156" s="7">
        <f t="shared" si="20"/>
        <v>0</v>
      </c>
      <c r="M156" s="7">
        <f t="shared" si="21"/>
        <v>0</v>
      </c>
      <c r="N156">
        <f t="shared" si="22"/>
        <v>0</v>
      </c>
    </row>
    <row r="157" spans="1:14" ht="15" customHeight="1" x14ac:dyDescent="0.25">
      <c r="A157" t="s">
        <v>64</v>
      </c>
      <c r="B157" s="7">
        <v>0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f t="shared" si="18"/>
        <v>0</v>
      </c>
      <c r="K157" s="7">
        <f t="shared" si="19"/>
        <v>0</v>
      </c>
      <c r="L157" s="7">
        <f t="shared" si="20"/>
        <v>0</v>
      </c>
      <c r="M157" s="7">
        <f t="shared" si="21"/>
        <v>0</v>
      </c>
      <c r="N157">
        <f t="shared" si="22"/>
        <v>0</v>
      </c>
    </row>
    <row r="158" spans="1:14" ht="15" customHeight="1" x14ac:dyDescent="0.25">
      <c r="A158" t="s">
        <v>65</v>
      </c>
      <c r="B158" s="7">
        <v>0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1</v>
      </c>
      <c r="J158" s="7">
        <f t="shared" si="18"/>
        <v>0</v>
      </c>
      <c r="K158" s="7">
        <f t="shared" si="19"/>
        <v>1</v>
      </c>
      <c r="L158" s="7">
        <f t="shared" si="20"/>
        <v>0</v>
      </c>
      <c r="M158" s="7">
        <f t="shared" si="21"/>
        <v>0</v>
      </c>
      <c r="N158">
        <f t="shared" si="22"/>
        <v>1</v>
      </c>
    </row>
    <row r="159" spans="1:14" ht="15" customHeight="1" x14ac:dyDescent="0.25">
      <c r="A159" t="s">
        <v>66</v>
      </c>
      <c r="B159" s="7">
        <v>0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f t="shared" si="18"/>
        <v>0</v>
      </c>
      <c r="K159" s="7">
        <f t="shared" si="19"/>
        <v>0</v>
      </c>
      <c r="L159" s="7">
        <f t="shared" si="20"/>
        <v>0</v>
      </c>
      <c r="M159" s="7">
        <f t="shared" si="21"/>
        <v>0</v>
      </c>
      <c r="N159">
        <f t="shared" si="22"/>
        <v>0</v>
      </c>
    </row>
    <row r="160" spans="1:14" ht="15" customHeight="1" x14ac:dyDescent="0.25">
      <c r="A160" t="s">
        <v>67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f t="shared" si="18"/>
        <v>0</v>
      </c>
      <c r="K160" s="7">
        <f t="shared" si="19"/>
        <v>0</v>
      </c>
      <c r="L160" s="7">
        <f t="shared" si="20"/>
        <v>0</v>
      </c>
      <c r="M160" s="7">
        <f t="shared" si="21"/>
        <v>0</v>
      </c>
      <c r="N160">
        <f t="shared" si="22"/>
        <v>0</v>
      </c>
    </row>
    <row r="161" spans="1:14" ht="15" customHeight="1" x14ac:dyDescent="0.25">
      <c r="A161" t="s">
        <v>68</v>
      </c>
      <c r="B161" s="7">
        <v>0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f t="shared" si="18"/>
        <v>0</v>
      </c>
      <c r="K161" s="7">
        <f t="shared" si="19"/>
        <v>0</v>
      </c>
      <c r="L161" s="7">
        <f t="shared" si="20"/>
        <v>0</v>
      </c>
      <c r="M161" s="7">
        <f t="shared" si="21"/>
        <v>0</v>
      </c>
      <c r="N161">
        <f t="shared" si="22"/>
        <v>0</v>
      </c>
    </row>
    <row r="162" spans="1:14" ht="15" customHeight="1" x14ac:dyDescent="0.25">
      <c r="A162" t="s">
        <v>69</v>
      </c>
      <c r="B162" s="7">
        <v>0</v>
      </c>
      <c r="C162" s="7">
        <v>0</v>
      </c>
      <c r="D162" s="7">
        <v>0</v>
      </c>
      <c r="E162" s="7">
        <v>1</v>
      </c>
      <c r="F162" s="7">
        <v>0</v>
      </c>
      <c r="G162" s="7">
        <v>1</v>
      </c>
      <c r="H162" s="7">
        <v>0</v>
      </c>
      <c r="I162" s="7">
        <v>0</v>
      </c>
      <c r="J162" s="7">
        <f t="shared" si="18"/>
        <v>0</v>
      </c>
      <c r="K162" s="7">
        <f t="shared" si="19"/>
        <v>0</v>
      </c>
      <c r="L162" s="7">
        <f t="shared" si="20"/>
        <v>0</v>
      </c>
      <c r="M162" s="7">
        <f t="shared" si="21"/>
        <v>0</v>
      </c>
      <c r="N162">
        <f t="shared" si="22"/>
        <v>0</v>
      </c>
    </row>
    <row r="163" spans="1:14" ht="15" customHeight="1" x14ac:dyDescent="0.25">
      <c r="A163" t="s">
        <v>70</v>
      </c>
      <c r="B163" s="7">
        <v>0</v>
      </c>
      <c r="C163" s="7">
        <v>0</v>
      </c>
      <c r="D163" s="7">
        <v>0</v>
      </c>
      <c r="E163" s="7">
        <v>0</v>
      </c>
      <c r="F163" s="7">
        <v>1</v>
      </c>
      <c r="G163" s="7">
        <v>1</v>
      </c>
      <c r="H163" s="7">
        <v>0</v>
      </c>
      <c r="I163" s="7">
        <v>0</v>
      </c>
      <c r="J163" s="7">
        <f t="shared" si="18"/>
        <v>2</v>
      </c>
      <c r="K163" s="7">
        <f t="shared" si="19"/>
        <v>0</v>
      </c>
      <c r="L163" s="7">
        <f t="shared" si="20"/>
        <v>1</v>
      </c>
      <c r="M163" s="7">
        <f t="shared" si="21"/>
        <v>0</v>
      </c>
      <c r="N163">
        <f t="shared" si="22"/>
        <v>0</v>
      </c>
    </row>
    <row r="164" spans="1:14" ht="15" customHeight="1" x14ac:dyDescent="0.25">
      <c r="A164" t="s">
        <v>71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f t="shared" si="18"/>
        <v>1</v>
      </c>
      <c r="K164" s="7">
        <f t="shared" si="19"/>
        <v>0</v>
      </c>
      <c r="L164" s="7">
        <f t="shared" si="20"/>
        <v>0</v>
      </c>
      <c r="M164" s="7">
        <f t="shared" si="21"/>
        <v>0</v>
      </c>
      <c r="N164">
        <f t="shared" si="22"/>
        <v>0</v>
      </c>
    </row>
    <row r="165" spans="1:14" ht="15" customHeight="1" x14ac:dyDescent="0.25">
      <c r="A165" t="s">
        <v>72</v>
      </c>
      <c r="B165" s="7">
        <v>0</v>
      </c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f t="shared" si="18"/>
        <v>0</v>
      </c>
      <c r="K165" s="7">
        <f t="shared" si="19"/>
        <v>0</v>
      </c>
      <c r="L165" s="7">
        <f t="shared" si="20"/>
        <v>0</v>
      </c>
      <c r="M165" s="7">
        <f t="shared" si="21"/>
        <v>0</v>
      </c>
      <c r="N165">
        <f t="shared" si="22"/>
        <v>0</v>
      </c>
    </row>
    <row r="166" spans="1:14" ht="15" customHeight="1" x14ac:dyDescent="0.25">
      <c r="A166" t="s">
        <v>73</v>
      </c>
      <c r="B166" s="7">
        <v>0</v>
      </c>
      <c r="C166" s="7">
        <v>0</v>
      </c>
      <c r="D166" s="7">
        <v>1</v>
      </c>
      <c r="E166" s="7">
        <v>0</v>
      </c>
      <c r="F166" s="7">
        <v>0</v>
      </c>
      <c r="G166" s="7">
        <v>0</v>
      </c>
      <c r="H166" s="7">
        <v>0</v>
      </c>
      <c r="I166" s="7">
        <v>1</v>
      </c>
      <c r="J166" s="7">
        <f t="shared" si="18"/>
        <v>0</v>
      </c>
      <c r="K166" s="7">
        <f t="shared" si="19"/>
        <v>1</v>
      </c>
      <c r="L166" s="7">
        <f t="shared" si="20"/>
        <v>1</v>
      </c>
      <c r="M166" s="7">
        <f t="shared" si="21"/>
        <v>0</v>
      </c>
      <c r="N166">
        <f t="shared" si="22"/>
        <v>1</v>
      </c>
    </row>
    <row r="167" spans="1:14" ht="15" customHeight="1" x14ac:dyDescent="0.25">
      <c r="A167" t="s">
        <v>74</v>
      </c>
      <c r="B167" s="7">
        <v>0</v>
      </c>
      <c r="C167" s="7">
        <v>0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f t="shared" si="18"/>
        <v>0</v>
      </c>
      <c r="K167" s="7">
        <f t="shared" si="19"/>
        <v>0</v>
      </c>
      <c r="L167" s="7">
        <f t="shared" si="20"/>
        <v>0</v>
      </c>
      <c r="M167" s="7">
        <f t="shared" si="21"/>
        <v>0</v>
      </c>
      <c r="N167">
        <f t="shared" si="22"/>
        <v>0</v>
      </c>
    </row>
    <row r="168" spans="1:14" ht="15" customHeight="1" x14ac:dyDescent="0.25">
      <c r="A168" t="s">
        <v>75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f t="shared" si="18"/>
        <v>0</v>
      </c>
      <c r="K168" s="7">
        <f t="shared" si="19"/>
        <v>0</v>
      </c>
      <c r="L168" s="7">
        <f t="shared" si="20"/>
        <v>0</v>
      </c>
      <c r="M168" s="7">
        <f t="shared" si="21"/>
        <v>0</v>
      </c>
      <c r="N168">
        <f t="shared" si="22"/>
        <v>0</v>
      </c>
    </row>
    <row r="169" spans="1:14" ht="15" customHeight="1" x14ac:dyDescent="0.25">
      <c r="A169" t="s">
        <v>76</v>
      </c>
      <c r="B169" s="7">
        <v>0</v>
      </c>
      <c r="C169" s="7">
        <v>0</v>
      </c>
      <c r="D169" s="7">
        <v>0</v>
      </c>
      <c r="E169" s="7">
        <v>0</v>
      </c>
      <c r="F169" s="7">
        <v>1</v>
      </c>
      <c r="G169" s="7">
        <v>0</v>
      </c>
      <c r="H169" s="7">
        <v>0</v>
      </c>
      <c r="I169" s="7">
        <v>0</v>
      </c>
      <c r="J169" s="7">
        <f t="shared" si="18"/>
        <v>0</v>
      </c>
      <c r="K169" s="7">
        <f t="shared" si="19"/>
        <v>0</v>
      </c>
      <c r="L169" s="7">
        <f t="shared" si="20"/>
        <v>1</v>
      </c>
      <c r="M169" s="7">
        <f t="shared" si="21"/>
        <v>0</v>
      </c>
      <c r="N169">
        <f t="shared" si="22"/>
        <v>0</v>
      </c>
    </row>
    <row r="170" spans="1:14" ht="15" customHeight="1" x14ac:dyDescent="0.25">
      <c r="A170" t="s">
        <v>77</v>
      </c>
      <c r="B170" s="7">
        <v>0</v>
      </c>
      <c r="C170" s="7">
        <v>0</v>
      </c>
      <c r="D170" s="7">
        <v>1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f t="shared" ref="J170:J201" si="23">SUM(E169,G169)</f>
        <v>0</v>
      </c>
      <c r="K170" s="7">
        <f t="shared" ref="K170:K201" si="24">SUM(C170,I170)</f>
        <v>0</v>
      </c>
      <c r="L170" s="7">
        <f t="shared" ref="L170:L201" si="25">SUM(D170,F170)</f>
        <v>1</v>
      </c>
      <c r="M170" s="7">
        <f t="shared" ref="M170:M201" si="26">SUM(B170,H170)</f>
        <v>0</v>
      </c>
      <c r="N170">
        <f t="shared" si="22"/>
        <v>0</v>
      </c>
    </row>
    <row r="171" spans="1:14" ht="15" customHeight="1" x14ac:dyDescent="0.25">
      <c r="A171" t="s">
        <v>78</v>
      </c>
      <c r="B171" s="7">
        <v>0</v>
      </c>
      <c r="C171" s="7">
        <v>0</v>
      </c>
      <c r="D171" s="7">
        <v>1</v>
      </c>
      <c r="E171" s="7">
        <v>0</v>
      </c>
      <c r="F171" s="7">
        <v>0</v>
      </c>
      <c r="G171" s="7">
        <v>1</v>
      </c>
      <c r="H171" s="7">
        <v>0</v>
      </c>
      <c r="I171" s="7">
        <v>1</v>
      </c>
      <c r="J171" s="7">
        <f t="shared" si="23"/>
        <v>0</v>
      </c>
      <c r="K171" s="7">
        <f t="shared" si="24"/>
        <v>1</v>
      </c>
      <c r="L171" s="7">
        <f t="shared" si="25"/>
        <v>1</v>
      </c>
      <c r="M171" s="7">
        <f t="shared" si="26"/>
        <v>0</v>
      </c>
      <c r="N171">
        <f t="shared" si="22"/>
        <v>1</v>
      </c>
    </row>
    <row r="172" spans="1:14" ht="15" customHeight="1" x14ac:dyDescent="0.25">
      <c r="A172" t="s">
        <v>79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f t="shared" si="23"/>
        <v>1</v>
      </c>
      <c r="K172" s="7">
        <f t="shared" si="24"/>
        <v>0</v>
      </c>
      <c r="L172" s="7">
        <f t="shared" si="25"/>
        <v>0</v>
      </c>
      <c r="M172" s="7">
        <f t="shared" si="26"/>
        <v>0</v>
      </c>
      <c r="N172">
        <f t="shared" si="22"/>
        <v>0</v>
      </c>
    </row>
    <row r="173" spans="1:14" ht="15" customHeight="1" x14ac:dyDescent="0.25">
      <c r="A173" t="s">
        <v>80</v>
      </c>
      <c r="B173" s="7">
        <v>0</v>
      </c>
      <c r="C173" s="7">
        <v>0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f t="shared" si="23"/>
        <v>0</v>
      </c>
      <c r="K173" s="7">
        <f t="shared" si="24"/>
        <v>0</v>
      </c>
      <c r="L173" s="7">
        <f t="shared" si="25"/>
        <v>0</v>
      </c>
      <c r="M173" s="7">
        <f t="shared" si="26"/>
        <v>0</v>
      </c>
      <c r="N173">
        <f t="shared" si="22"/>
        <v>0</v>
      </c>
    </row>
    <row r="174" spans="1:14" ht="15" customHeight="1" x14ac:dyDescent="0.25">
      <c r="A174" t="s">
        <v>81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f t="shared" si="23"/>
        <v>0</v>
      </c>
      <c r="K174" s="7">
        <f t="shared" si="24"/>
        <v>0</v>
      </c>
      <c r="L174" s="7">
        <f t="shared" si="25"/>
        <v>0</v>
      </c>
      <c r="M174" s="7">
        <f t="shared" si="26"/>
        <v>0</v>
      </c>
      <c r="N174">
        <f t="shared" si="22"/>
        <v>0</v>
      </c>
    </row>
    <row r="175" spans="1:14" ht="15" customHeight="1" x14ac:dyDescent="0.25">
      <c r="A175" t="s">
        <v>82</v>
      </c>
      <c r="B175" s="7">
        <v>0</v>
      </c>
      <c r="C175" s="7">
        <v>0</v>
      </c>
      <c r="D175" s="7">
        <v>0</v>
      </c>
      <c r="E175" s="7">
        <v>1</v>
      </c>
      <c r="F175" s="7">
        <v>0</v>
      </c>
      <c r="G175" s="7">
        <v>0</v>
      </c>
      <c r="H175" s="7">
        <v>0</v>
      </c>
      <c r="I175" s="7">
        <v>1</v>
      </c>
      <c r="J175" s="7">
        <f t="shared" si="23"/>
        <v>0</v>
      </c>
      <c r="K175" s="7">
        <f t="shared" si="24"/>
        <v>1</v>
      </c>
      <c r="L175" s="7">
        <f t="shared" si="25"/>
        <v>0</v>
      </c>
      <c r="M175" s="7">
        <f t="shared" si="26"/>
        <v>0</v>
      </c>
      <c r="N175">
        <f t="shared" si="22"/>
        <v>1</v>
      </c>
    </row>
    <row r="176" spans="1:14" ht="15" customHeight="1" x14ac:dyDescent="0.25">
      <c r="A176" t="s">
        <v>83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f t="shared" si="23"/>
        <v>1</v>
      </c>
      <c r="K176" s="7">
        <f t="shared" si="24"/>
        <v>0</v>
      </c>
      <c r="L176" s="7">
        <f t="shared" si="25"/>
        <v>0</v>
      </c>
      <c r="M176" s="7">
        <f t="shared" si="26"/>
        <v>0</v>
      </c>
      <c r="N176">
        <f t="shared" si="22"/>
        <v>0</v>
      </c>
    </row>
    <row r="177" spans="1:14" ht="15" customHeight="1" x14ac:dyDescent="0.25">
      <c r="A177" t="s">
        <v>84</v>
      </c>
      <c r="B177" s="7">
        <v>0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f t="shared" si="23"/>
        <v>0</v>
      </c>
      <c r="K177" s="7">
        <f t="shared" si="24"/>
        <v>0</v>
      </c>
      <c r="L177" s="7">
        <f t="shared" si="25"/>
        <v>0</v>
      </c>
      <c r="M177" s="7">
        <f t="shared" si="26"/>
        <v>0</v>
      </c>
      <c r="N177">
        <f t="shared" si="22"/>
        <v>0</v>
      </c>
    </row>
    <row r="178" spans="1:14" ht="15" customHeight="1" x14ac:dyDescent="0.25">
      <c r="A178" t="s">
        <v>85</v>
      </c>
      <c r="B178" s="7">
        <v>0</v>
      </c>
      <c r="C178" s="7">
        <v>0</v>
      </c>
      <c r="D178" s="7">
        <v>0</v>
      </c>
      <c r="E178" s="7">
        <v>0</v>
      </c>
      <c r="F178" s="7">
        <v>1</v>
      </c>
      <c r="G178" s="7">
        <v>0</v>
      </c>
      <c r="H178" s="7">
        <v>0</v>
      </c>
      <c r="I178" s="7">
        <v>0</v>
      </c>
      <c r="J178" s="7">
        <f t="shared" si="23"/>
        <v>0</v>
      </c>
      <c r="K178" s="7">
        <f t="shared" si="24"/>
        <v>0</v>
      </c>
      <c r="L178" s="7">
        <f t="shared" si="25"/>
        <v>1</v>
      </c>
      <c r="M178" s="7">
        <f t="shared" si="26"/>
        <v>0</v>
      </c>
      <c r="N178">
        <f t="shared" si="22"/>
        <v>0</v>
      </c>
    </row>
    <row r="179" spans="1:14" ht="15" customHeight="1" x14ac:dyDescent="0.25">
      <c r="A179" t="s">
        <v>86</v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f t="shared" si="23"/>
        <v>0</v>
      </c>
      <c r="K179" s="7">
        <f t="shared" si="24"/>
        <v>0</v>
      </c>
      <c r="L179" s="7">
        <f t="shared" si="25"/>
        <v>0</v>
      </c>
      <c r="M179" s="7">
        <f t="shared" si="26"/>
        <v>0</v>
      </c>
      <c r="N179">
        <f t="shared" si="22"/>
        <v>0</v>
      </c>
    </row>
    <row r="180" spans="1:14" ht="15" customHeight="1" x14ac:dyDescent="0.25">
      <c r="A180" t="s">
        <v>87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f t="shared" si="23"/>
        <v>0</v>
      </c>
      <c r="K180" s="7">
        <f t="shared" si="24"/>
        <v>0</v>
      </c>
      <c r="L180" s="7">
        <f t="shared" si="25"/>
        <v>0</v>
      </c>
      <c r="M180" s="7">
        <f t="shared" si="26"/>
        <v>0</v>
      </c>
      <c r="N180">
        <f t="shared" si="22"/>
        <v>0</v>
      </c>
    </row>
    <row r="181" spans="1:14" ht="15" customHeight="1" x14ac:dyDescent="0.25">
      <c r="A181" t="s">
        <v>88</v>
      </c>
      <c r="B181" s="7">
        <v>0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f t="shared" si="23"/>
        <v>0</v>
      </c>
      <c r="K181" s="7">
        <f t="shared" si="24"/>
        <v>0</v>
      </c>
      <c r="L181" s="7">
        <f t="shared" si="25"/>
        <v>0</v>
      </c>
      <c r="M181" s="7">
        <f t="shared" si="26"/>
        <v>0</v>
      </c>
      <c r="N181">
        <f t="shared" si="22"/>
        <v>0</v>
      </c>
    </row>
    <row r="182" spans="1:14" ht="15" customHeight="1" x14ac:dyDescent="0.25">
      <c r="A182" t="s">
        <v>89</v>
      </c>
      <c r="B182" s="7">
        <v>0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f t="shared" si="23"/>
        <v>0</v>
      </c>
      <c r="K182" s="7">
        <f t="shared" si="24"/>
        <v>0</v>
      </c>
      <c r="L182" s="7">
        <f t="shared" si="25"/>
        <v>0</v>
      </c>
      <c r="M182" s="7">
        <f t="shared" si="26"/>
        <v>0</v>
      </c>
      <c r="N182">
        <f t="shared" si="22"/>
        <v>0</v>
      </c>
    </row>
    <row r="183" spans="1:14" ht="15" customHeight="1" x14ac:dyDescent="0.25">
      <c r="A183" t="s">
        <v>90</v>
      </c>
      <c r="B183" s="7">
        <v>0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f t="shared" si="23"/>
        <v>0</v>
      </c>
      <c r="K183" s="7">
        <f t="shared" si="24"/>
        <v>0</v>
      </c>
      <c r="L183" s="7">
        <f t="shared" si="25"/>
        <v>0</v>
      </c>
      <c r="M183" s="7">
        <f t="shared" si="26"/>
        <v>0</v>
      </c>
      <c r="N183">
        <f t="shared" si="22"/>
        <v>0</v>
      </c>
    </row>
    <row r="184" spans="1:14" ht="15" customHeight="1" x14ac:dyDescent="0.25">
      <c r="A184" t="s">
        <v>91</v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f t="shared" si="23"/>
        <v>0</v>
      </c>
      <c r="K184" s="7">
        <f t="shared" si="24"/>
        <v>0</v>
      </c>
      <c r="L184" s="7">
        <f t="shared" si="25"/>
        <v>0</v>
      </c>
      <c r="M184" s="7">
        <f t="shared" si="26"/>
        <v>0</v>
      </c>
      <c r="N184">
        <f t="shared" si="22"/>
        <v>0</v>
      </c>
    </row>
    <row r="185" spans="1:14" ht="15" customHeight="1" x14ac:dyDescent="0.25">
      <c r="A185" t="s">
        <v>92</v>
      </c>
      <c r="B185" s="7">
        <v>0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f t="shared" si="23"/>
        <v>0</v>
      </c>
      <c r="K185" s="7">
        <f t="shared" si="24"/>
        <v>0</v>
      </c>
      <c r="L185" s="7">
        <f t="shared" si="25"/>
        <v>0</v>
      </c>
      <c r="M185" s="7">
        <f t="shared" si="26"/>
        <v>0</v>
      </c>
      <c r="N185">
        <f t="shared" si="22"/>
        <v>0</v>
      </c>
    </row>
    <row r="186" spans="1:14" ht="15" customHeight="1" x14ac:dyDescent="0.25">
      <c r="A186" t="s">
        <v>93</v>
      </c>
      <c r="B186" s="7">
        <v>0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f t="shared" si="23"/>
        <v>0</v>
      </c>
      <c r="K186" s="7">
        <f t="shared" si="24"/>
        <v>0</v>
      </c>
      <c r="L186" s="7">
        <f t="shared" si="25"/>
        <v>0</v>
      </c>
      <c r="M186" s="7">
        <f t="shared" si="26"/>
        <v>0</v>
      </c>
      <c r="N186">
        <f t="shared" si="22"/>
        <v>0</v>
      </c>
    </row>
    <row r="187" spans="1:14" ht="15" customHeight="1" x14ac:dyDescent="0.25">
      <c r="A187" t="s">
        <v>94</v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1</v>
      </c>
      <c r="H187" s="7">
        <v>0</v>
      </c>
      <c r="I187" s="7">
        <v>0</v>
      </c>
      <c r="J187" s="7">
        <f t="shared" si="23"/>
        <v>0</v>
      </c>
      <c r="K187" s="7">
        <f t="shared" si="24"/>
        <v>0</v>
      </c>
      <c r="L187" s="7">
        <f t="shared" si="25"/>
        <v>0</v>
      </c>
      <c r="M187" s="7">
        <f t="shared" si="26"/>
        <v>0</v>
      </c>
      <c r="N187">
        <f t="shared" si="22"/>
        <v>0</v>
      </c>
    </row>
    <row r="188" spans="1:14" ht="15" customHeight="1" x14ac:dyDescent="0.25">
      <c r="A188" t="s">
        <v>95</v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f t="shared" si="23"/>
        <v>1</v>
      </c>
      <c r="K188" s="7">
        <f t="shared" si="24"/>
        <v>0</v>
      </c>
      <c r="L188" s="7">
        <f t="shared" si="25"/>
        <v>0</v>
      </c>
      <c r="M188" s="7">
        <f t="shared" si="26"/>
        <v>0</v>
      </c>
      <c r="N188">
        <f t="shared" si="22"/>
        <v>0</v>
      </c>
    </row>
    <row r="189" spans="1:14" ht="15" customHeight="1" x14ac:dyDescent="0.25">
      <c r="A189" t="s">
        <v>96</v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f t="shared" si="23"/>
        <v>0</v>
      </c>
      <c r="K189" s="7">
        <f t="shared" si="24"/>
        <v>0</v>
      </c>
      <c r="L189" s="7">
        <f t="shared" si="25"/>
        <v>0</v>
      </c>
      <c r="M189" s="7">
        <f t="shared" si="26"/>
        <v>0</v>
      </c>
      <c r="N189">
        <f t="shared" si="22"/>
        <v>0</v>
      </c>
    </row>
    <row r="190" spans="1:14" ht="15" customHeight="1" x14ac:dyDescent="0.25">
      <c r="A190" t="s">
        <v>97</v>
      </c>
      <c r="B190" s="7">
        <v>0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f t="shared" si="23"/>
        <v>0</v>
      </c>
      <c r="K190" s="7">
        <f t="shared" si="24"/>
        <v>0</v>
      </c>
      <c r="L190" s="7">
        <f t="shared" si="25"/>
        <v>0</v>
      </c>
      <c r="M190" s="7">
        <f t="shared" si="26"/>
        <v>0</v>
      </c>
      <c r="N190">
        <f t="shared" si="22"/>
        <v>0</v>
      </c>
    </row>
    <row r="191" spans="1:14" ht="15" customHeight="1" x14ac:dyDescent="0.25">
      <c r="A191" t="s">
        <v>98</v>
      </c>
      <c r="B191" s="7">
        <v>0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f t="shared" si="23"/>
        <v>0</v>
      </c>
      <c r="K191" s="7">
        <f t="shared" si="24"/>
        <v>0</v>
      </c>
      <c r="L191" s="7">
        <f t="shared" si="25"/>
        <v>0</v>
      </c>
      <c r="M191" s="7">
        <f t="shared" si="26"/>
        <v>0</v>
      </c>
      <c r="N191">
        <f t="shared" si="22"/>
        <v>0</v>
      </c>
    </row>
    <row r="192" spans="1:14" ht="15" customHeight="1" x14ac:dyDescent="0.25">
      <c r="A192" t="s">
        <v>99</v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f t="shared" si="23"/>
        <v>0</v>
      </c>
      <c r="K192" s="7">
        <f t="shared" si="24"/>
        <v>0</v>
      </c>
      <c r="L192" s="7">
        <f t="shared" si="25"/>
        <v>0</v>
      </c>
      <c r="M192" s="7">
        <f t="shared" si="26"/>
        <v>0</v>
      </c>
      <c r="N192">
        <f t="shared" si="22"/>
        <v>0</v>
      </c>
    </row>
    <row r="193" spans="1:14" ht="15" customHeight="1" x14ac:dyDescent="0.25">
      <c r="A193" t="s">
        <v>100</v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f t="shared" si="23"/>
        <v>0</v>
      </c>
      <c r="K193" s="7">
        <f t="shared" si="24"/>
        <v>0</v>
      </c>
      <c r="L193" s="7">
        <f t="shared" si="25"/>
        <v>0</v>
      </c>
      <c r="M193" s="7">
        <f t="shared" si="26"/>
        <v>0</v>
      </c>
      <c r="N193">
        <f t="shared" si="22"/>
        <v>0</v>
      </c>
    </row>
    <row r="194" spans="1:14" ht="15" customHeight="1" x14ac:dyDescent="0.25">
      <c r="A194" t="s">
        <v>101</v>
      </c>
      <c r="B194" s="7">
        <v>0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f t="shared" si="23"/>
        <v>0</v>
      </c>
      <c r="K194" s="7">
        <f t="shared" si="24"/>
        <v>0</v>
      </c>
      <c r="L194" s="7">
        <f t="shared" si="25"/>
        <v>0</v>
      </c>
      <c r="M194" s="7">
        <f t="shared" si="26"/>
        <v>0</v>
      </c>
      <c r="N194">
        <f t="shared" si="22"/>
        <v>0</v>
      </c>
    </row>
    <row r="195" spans="1:14" ht="15" customHeight="1" x14ac:dyDescent="0.25">
      <c r="A195" t="s">
        <v>102</v>
      </c>
      <c r="B195" s="7">
        <v>0</v>
      </c>
      <c r="C195" s="7">
        <v>0</v>
      </c>
      <c r="D195" s="7">
        <v>0</v>
      </c>
      <c r="E195" s="7">
        <v>0</v>
      </c>
      <c r="F195" s="7">
        <v>1</v>
      </c>
      <c r="G195" s="7">
        <v>0</v>
      </c>
      <c r="H195" s="7">
        <v>0</v>
      </c>
      <c r="I195" s="7">
        <v>0</v>
      </c>
      <c r="J195" s="7">
        <f t="shared" si="23"/>
        <v>0</v>
      </c>
      <c r="K195" s="7">
        <f t="shared" si="24"/>
        <v>0</v>
      </c>
      <c r="L195" s="7">
        <f t="shared" si="25"/>
        <v>1</v>
      </c>
      <c r="M195" s="7">
        <f t="shared" si="26"/>
        <v>0</v>
      </c>
      <c r="N195">
        <f t="shared" si="22"/>
        <v>0</v>
      </c>
    </row>
    <row r="196" spans="1:14" ht="15" customHeight="1" x14ac:dyDescent="0.25">
      <c r="A196" t="s">
        <v>103</v>
      </c>
      <c r="B196" s="7">
        <v>0</v>
      </c>
      <c r="C196" s="7">
        <v>0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f t="shared" si="23"/>
        <v>0</v>
      </c>
      <c r="K196" s="7">
        <f t="shared" si="24"/>
        <v>0</v>
      </c>
      <c r="L196" s="7">
        <f t="shared" si="25"/>
        <v>0</v>
      </c>
      <c r="M196" s="7">
        <f t="shared" si="26"/>
        <v>0</v>
      </c>
      <c r="N196">
        <f t="shared" si="22"/>
        <v>0</v>
      </c>
    </row>
    <row r="197" spans="1:14" ht="15" customHeight="1" x14ac:dyDescent="0.25">
      <c r="A197" t="s">
        <v>104</v>
      </c>
      <c r="B197" s="7">
        <v>0</v>
      </c>
      <c r="C197" s="7">
        <v>0</v>
      </c>
      <c r="D197" s="7">
        <v>0</v>
      </c>
      <c r="E197" s="7">
        <v>0</v>
      </c>
      <c r="F197" s="7">
        <v>1</v>
      </c>
      <c r="G197" s="7">
        <v>0</v>
      </c>
      <c r="H197" s="7">
        <v>0</v>
      </c>
      <c r="I197" s="7">
        <v>0</v>
      </c>
      <c r="J197" s="7">
        <f t="shared" si="23"/>
        <v>0</v>
      </c>
      <c r="K197" s="7">
        <f t="shared" si="24"/>
        <v>0</v>
      </c>
      <c r="L197" s="7">
        <f t="shared" si="25"/>
        <v>1</v>
      </c>
      <c r="M197" s="7">
        <f t="shared" si="26"/>
        <v>0</v>
      </c>
      <c r="N197">
        <f t="shared" si="22"/>
        <v>0</v>
      </c>
    </row>
    <row r="198" spans="1:14" ht="15" customHeight="1" x14ac:dyDescent="0.25">
      <c r="A198" t="s">
        <v>105</v>
      </c>
      <c r="B198" s="7">
        <v>0</v>
      </c>
      <c r="C198" s="7">
        <v>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f t="shared" si="23"/>
        <v>0</v>
      </c>
      <c r="K198" s="7">
        <f t="shared" si="24"/>
        <v>0</v>
      </c>
      <c r="L198" s="7">
        <f t="shared" si="25"/>
        <v>0</v>
      </c>
      <c r="M198" s="7">
        <f t="shared" si="26"/>
        <v>0</v>
      </c>
      <c r="N198">
        <f t="shared" si="22"/>
        <v>0</v>
      </c>
    </row>
    <row r="199" spans="1:14" ht="15" customHeight="1" x14ac:dyDescent="0.25">
      <c r="A199" t="s">
        <v>106</v>
      </c>
      <c r="B199" s="7">
        <v>0</v>
      </c>
      <c r="C199" s="7">
        <v>0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f t="shared" si="23"/>
        <v>0</v>
      </c>
      <c r="K199" s="7">
        <f t="shared" si="24"/>
        <v>0</v>
      </c>
      <c r="L199" s="7">
        <f t="shared" si="25"/>
        <v>0</v>
      </c>
      <c r="M199" s="7">
        <f t="shared" si="26"/>
        <v>0</v>
      </c>
      <c r="N199">
        <f t="shared" si="22"/>
        <v>0</v>
      </c>
    </row>
    <row r="200" spans="1:14" ht="15" customHeight="1" x14ac:dyDescent="0.25">
      <c r="A200" t="s">
        <v>107</v>
      </c>
      <c r="B200" s="7">
        <v>0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f t="shared" si="23"/>
        <v>0</v>
      </c>
      <c r="K200" s="7">
        <f t="shared" si="24"/>
        <v>0</v>
      </c>
      <c r="L200" s="7">
        <f t="shared" si="25"/>
        <v>0</v>
      </c>
      <c r="M200" s="7">
        <f t="shared" si="26"/>
        <v>0</v>
      </c>
      <c r="N200">
        <f t="shared" si="22"/>
        <v>0</v>
      </c>
    </row>
    <row r="201" spans="1:14" ht="15" customHeight="1" x14ac:dyDescent="0.25">
      <c r="A201" t="s">
        <v>108</v>
      </c>
      <c r="B201" s="7">
        <v>0</v>
      </c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f t="shared" si="23"/>
        <v>0</v>
      </c>
      <c r="K201" s="7">
        <f t="shared" si="24"/>
        <v>0</v>
      </c>
      <c r="L201" s="7">
        <f t="shared" si="25"/>
        <v>0</v>
      </c>
      <c r="M201" s="7">
        <f t="shared" si="26"/>
        <v>0</v>
      </c>
      <c r="N201">
        <f t="shared" si="22"/>
        <v>0</v>
      </c>
    </row>
    <row r="202" spans="1:14" ht="15" customHeight="1" x14ac:dyDescent="0.25">
      <c r="B202" s="7">
        <f t="shared" ref="B202:M202" si="27">SUM(B10:B201)</f>
        <v>0</v>
      </c>
      <c r="C202" s="7">
        <f t="shared" si="27"/>
        <v>4</v>
      </c>
      <c r="D202" s="7">
        <f t="shared" si="27"/>
        <v>16</v>
      </c>
      <c r="E202" s="7">
        <f t="shared" si="27"/>
        <v>5</v>
      </c>
      <c r="F202" s="7">
        <f t="shared" si="27"/>
        <v>17</v>
      </c>
      <c r="G202" s="7">
        <f t="shared" si="27"/>
        <v>19</v>
      </c>
      <c r="H202" s="7">
        <f t="shared" si="27"/>
        <v>0</v>
      </c>
      <c r="I202" s="7">
        <f t="shared" si="27"/>
        <v>18</v>
      </c>
      <c r="J202" s="8">
        <f t="shared" si="27"/>
        <v>24</v>
      </c>
      <c r="K202" s="8">
        <f t="shared" si="27"/>
        <v>22</v>
      </c>
      <c r="L202" s="8">
        <f t="shared" si="27"/>
        <v>33</v>
      </c>
      <c r="M202" s="8">
        <f t="shared" si="27"/>
        <v>0</v>
      </c>
      <c r="N202">
        <f t="shared" si="22"/>
        <v>22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Pedestrians</vt:lpstr>
      <vt:lpstr>Bicycles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 Orange NB</dc:title>
  <dc:creator/>
  <cp:lastModifiedBy>Mighk Wilson</cp:lastModifiedBy>
  <dcterms:created xsi:type="dcterms:W3CDTF">2019-07-08T00:00:00Z</dcterms:created>
  <dcterms:modified xsi:type="dcterms:W3CDTF">2023-10-09T20:27:12Z</dcterms:modified>
</cp:coreProperties>
</file>