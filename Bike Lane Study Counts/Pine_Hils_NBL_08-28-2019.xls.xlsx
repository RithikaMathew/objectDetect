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lanning Department\Bike &amp; Ped\Bicycle &amp; Pedestrian Counts\MioVision\Bike Lane Study Counts\"/>
    </mc:Choice>
  </mc:AlternateContent>
  <xr:revisionPtr revIDLastSave="0" documentId="13_ncr:1_{EEA4084A-1AAF-48E3-B11B-B166CFEEAE81}" xr6:coauthVersionLast="47" xr6:coauthVersionMax="47" xr10:uidLastSave="{00000000-0000-0000-0000-000000000000}"/>
  <bookViews>
    <workbookView xWindow="760" yWindow="990" windowWidth="24840" windowHeight="13250" activeTab="1" xr2:uid="{00000000-000D-0000-FFFF-FFFF00000000}"/>
  </bookViews>
  <sheets>
    <sheet name="Pedestrians" sheetId="1" r:id="rId1"/>
    <sheet name="Bicyc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2" i="2" l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10" i="2"/>
  <c r="J206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191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95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14" i="1"/>
  <c r="I206" i="1"/>
  <c r="H206" i="1"/>
  <c r="G206" i="1"/>
  <c r="F206" i="1"/>
  <c r="I202" i="2"/>
  <c r="H202" i="2"/>
  <c r="G202" i="2"/>
  <c r="F202" i="2"/>
  <c r="E202" i="2"/>
  <c r="D202" i="2"/>
  <c r="C202" i="2"/>
  <c r="B202" i="2"/>
  <c r="M201" i="2"/>
  <c r="L201" i="2"/>
  <c r="K201" i="2"/>
  <c r="J201" i="2"/>
  <c r="M200" i="2"/>
  <c r="L200" i="2"/>
  <c r="K200" i="2"/>
  <c r="J200" i="2"/>
  <c r="M199" i="2"/>
  <c r="L199" i="2"/>
  <c r="K199" i="2"/>
  <c r="J199" i="2"/>
  <c r="M198" i="2"/>
  <c r="L198" i="2"/>
  <c r="K198" i="2"/>
  <c r="J198" i="2"/>
  <c r="M197" i="2"/>
  <c r="L197" i="2"/>
  <c r="K197" i="2"/>
  <c r="J197" i="2"/>
  <c r="M196" i="2"/>
  <c r="L196" i="2"/>
  <c r="K196" i="2"/>
  <c r="J196" i="2"/>
  <c r="M195" i="2"/>
  <c r="L195" i="2"/>
  <c r="K195" i="2"/>
  <c r="J195" i="2"/>
  <c r="M194" i="2"/>
  <c r="L194" i="2"/>
  <c r="K194" i="2"/>
  <c r="J194" i="2"/>
  <c r="M193" i="2"/>
  <c r="L193" i="2"/>
  <c r="K193" i="2"/>
  <c r="J193" i="2"/>
  <c r="M192" i="2"/>
  <c r="L192" i="2"/>
  <c r="K192" i="2"/>
  <c r="J192" i="2"/>
  <c r="M191" i="2"/>
  <c r="L191" i="2"/>
  <c r="K191" i="2"/>
  <c r="J191" i="2"/>
  <c r="M190" i="2"/>
  <c r="L190" i="2"/>
  <c r="K190" i="2"/>
  <c r="J190" i="2"/>
  <c r="M189" i="2"/>
  <c r="L189" i="2"/>
  <c r="K189" i="2"/>
  <c r="J189" i="2"/>
  <c r="M188" i="2"/>
  <c r="L188" i="2"/>
  <c r="K188" i="2"/>
  <c r="J188" i="2"/>
  <c r="M187" i="2"/>
  <c r="L187" i="2"/>
  <c r="K187" i="2"/>
  <c r="J187" i="2"/>
  <c r="M186" i="2"/>
  <c r="L186" i="2"/>
  <c r="K186" i="2"/>
  <c r="J186" i="2"/>
  <c r="M185" i="2"/>
  <c r="L185" i="2"/>
  <c r="K185" i="2"/>
  <c r="J185" i="2"/>
  <c r="M184" i="2"/>
  <c r="L184" i="2"/>
  <c r="K184" i="2"/>
  <c r="J184" i="2"/>
  <c r="M183" i="2"/>
  <c r="L183" i="2"/>
  <c r="K183" i="2"/>
  <c r="J183" i="2"/>
  <c r="M182" i="2"/>
  <c r="L182" i="2"/>
  <c r="K182" i="2"/>
  <c r="J182" i="2"/>
  <c r="M181" i="2"/>
  <c r="L181" i="2"/>
  <c r="K181" i="2"/>
  <c r="J181" i="2"/>
  <c r="M180" i="2"/>
  <c r="L180" i="2"/>
  <c r="K180" i="2"/>
  <c r="J180" i="2"/>
  <c r="M179" i="2"/>
  <c r="L179" i="2"/>
  <c r="K179" i="2"/>
  <c r="J179" i="2"/>
  <c r="M178" i="2"/>
  <c r="L178" i="2"/>
  <c r="K178" i="2"/>
  <c r="J178" i="2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M172" i="2"/>
  <c r="L172" i="2"/>
  <c r="K172" i="2"/>
  <c r="J172" i="2"/>
  <c r="M171" i="2"/>
  <c r="L171" i="2"/>
  <c r="K171" i="2"/>
  <c r="J171" i="2"/>
  <c r="M170" i="2"/>
  <c r="L170" i="2"/>
  <c r="K170" i="2"/>
  <c r="J170" i="2"/>
  <c r="M169" i="2"/>
  <c r="L169" i="2"/>
  <c r="K169" i="2"/>
  <c r="J169" i="2"/>
  <c r="M168" i="2"/>
  <c r="L168" i="2"/>
  <c r="K168" i="2"/>
  <c r="J168" i="2"/>
  <c r="M167" i="2"/>
  <c r="L167" i="2"/>
  <c r="K167" i="2"/>
  <c r="J167" i="2"/>
  <c r="M166" i="2"/>
  <c r="L166" i="2"/>
  <c r="K166" i="2"/>
  <c r="J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M162" i="2"/>
  <c r="L162" i="2"/>
  <c r="K162" i="2"/>
  <c r="J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M156" i="2"/>
  <c r="L156" i="2"/>
  <c r="K156" i="2"/>
  <c r="J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M149" i="2"/>
  <c r="L149" i="2"/>
  <c r="K149" i="2"/>
  <c r="J149" i="2"/>
  <c r="M148" i="2"/>
  <c r="L148" i="2"/>
  <c r="K148" i="2"/>
  <c r="J148" i="2"/>
  <c r="M147" i="2"/>
  <c r="L147" i="2"/>
  <c r="K147" i="2"/>
  <c r="J147" i="2"/>
  <c r="M146" i="2"/>
  <c r="L146" i="2"/>
  <c r="K146" i="2"/>
  <c r="J146" i="2"/>
  <c r="M145" i="2"/>
  <c r="L145" i="2"/>
  <c r="K145" i="2"/>
  <c r="J145" i="2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21" i="2"/>
  <c r="L121" i="2"/>
  <c r="K121" i="2"/>
  <c r="J121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M112" i="2"/>
  <c r="L112" i="2"/>
  <c r="K112" i="2"/>
  <c r="J112" i="2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M104" i="2"/>
  <c r="L104" i="2"/>
  <c r="K104" i="2"/>
  <c r="J104" i="2"/>
  <c r="M103" i="2"/>
  <c r="L103" i="2"/>
  <c r="K103" i="2"/>
  <c r="J103" i="2"/>
  <c r="M102" i="2"/>
  <c r="L102" i="2"/>
  <c r="K102" i="2"/>
  <c r="J102" i="2"/>
  <c r="M101" i="2"/>
  <c r="L101" i="2"/>
  <c r="K101" i="2"/>
  <c r="J101" i="2"/>
  <c r="M100" i="2"/>
  <c r="L100" i="2"/>
  <c r="K100" i="2"/>
  <c r="J100" i="2"/>
  <c r="M99" i="2"/>
  <c r="L99" i="2"/>
  <c r="K99" i="2"/>
  <c r="J99" i="2"/>
  <c r="M98" i="2"/>
  <c r="L98" i="2"/>
  <c r="K98" i="2"/>
  <c r="J98" i="2"/>
  <c r="M97" i="2"/>
  <c r="L97" i="2"/>
  <c r="K97" i="2"/>
  <c r="J97" i="2"/>
  <c r="M96" i="2"/>
  <c r="L96" i="2"/>
  <c r="K96" i="2"/>
  <c r="J96" i="2"/>
  <c r="M95" i="2"/>
  <c r="L95" i="2"/>
  <c r="K95" i="2"/>
  <c r="J95" i="2"/>
  <c r="M94" i="2"/>
  <c r="L94" i="2"/>
  <c r="K94" i="2"/>
  <c r="J94" i="2"/>
  <c r="M93" i="2"/>
  <c r="L93" i="2"/>
  <c r="K93" i="2"/>
  <c r="J93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M202" i="2" s="1"/>
  <c r="L10" i="2"/>
  <c r="L202" i="2" s="1"/>
  <c r="K10" i="2"/>
  <c r="K202" i="2" s="1"/>
  <c r="J10" i="2"/>
  <c r="J202" i="2" s="1"/>
  <c r="E206" i="1"/>
  <c r="D206" i="1"/>
  <c r="C206" i="1"/>
  <c r="B206" i="1"/>
</calcChain>
</file>

<file path=xl/sharedStrings.xml><?xml version="1.0" encoding="utf-8"?>
<sst xmlns="http://schemas.openxmlformats.org/spreadsheetml/2006/main" count="458" uniqueCount="117">
  <si>
    <t>Study Name</t>
  </si>
  <si>
    <t>Pine Hils NBL E</t>
  </si>
  <si>
    <t>Start Date</t>
  </si>
  <si>
    <t>08/28/2019</t>
  </si>
  <si>
    <t>Start Time</t>
  </si>
  <si>
    <t>12:00 AM</t>
  </si>
  <si>
    <t>Site Code</t>
  </si>
  <si>
    <t/>
  </si>
  <si>
    <t>Channel</t>
  </si>
  <si>
    <t>NB Sidewalk</t>
  </si>
  <si>
    <t>NB Travel Lane</t>
  </si>
  <si>
    <t>Direction</t>
  </si>
  <si>
    <t>Southbound</t>
  </si>
  <si>
    <t>Northbound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</si>
  <si>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</si>
  <si>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</si>
  <si>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</si>
  <si>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</si>
  <si>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</si>
  <si>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</si>
  <si>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</si>
  <si>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</si>
  <si>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</si>
  <si>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</si>
  <si>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</si>
  <si>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</si>
  <si>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</si>
  <si>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</si>
  <si>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</si>
  <si>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</si>
  <si>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</si>
  <si>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</si>
  <si>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</si>
  <si>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</si>
  <si>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</si>
  <si>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</si>
  <si>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</si>
  <si>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</si>
  <si>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</si>
  <si>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</si>
  <si>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</si>
  <si>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</si>
  <si>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</si>
  <si>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</si>
  <si>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</si>
  <si>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</si>
  <si>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</si>
  <si>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</si>
  <si>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</si>
  <si>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</si>
  <si>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</si>
  <si>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</si>
  <si>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</si>
  <si>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</si>
  <si>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</si>
  <si>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</si>
  <si>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</si>
  <si>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</si>
  <si>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</si>
  <si>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</si>
  <si>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</si>
  <si>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</si>
  <si>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</si>
  <si>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</si>
  <si>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</si>
  <si>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</si>
  <si>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</si>
  <si>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</si>
  <si>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</si>
  <si>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</si>
  <si>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</si>
  <si>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</si>
  <si>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</si>
  <si>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</si>
  <si>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</si>
  <si>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</si>
  <si>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</si>
  <si>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</si>
  <si>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</si>
  <si>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</si>
  <si>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</si>
  <si>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</si>
  <si>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</si>
  <si>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</si>
  <si>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</si>
  <si>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</si>
  <si>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</si>
  <si>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</si>
  <si>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</si>
  <si>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</si>
  <si>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</si>
  <si>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</si>
  <si>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</si>
  <si>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</si>
  <si>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</si>
  <si>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</si>
  <si>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</si>
  <si>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</si>
  <si>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</si>
  <si>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</si>
  <si>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</si>
  <si>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</si>
  <si>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</si>
  <si>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</si>
  <si>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</si>
  <si>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</si>
  <si>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</si>
  <si>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</si>
  <si>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</si>
  <si>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SB Sidewalk</t>
  </si>
  <si>
    <t>SB Travel Lane</t>
  </si>
  <si>
    <t>Sidewalk Facing</t>
  </si>
  <si>
    <t>Travel Lane Facing</t>
  </si>
  <si>
    <t>Sidewalk With</t>
  </si>
  <si>
    <t>Travel Lane With</t>
  </si>
  <si>
    <t>Night</t>
  </si>
  <si>
    <t>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</si>
</sst>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theme="1"/>
      <name val="Franklin Gothic Book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ranklin Gothic Book"/>
      <family val="2"/>
    </font>
    <font>
      <b/>
      <sz val="13"/>
      <color theme="3"/>
      <name val="Franklin Gothic Book"/>
      <family val="2"/>
    </font>
    <font>
      <b/>
      <sz val="11"/>
      <color theme="3"/>
      <name val="Franklin Gothic Book"/>
      <family val="2"/>
    </font>
    <font>
      <sz val="11"/>
      <color rgb="FF006100"/>
      <name val="Franklin Gothic Book"/>
      <family val="2"/>
    </font>
    <font>
      <sz val="11"/>
      <color rgb="FF9C0006"/>
      <name val="Franklin Gothic Book"/>
      <family val="2"/>
    </font>
    <font>
      <sz val="11"/>
      <color rgb="FF9C5700"/>
      <name val="Franklin Gothic Book"/>
      <family val="2"/>
    </font>
    <font>
      <sz val="11"/>
      <color rgb="FF3F3F76"/>
      <name val="Franklin Gothic Book"/>
      <family val="2"/>
    </font>
    <font>
      <b/>
      <sz val="11"/>
      <color rgb="FF3F3F3F"/>
      <name val="Franklin Gothic Book"/>
      <family val="2"/>
    </font>
    <font>
      <b/>
      <sz val="11"/>
      <color rgb="FFFA7D00"/>
      <name val="Franklin Gothic Book"/>
      <family val="2"/>
    </font>
    <font>
      <sz val="11"/>
      <color rgb="FFFA7D00"/>
      <name val="Franklin Gothic Book"/>
      <family val="2"/>
    </font>
    <font>
      <b/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i/>
      <sz val="11"/>
      <color rgb="FF7F7F7F"/>
      <name val="Franklin Gothic Book"/>
      <family val="2"/>
    </font>
    <font>
      <b/>
      <sz val="11"/>
      <color theme="1"/>
      <name val="Franklin Gothic Book"/>
      <family val="2"/>
    </font>
    <font>
      <sz val="11"/>
      <color theme="0"/>
      <name val="Franklin Gothic Book"/>
      <family val="2"/>
    </font>
    <font>
      <sz val="10"/>
      <name val="Arial"/>
      <family val="2"/>
    </font>
    <font>
      <sz val="10"/>
      <name val="Arial Black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/>
  </cellStyleXfs>
  <cellXfs count="13">
    <xf numFmtId="0" fontId="0" fillId="0" borderId="0" xfId="0"/>
    <xf numFmtId="0" fontId="19" fillId="0" borderId="0" xfId="0" applyFont="1" applyAlignment="1">
      <alignment horizontal="left"/>
    </xf>
    <xf numFmtId="0" fontId="0" fillId="33" borderId="10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0" fillId="33" borderId="10" xfId="0" applyFill="1" applyBorder="1" applyAlignment="1">
      <alignment horizontal="center" vertical="center" wrapText="1"/>
    </xf>
    <xf numFmtId="0" fontId="20" fillId="0" borderId="11" xfId="42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34" borderId="0" xfId="0" applyFill="1"/>
    <xf numFmtId="0" fontId="21" fillId="34" borderId="0" xfId="0" applyFont="1" applyFill="1"/>
    <xf numFmtId="0" fontId="0" fillId="33" borderId="12" xfId="0" applyFill="1" applyBorder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workbookViewId="0">
      <pane xSplit="1" ySplit="12" topLeftCell="B192" activePane="bottomRight" state="frozen"/>
      <selection pane="topRight" activeCell="B1" sqref="B1"/>
      <selection pane="bottomLeft" activeCell="A13" sqref="A13"/>
      <selection pane="bottomRight" activeCell="J206" sqref="J206"/>
    </sheetView>
  </sheetViews>
  <sheetFormatPr defaultColWidth="11.6328125" defaultRowHeight="15" customHeight="1" x14ac:dyDescent="0.25"/>
  <cols>
    <col min="2" max="2" width="10.90625" bestFit="1" customWidth="1"/>
    <col min="3" max="3" width="13.1796875" bestFit="1" customWidth="1"/>
    <col min="4" max="4" width="10.90625" bestFit="1" customWidth="1"/>
    <col min="5" max="5" width="13.1796875" bestFit="1" customWidth="1"/>
    <col min="6" max="6" width="10.90625" bestFit="1" customWidth="1"/>
    <col min="7" max="7" width="13.1796875" bestFit="1" customWidth="1"/>
    <col min="8" max="8" width="10.90625" bestFit="1" customWidth="1"/>
    <col min="9" max="9" width="13.1796875" bestFit="1" customWidth="1"/>
  </cols>
  <sheetData>
    <row r="1" spans="1:10" ht="15" customHeight="1" x14ac:dyDescent="0.45">
      <c r="A1" s="11" t="s">
        <v>0</v>
      </c>
      <c r="B1" s="11"/>
      <c r="C1" s="12" t="s">
        <v>1</v>
      </c>
      <c r="D1" s="12"/>
      <c r="E1" s="12"/>
      <c r="F1" s="12"/>
    </row>
    <row r="2" spans="1:10" ht="15" customHeight="1" x14ac:dyDescent="0.45">
      <c r="A2" s="11" t="s">
        <v>2</v>
      </c>
      <c r="B2" s="11"/>
      <c r="C2" s="12" t="s">
        <v>3</v>
      </c>
      <c r="D2" s="12"/>
      <c r="E2" s="12"/>
      <c r="F2" s="12"/>
    </row>
    <row r="3" spans="1:10" ht="15" customHeight="1" x14ac:dyDescent="0.45">
      <c r="A3" s="11" t="s">
        <v>4</v>
      </c>
      <c r="B3" s="11"/>
      <c r="C3" s="12" t="s">
        <v>5</v>
      </c>
      <c r="D3" s="12"/>
      <c r="E3" s="12"/>
      <c r="F3" s="12"/>
    </row>
    <row r="4" spans="1:10" ht="15" customHeight="1" x14ac:dyDescent="0.45">
      <c r="A4" s="11" t="s">
        <v>6</v>
      </c>
      <c r="B4" s="11"/>
      <c r="C4" s="12" t="s">
        <v>7</v>
      </c>
      <c r="D4" s="12"/>
      <c r="E4" s="12"/>
      <c r="F4" s="12"/>
    </row>
    <row r="5" spans="1:10" ht="15" customHeight="1" x14ac:dyDescent="0.45">
      <c r="A5" s="11" t="s">
        <v>7</v>
      </c>
      <c r="B5" s="11"/>
      <c r="C5" s="12" t="s">
        <v>7</v>
      </c>
      <c r="D5" s="12"/>
      <c r="E5" s="12"/>
      <c r="F5" s="12"/>
    </row>
    <row r="6" spans="1:10" ht="15" customHeight="1" x14ac:dyDescent="0.45">
      <c r="A6" s="11" t="s">
        <v>7</v>
      </c>
      <c r="B6" s="11"/>
      <c r="C6" s="12" t="s">
        <v>7</v>
      </c>
      <c r="D6" s="12"/>
      <c r="E6" s="12"/>
      <c r="F6" s="12"/>
    </row>
    <row r="7" spans="1:10" ht="15" customHeight="1" x14ac:dyDescent="0.45">
      <c r="A7" s="11" t="s">
        <v>7</v>
      </c>
      <c r="B7" s="11"/>
      <c r="C7" s="12" t="s">
        <v>7</v>
      </c>
      <c r="D7" s="12"/>
      <c r="E7" s="12"/>
      <c r="F7" s="12"/>
    </row>
    <row r="8" spans="1:10" ht="15" customHeight="1" x14ac:dyDescent="0.45">
      <c r="A8" s="11" t="s">
        <v>7</v>
      </c>
      <c r="B8" s="11"/>
      <c r="C8" s="12" t="s">
        <v>7</v>
      </c>
      <c r="D8" s="12"/>
      <c r="E8" s="12"/>
      <c r="F8" s="12"/>
    </row>
    <row r="11" spans="1:10" ht="15" customHeight="1" x14ac:dyDescent="0.45">
      <c r="A11" s="1" t="s">
        <v>8</v>
      </c>
      <c r="B11" s="2" t="s">
        <v>9</v>
      </c>
      <c r="C11" s="2" t="s">
        <v>10</v>
      </c>
      <c r="D11" s="2" t="s">
        <v>9</v>
      </c>
      <c r="E11" s="2" t="s">
        <v>10</v>
      </c>
      <c r="F11" s="2" t="s">
        <v>109</v>
      </c>
      <c r="G11" s="2" t="s">
        <v>110</v>
      </c>
      <c r="H11" s="2" t="s">
        <v>109</v>
      </c>
      <c r="I11" s="2" t="s">
        <v>110</v>
      </c>
    </row>
    <row r="12" spans="1:10" ht="15" customHeight="1" x14ac:dyDescent="0.45">
      <c r="A12" s="1" t="s">
        <v>11</v>
      </c>
      <c r="B12" s="2" t="s">
        <v>12</v>
      </c>
      <c r="C12" s="2" t="s">
        <v>12</v>
      </c>
      <c r="D12" s="2" t="s">
        <v>13</v>
      </c>
      <c r="E12" s="2" t="s">
        <v>13</v>
      </c>
      <c r="F12" s="2" t="s">
        <v>12</v>
      </c>
      <c r="G12" s="2" t="s">
        <v>12</v>
      </c>
      <c r="H12" s="2" t="s">
        <v>13</v>
      </c>
      <c r="I12" s="2" t="s">
        <v>13</v>
      </c>
      <c r="J12" s="10" t="s">
        <v>115</v>
      </c>
    </row>
    <row r="14" spans="1:10" s="8" customFormat="1" ht="15" customHeight="1" x14ac:dyDescent="0.25">
      <c r="A14" s="8" t="s">
        <v>5</v>
      </c>
      <c r="B14" s="8">
        <v>0</v>
      </c>
      <c r="C14" s="8">
        <v>0</v>
      </c>
      <c r="D14" s="8">
        <v>0</v>
      </c>
      <c r="E14" s="8">
        <v>0</v>
      </c>
      <c r="F14" s="8">
        <v>2</v>
      </c>
      <c r="G14" s="8">
        <v>0</v>
      </c>
      <c r="H14" s="8">
        <v>0</v>
      </c>
      <c r="I14" s="8">
        <v>0</v>
      </c>
      <c r="J14" s="8">
        <f>SUM(B14:I14)</f>
        <v>2</v>
      </c>
    </row>
    <row r="15" spans="1:10" s="8" customFormat="1" ht="15" customHeight="1" x14ac:dyDescent="0.25">
      <c r="A15" s="8" t="s">
        <v>14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f t="shared" ref="J15:J41" si="0">SUM(B15:I15)</f>
        <v>0</v>
      </c>
    </row>
    <row r="16" spans="1:10" s="8" customFormat="1" ht="15" customHeight="1" x14ac:dyDescent="0.25">
      <c r="A16" s="8" t="s">
        <v>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f t="shared" si="0"/>
        <v>0</v>
      </c>
    </row>
    <row r="17" spans="1:10" s="8" customFormat="1" ht="15" customHeight="1" x14ac:dyDescent="0.25">
      <c r="A17" s="8" t="s">
        <v>16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f t="shared" si="0"/>
        <v>0</v>
      </c>
    </row>
    <row r="18" spans="1:10" s="8" customFormat="1" ht="15" customHeight="1" x14ac:dyDescent="0.25">
      <c r="A18" s="8" t="s">
        <v>17</v>
      </c>
      <c r="B18" s="8">
        <v>1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f t="shared" si="0"/>
        <v>2</v>
      </c>
    </row>
    <row r="19" spans="1:10" s="8" customFormat="1" ht="15" customHeight="1" x14ac:dyDescent="0.25">
      <c r="A19" s="8" t="s">
        <v>18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f t="shared" si="0"/>
        <v>0</v>
      </c>
    </row>
    <row r="20" spans="1:10" s="8" customFormat="1" ht="15" customHeight="1" x14ac:dyDescent="0.25">
      <c r="A20" s="8" t="s">
        <v>19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f t="shared" si="0"/>
        <v>0</v>
      </c>
    </row>
    <row r="21" spans="1:10" s="8" customFormat="1" ht="15" customHeight="1" x14ac:dyDescent="0.25">
      <c r="A21" s="8" t="s">
        <v>20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f t="shared" si="0"/>
        <v>0</v>
      </c>
    </row>
    <row r="22" spans="1:10" s="8" customFormat="1" ht="15" customHeight="1" x14ac:dyDescent="0.25">
      <c r="A22" s="8" t="s">
        <v>21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f t="shared" si="0"/>
        <v>0</v>
      </c>
    </row>
    <row r="23" spans="1:10" s="8" customFormat="1" ht="15" customHeight="1" x14ac:dyDescent="0.25">
      <c r="A23" s="8" t="s">
        <v>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1</v>
      </c>
      <c r="I23" s="8">
        <v>0</v>
      </c>
      <c r="J23" s="8">
        <f t="shared" si="0"/>
        <v>1</v>
      </c>
    </row>
    <row r="24" spans="1:10" s="8" customFormat="1" ht="15" customHeight="1" x14ac:dyDescent="0.25">
      <c r="A24" s="8" t="s">
        <v>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f t="shared" si="0"/>
        <v>0</v>
      </c>
    </row>
    <row r="25" spans="1:10" s="8" customFormat="1" ht="15" customHeight="1" x14ac:dyDescent="0.25">
      <c r="A25" s="8" t="s">
        <v>24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f t="shared" si="0"/>
        <v>0</v>
      </c>
    </row>
    <row r="26" spans="1:10" s="8" customFormat="1" ht="15" customHeight="1" x14ac:dyDescent="0.25">
      <c r="A26" s="8" t="s">
        <v>25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f t="shared" si="0"/>
        <v>0</v>
      </c>
    </row>
    <row r="27" spans="1:10" s="8" customFormat="1" ht="15" customHeight="1" x14ac:dyDescent="0.25">
      <c r="A27" s="8" t="s">
        <v>26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f t="shared" si="0"/>
        <v>0</v>
      </c>
    </row>
    <row r="28" spans="1:10" s="8" customFormat="1" ht="15" customHeight="1" x14ac:dyDescent="0.25">
      <c r="A28" s="8" t="s">
        <v>27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f t="shared" si="0"/>
        <v>0</v>
      </c>
    </row>
    <row r="29" spans="1:10" s="8" customFormat="1" ht="15" customHeight="1" x14ac:dyDescent="0.25">
      <c r="A29" s="8" t="s">
        <v>28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f t="shared" si="0"/>
        <v>0</v>
      </c>
    </row>
    <row r="30" spans="1:10" s="8" customFormat="1" ht="15" customHeight="1" x14ac:dyDescent="0.25">
      <c r="A30" s="8" t="s">
        <v>29</v>
      </c>
      <c r="B30" s="8">
        <v>0</v>
      </c>
      <c r="C30" s="8">
        <v>0</v>
      </c>
      <c r="D30" s="8">
        <v>0</v>
      </c>
      <c r="E30" s="8">
        <v>0</v>
      </c>
      <c r="F30" s="8">
        <v>1</v>
      </c>
      <c r="G30" s="8">
        <v>0</v>
      </c>
      <c r="H30" s="8">
        <v>0</v>
      </c>
      <c r="I30" s="8">
        <v>0</v>
      </c>
      <c r="J30" s="8">
        <f t="shared" si="0"/>
        <v>1</v>
      </c>
    </row>
    <row r="31" spans="1:10" s="8" customFormat="1" ht="15" customHeight="1" x14ac:dyDescent="0.25">
      <c r="A31" s="8" t="s">
        <v>30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f t="shared" si="0"/>
        <v>0</v>
      </c>
    </row>
    <row r="32" spans="1:10" s="8" customFormat="1" ht="15" customHeight="1" x14ac:dyDescent="0.25">
      <c r="A32" s="8" t="s">
        <v>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f t="shared" si="0"/>
        <v>0</v>
      </c>
    </row>
    <row r="33" spans="1:10" s="8" customFormat="1" ht="15" customHeight="1" x14ac:dyDescent="0.25">
      <c r="A33" s="8" t="s">
        <v>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f t="shared" si="0"/>
        <v>0</v>
      </c>
    </row>
    <row r="34" spans="1:10" s="8" customFormat="1" ht="15" customHeight="1" x14ac:dyDescent="0.25">
      <c r="A34" s="8" t="s">
        <v>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f t="shared" si="0"/>
        <v>0</v>
      </c>
    </row>
    <row r="35" spans="1:10" s="8" customFormat="1" ht="15" customHeight="1" x14ac:dyDescent="0.25">
      <c r="A35" s="8" t="s">
        <v>34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f t="shared" si="0"/>
        <v>0</v>
      </c>
    </row>
    <row r="36" spans="1:10" s="8" customFormat="1" ht="15" customHeight="1" x14ac:dyDescent="0.25">
      <c r="A36" s="8" t="s">
        <v>35</v>
      </c>
      <c r="B36" s="8">
        <v>0</v>
      </c>
      <c r="C36" s="8">
        <v>0</v>
      </c>
      <c r="D36" s="8">
        <v>2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f t="shared" si="0"/>
        <v>2</v>
      </c>
    </row>
    <row r="37" spans="1:10" s="8" customFormat="1" ht="15" customHeight="1" x14ac:dyDescent="0.25">
      <c r="A37" s="8" t="s">
        <v>36</v>
      </c>
      <c r="B37" s="8">
        <v>0</v>
      </c>
      <c r="C37" s="8">
        <v>0</v>
      </c>
      <c r="D37" s="8">
        <v>4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f t="shared" si="0"/>
        <v>4</v>
      </c>
    </row>
    <row r="38" spans="1:10" s="8" customFormat="1" ht="15" customHeight="1" x14ac:dyDescent="0.25">
      <c r="A38" s="8" t="s">
        <v>37</v>
      </c>
      <c r="B38" s="8">
        <v>0</v>
      </c>
      <c r="C38" s="8">
        <v>0</v>
      </c>
      <c r="D38" s="8">
        <v>0</v>
      </c>
      <c r="E38" s="8">
        <v>0</v>
      </c>
      <c r="F38" s="8">
        <v>2</v>
      </c>
      <c r="G38" s="8">
        <v>0</v>
      </c>
      <c r="H38" s="8">
        <v>0</v>
      </c>
      <c r="I38" s="8">
        <v>0</v>
      </c>
      <c r="J38" s="8">
        <f t="shared" si="0"/>
        <v>2</v>
      </c>
    </row>
    <row r="39" spans="1:10" s="8" customFormat="1" ht="15" customHeight="1" x14ac:dyDescent="0.25">
      <c r="A39" s="8" t="s">
        <v>38</v>
      </c>
      <c r="B39" s="8">
        <v>1</v>
      </c>
      <c r="C39" s="8">
        <v>0</v>
      </c>
      <c r="D39" s="8">
        <v>0</v>
      </c>
      <c r="E39" s="8">
        <v>0</v>
      </c>
      <c r="F39" s="8">
        <v>1</v>
      </c>
      <c r="G39" s="8">
        <v>0</v>
      </c>
      <c r="H39" s="8">
        <v>0</v>
      </c>
      <c r="I39" s="8">
        <v>0</v>
      </c>
      <c r="J39" s="8">
        <f t="shared" si="0"/>
        <v>2</v>
      </c>
    </row>
    <row r="40" spans="1:10" s="8" customFormat="1" ht="15" customHeight="1" x14ac:dyDescent="0.25">
      <c r="A40" s="8" t="s">
        <v>39</v>
      </c>
      <c r="B40" s="8">
        <v>5</v>
      </c>
      <c r="C40" s="8">
        <v>0</v>
      </c>
      <c r="D40" s="8">
        <v>0</v>
      </c>
      <c r="E40" s="8">
        <v>0</v>
      </c>
      <c r="F40" s="8">
        <v>2</v>
      </c>
      <c r="G40" s="8">
        <v>0</v>
      </c>
      <c r="H40" s="8">
        <v>0</v>
      </c>
      <c r="I40" s="8">
        <v>0</v>
      </c>
      <c r="J40" s="8">
        <f t="shared" si="0"/>
        <v>7</v>
      </c>
    </row>
    <row r="41" spans="1:10" s="8" customFormat="1" ht="15" customHeight="1" x14ac:dyDescent="0.25">
      <c r="A41" s="8" t="s">
        <v>40</v>
      </c>
      <c r="B41" s="8">
        <v>3</v>
      </c>
      <c r="C41" s="8">
        <v>0</v>
      </c>
      <c r="D41" s="8">
        <v>0</v>
      </c>
      <c r="E41" s="8">
        <v>0</v>
      </c>
      <c r="F41" s="8">
        <v>2</v>
      </c>
      <c r="G41" s="8">
        <v>0</v>
      </c>
      <c r="H41" s="8">
        <v>0</v>
      </c>
      <c r="I41" s="8">
        <v>0</v>
      </c>
      <c r="J41" s="8">
        <f t="shared" si="0"/>
        <v>5</v>
      </c>
    </row>
    <row r="42" spans="1:10" ht="15" customHeight="1" x14ac:dyDescent="0.25">
      <c r="A42" t="s">
        <v>41</v>
      </c>
      <c r="B42">
        <v>4</v>
      </c>
      <c r="C42">
        <v>0</v>
      </c>
      <c r="D42">
        <v>2</v>
      </c>
      <c r="E42">
        <v>0</v>
      </c>
      <c r="F42">
        <v>4</v>
      </c>
      <c r="G42">
        <v>0</v>
      </c>
      <c r="H42">
        <v>1</v>
      </c>
      <c r="I42">
        <v>0</v>
      </c>
    </row>
    <row r="43" spans="1:10" ht="15" customHeight="1" x14ac:dyDescent="0.25">
      <c r="A43" t="s">
        <v>42</v>
      </c>
      <c r="B43">
        <v>4</v>
      </c>
      <c r="C43">
        <v>0</v>
      </c>
      <c r="D43">
        <v>1</v>
      </c>
      <c r="E43">
        <v>0</v>
      </c>
      <c r="F43">
        <v>2</v>
      </c>
      <c r="G43">
        <v>0</v>
      </c>
      <c r="H43">
        <v>1</v>
      </c>
      <c r="I43">
        <v>0</v>
      </c>
    </row>
    <row r="44" spans="1:10" ht="15" customHeight="1" x14ac:dyDescent="0.25">
      <c r="A44" t="s">
        <v>43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10" ht="15" customHeight="1" x14ac:dyDescent="0.25">
      <c r="A45" t="s">
        <v>44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0</v>
      </c>
    </row>
    <row r="46" spans="1:10" ht="15" customHeight="1" x14ac:dyDescent="0.25">
      <c r="A46" t="s">
        <v>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3</v>
      </c>
      <c r="I46">
        <v>0</v>
      </c>
    </row>
    <row r="47" spans="1:10" ht="15" customHeight="1" x14ac:dyDescent="0.25">
      <c r="A47" t="s">
        <v>46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2</v>
      </c>
      <c r="I47">
        <v>0</v>
      </c>
    </row>
    <row r="48" spans="1:10" ht="15" customHeight="1" x14ac:dyDescent="0.25">
      <c r="A48" t="s"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</row>
    <row r="49" spans="1:9" ht="15" customHeight="1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</row>
    <row r="50" spans="1:9" ht="15" customHeight="1" x14ac:dyDescent="0.25">
      <c r="A50" t="s">
        <v>49</v>
      </c>
      <c r="B50">
        <v>0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t="15" customHeight="1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ht="15" customHeight="1" x14ac:dyDescent="0.25">
      <c r="A52" t="s">
        <v>51</v>
      </c>
      <c r="B52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15" customHeight="1" x14ac:dyDescent="0.25">
      <c r="A53" t="s">
        <v>52</v>
      </c>
      <c r="B53">
        <v>3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 spans="1:9" ht="15" customHeight="1" x14ac:dyDescent="0.25">
      <c r="A54" t="s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ht="15" customHeight="1" x14ac:dyDescent="0.25">
      <c r="A55" t="s">
        <v>54</v>
      </c>
      <c r="B55">
        <v>0</v>
      </c>
      <c r="C55">
        <v>0</v>
      </c>
      <c r="D55">
        <v>2</v>
      </c>
      <c r="E55">
        <v>0</v>
      </c>
      <c r="F55">
        <v>1</v>
      </c>
      <c r="G55">
        <v>0</v>
      </c>
      <c r="H55">
        <v>1</v>
      </c>
      <c r="I55">
        <v>0</v>
      </c>
    </row>
    <row r="56" spans="1:9" ht="15" customHeight="1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</row>
    <row r="57" spans="1:9" ht="15" customHeight="1" x14ac:dyDescent="0.25">
      <c r="A57" t="s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</row>
    <row r="58" spans="1:9" ht="15" customHeight="1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ht="15" customHeight="1" x14ac:dyDescent="0.25">
      <c r="A59" t="s">
        <v>58</v>
      </c>
      <c r="B59">
        <v>0</v>
      </c>
      <c r="C59">
        <v>0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ht="15" customHeight="1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" customHeight="1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ht="15" customHeight="1" x14ac:dyDescent="0.25">
      <c r="A62" t="s">
        <v>61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 spans="1:9" ht="15" customHeight="1" x14ac:dyDescent="0.25">
      <c r="A63" t="s">
        <v>62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5" customHeight="1" x14ac:dyDescent="0.25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ht="15" customHeight="1" x14ac:dyDescent="0.25">
      <c r="A65" t="s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15" customHeight="1" x14ac:dyDescent="0.25">
      <c r="A66" t="s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15" customHeight="1" x14ac:dyDescent="0.25">
      <c r="A67" t="s">
        <v>66</v>
      </c>
      <c r="B67">
        <v>1</v>
      </c>
      <c r="C67">
        <v>0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ht="15" customHeight="1" x14ac:dyDescent="0.25">
      <c r="A68" t="s">
        <v>67</v>
      </c>
      <c r="B68">
        <v>1</v>
      </c>
      <c r="C68">
        <v>0</v>
      </c>
      <c r="D68">
        <v>9</v>
      </c>
      <c r="E68">
        <v>0</v>
      </c>
      <c r="F68">
        <v>2</v>
      </c>
      <c r="G68">
        <v>0</v>
      </c>
      <c r="H68">
        <v>5</v>
      </c>
      <c r="I68">
        <v>0</v>
      </c>
    </row>
    <row r="69" spans="1:9" ht="15" customHeight="1" x14ac:dyDescent="0.25">
      <c r="A69" t="s">
        <v>68</v>
      </c>
      <c r="B69">
        <v>0</v>
      </c>
      <c r="C69">
        <v>0</v>
      </c>
      <c r="D69">
        <v>2</v>
      </c>
      <c r="E69">
        <v>0</v>
      </c>
      <c r="F69">
        <v>0</v>
      </c>
      <c r="G69">
        <v>0</v>
      </c>
      <c r="H69">
        <v>3</v>
      </c>
      <c r="I69">
        <v>0</v>
      </c>
    </row>
    <row r="70" spans="1:9" ht="15" customHeight="1" x14ac:dyDescent="0.25">
      <c r="A70" t="s">
        <v>69</v>
      </c>
      <c r="B70">
        <v>0</v>
      </c>
      <c r="C70">
        <v>0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t="15" customHeight="1" x14ac:dyDescent="0.25">
      <c r="A71" t="s">
        <v>70</v>
      </c>
      <c r="B71">
        <v>0</v>
      </c>
      <c r="C71">
        <v>0</v>
      </c>
      <c r="D71">
        <v>1</v>
      </c>
      <c r="E71">
        <v>0</v>
      </c>
      <c r="F71">
        <v>1</v>
      </c>
      <c r="G71">
        <v>0</v>
      </c>
      <c r="H71">
        <v>4</v>
      </c>
      <c r="I71">
        <v>0</v>
      </c>
    </row>
    <row r="72" spans="1:9" ht="15" customHeight="1" x14ac:dyDescent="0.25">
      <c r="A72" t="s">
        <v>71</v>
      </c>
      <c r="B72">
        <v>0</v>
      </c>
      <c r="C72">
        <v>0</v>
      </c>
      <c r="D72">
        <v>0</v>
      </c>
      <c r="E72">
        <v>0</v>
      </c>
      <c r="F72">
        <v>3</v>
      </c>
      <c r="G72">
        <v>0</v>
      </c>
      <c r="H72">
        <v>2</v>
      </c>
      <c r="I72">
        <v>0</v>
      </c>
    </row>
    <row r="73" spans="1:9" ht="15" customHeight="1" x14ac:dyDescent="0.25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</row>
    <row r="74" spans="1:9" ht="15" customHeight="1" x14ac:dyDescent="0.25">
      <c r="A74" t="s">
        <v>73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5</v>
      </c>
      <c r="I74">
        <v>0</v>
      </c>
    </row>
    <row r="75" spans="1:9" ht="15" customHeight="1" x14ac:dyDescent="0.25">
      <c r="A75" t="s">
        <v>74</v>
      </c>
      <c r="B75">
        <v>0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</row>
    <row r="76" spans="1:9" ht="15" customHeight="1" x14ac:dyDescent="0.25">
      <c r="A76" t="s">
        <v>75</v>
      </c>
      <c r="B76">
        <v>2</v>
      </c>
      <c r="C76">
        <v>0</v>
      </c>
      <c r="D76">
        <v>1</v>
      </c>
      <c r="E76">
        <v>0</v>
      </c>
      <c r="F76">
        <v>10</v>
      </c>
      <c r="G76">
        <v>0</v>
      </c>
      <c r="H76">
        <v>0</v>
      </c>
      <c r="I76">
        <v>0</v>
      </c>
    </row>
    <row r="77" spans="1:9" ht="15" customHeight="1" x14ac:dyDescent="0.25">
      <c r="A77" t="s">
        <v>76</v>
      </c>
      <c r="B77">
        <v>2</v>
      </c>
      <c r="C77">
        <v>0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ht="15" customHeight="1" x14ac:dyDescent="0.25">
      <c r="A78" t="s">
        <v>77</v>
      </c>
      <c r="B78">
        <v>3</v>
      </c>
      <c r="C78">
        <v>0</v>
      </c>
      <c r="D78">
        <v>0</v>
      </c>
      <c r="E78">
        <v>0</v>
      </c>
      <c r="F78">
        <v>3</v>
      </c>
      <c r="G78">
        <v>0</v>
      </c>
      <c r="H78">
        <v>0</v>
      </c>
      <c r="I78">
        <v>0</v>
      </c>
    </row>
    <row r="79" spans="1:9" ht="15" customHeight="1" x14ac:dyDescent="0.25">
      <c r="A79" t="s">
        <v>78</v>
      </c>
      <c r="B79">
        <v>0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</row>
    <row r="80" spans="1:9" ht="15" customHeight="1" x14ac:dyDescent="0.25">
      <c r="A80" t="s">
        <v>79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10" ht="15" customHeight="1" x14ac:dyDescent="0.25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</row>
    <row r="82" spans="1:10" ht="15" customHeight="1" x14ac:dyDescent="0.25">
      <c r="A82" t="s">
        <v>81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</row>
    <row r="83" spans="1:10" ht="15" customHeight="1" x14ac:dyDescent="0.25">
      <c r="A83" t="s">
        <v>82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</row>
    <row r="84" spans="1:10" ht="15" customHeight="1" x14ac:dyDescent="0.25">
      <c r="A84" t="s">
        <v>83</v>
      </c>
      <c r="B84">
        <v>1</v>
      </c>
      <c r="C84">
        <v>0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10" ht="15" customHeight="1" x14ac:dyDescent="0.25">
      <c r="A85" t="s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</row>
    <row r="86" spans="1:10" ht="15" customHeight="1" x14ac:dyDescent="0.25">
      <c r="A86" t="s">
        <v>85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10" ht="15" customHeight="1" x14ac:dyDescent="0.25">
      <c r="A87" t="s">
        <v>86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10" ht="15" customHeight="1" x14ac:dyDescent="0.25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10" ht="15" customHeight="1" x14ac:dyDescent="0.25">
      <c r="A89" t="s">
        <v>88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</row>
    <row r="90" spans="1:10" ht="15" customHeight="1" x14ac:dyDescent="0.25">
      <c r="A90" t="s">
        <v>89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 spans="1:10" ht="15" customHeight="1" x14ac:dyDescent="0.25">
      <c r="A91" t="s">
        <v>90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</row>
    <row r="92" spans="1:10" ht="15" customHeight="1" x14ac:dyDescent="0.25">
      <c r="A92" t="s">
        <v>91</v>
      </c>
      <c r="B92">
        <v>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10" ht="15" customHeight="1" x14ac:dyDescent="0.25">
      <c r="A93" t="s">
        <v>92</v>
      </c>
      <c r="B93">
        <v>1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 spans="1:10" ht="15" customHeight="1" x14ac:dyDescent="0.25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</row>
    <row r="95" spans="1:10" s="8" customFormat="1" ht="15" customHeight="1" x14ac:dyDescent="0.25">
      <c r="A95" s="8" t="s">
        <v>94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f t="shared" ref="J95:J137" si="1">SUM(B95:I95)</f>
        <v>0</v>
      </c>
    </row>
    <row r="96" spans="1:10" s="8" customFormat="1" ht="15" customHeight="1" x14ac:dyDescent="0.25">
      <c r="A96" s="8" t="s">
        <v>95</v>
      </c>
      <c r="B96" s="8">
        <v>0</v>
      </c>
      <c r="C96" s="8">
        <v>0</v>
      </c>
      <c r="D96" s="8">
        <v>0</v>
      </c>
      <c r="E96" s="8">
        <v>0</v>
      </c>
      <c r="F96" s="8">
        <v>1</v>
      </c>
      <c r="G96" s="8">
        <v>0</v>
      </c>
      <c r="H96" s="8">
        <v>0</v>
      </c>
      <c r="I96" s="8">
        <v>0</v>
      </c>
      <c r="J96" s="8">
        <f t="shared" si="1"/>
        <v>1</v>
      </c>
    </row>
    <row r="97" spans="1:10" s="8" customFormat="1" ht="15" customHeight="1" x14ac:dyDescent="0.25">
      <c r="A97" s="8" t="s">
        <v>96</v>
      </c>
      <c r="B97" s="8">
        <v>0</v>
      </c>
      <c r="C97" s="8">
        <v>0</v>
      </c>
      <c r="D97" s="8">
        <v>0</v>
      </c>
      <c r="E97" s="8">
        <v>0</v>
      </c>
      <c r="F97" s="8">
        <v>2</v>
      </c>
      <c r="G97" s="8">
        <v>0</v>
      </c>
      <c r="H97" s="8">
        <v>0</v>
      </c>
      <c r="I97" s="8">
        <v>0</v>
      </c>
      <c r="J97" s="8">
        <f t="shared" si="1"/>
        <v>2</v>
      </c>
    </row>
    <row r="98" spans="1:10" s="8" customFormat="1" ht="15" customHeight="1" x14ac:dyDescent="0.25">
      <c r="A98" s="8" t="s">
        <v>97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f t="shared" si="1"/>
        <v>0</v>
      </c>
    </row>
    <row r="99" spans="1:10" s="8" customFormat="1" ht="15" customHeight="1" x14ac:dyDescent="0.25">
      <c r="A99" s="8" t="s">
        <v>98</v>
      </c>
      <c r="B99" s="8">
        <v>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f t="shared" si="1"/>
        <v>4</v>
      </c>
    </row>
    <row r="100" spans="1:10" s="8" customFormat="1" ht="15" customHeight="1" x14ac:dyDescent="0.25">
      <c r="A100" s="8" t="s">
        <v>99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f t="shared" si="1"/>
        <v>0</v>
      </c>
    </row>
    <row r="101" spans="1:10" s="8" customFormat="1" ht="15" customHeight="1" x14ac:dyDescent="0.25">
      <c r="A101" s="8" t="s">
        <v>100</v>
      </c>
      <c r="B101" s="8">
        <v>0</v>
      </c>
      <c r="C101" s="8">
        <v>0</v>
      </c>
      <c r="D101" s="8">
        <v>1</v>
      </c>
      <c r="E101" s="8">
        <v>0</v>
      </c>
      <c r="F101" s="8">
        <v>0</v>
      </c>
      <c r="G101" s="8">
        <v>0</v>
      </c>
      <c r="H101" s="8">
        <v>1</v>
      </c>
      <c r="I101" s="8">
        <v>0</v>
      </c>
      <c r="J101" s="8">
        <f t="shared" si="1"/>
        <v>2</v>
      </c>
    </row>
    <row r="102" spans="1:10" s="8" customFormat="1" ht="15" customHeight="1" x14ac:dyDescent="0.25">
      <c r="A102" s="8" t="s">
        <v>101</v>
      </c>
      <c r="B102" s="8">
        <v>1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f t="shared" si="1"/>
        <v>1</v>
      </c>
    </row>
    <row r="103" spans="1:10" s="8" customFormat="1" ht="15" customHeight="1" x14ac:dyDescent="0.25">
      <c r="A103" s="8" t="s">
        <v>102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1</v>
      </c>
      <c r="I103" s="8">
        <v>0</v>
      </c>
      <c r="J103" s="8">
        <f t="shared" si="1"/>
        <v>1</v>
      </c>
    </row>
    <row r="104" spans="1:10" s="8" customFormat="1" ht="15" customHeight="1" x14ac:dyDescent="0.25">
      <c r="A104" s="8" t="s">
        <v>103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f t="shared" si="1"/>
        <v>0</v>
      </c>
    </row>
    <row r="105" spans="1:10" s="8" customFormat="1" ht="15" customHeight="1" x14ac:dyDescent="0.25">
      <c r="A105" s="8" t="s">
        <v>104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f t="shared" si="1"/>
        <v>0</v>
      </c>
    </row>
    <row r="106" spans="1:10" s="8" customFormat="1" ht="15" customHeight="1" x14ac:dyDescent="0.25">
      <c r="A106" s="8" t="s">
        <v>105</v>
      </c>
      <c r="B106" s="8">
        <v>0</v>
      </c>
      <c r="C106" s="8">
        <v>0</v>
      </c>
      <c r="D106" s="8">
        <v>0</v>
      </c>
      <c r="E106" s="8">
        <v>0</v>
      </c>
      <c r="F106" s="8">
        <v>1</v>
      </c>
      <c r="G106" s="8">
        <v>0</v>
      </c>
      <c r="H106" s="8">
        <v>0</v>
      </c>
      <c r="I106" s="8">
        <v>0</v>
      </c>
      <c r="J106" s="8">
        <f t="shared" si="1"/>
        <v>1</v>
      </c>
    </row>
    <row r="107" spans="1:10" s="8" customFormat="1" ht="15" customHeight="1" x14ac:dyDescent="0.25">
      <c r="A107" s="8" t="s">
        <v>106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f t="shared" si="1"/>
        <v>0</v>
      </c>
    </row>
    <row r="108" spans="1:10" s="8" customFormat="1" ht="15" customHeight="1" x14ac:dyDescent="0.25">
      <c r="A108" s="8" t="s">
        <v>107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f t="shared" si="1"/>
        <v>0</v>
      </c>
    </row>
    <row r="109" spans="1:10" s="8" customFormat="1" ht="15" customHeight="1" x14ac:dyDescent="0.25">
      <c r="A109" s="8" t="s">
        <v>108</v>
      </c>
      <c r="B109" s="8">
        <v>1</v>
      </c>
      <c r="C109" s="8">
        <v>0</v>
      </c>
      <c r="D109" s="8">
        <v>0</v>
      </c>
      <c r="E109" s="8">
        <v>0</v>
      </c>
      <c r="F109" s="8">
        <v>1</v>
      </c>
      <c r="G109" s="8">
        <v>0</v>
      </c>
      <c r="H109" s="8">
        <v>2</v>
      </c>
      <c r="I109" s="8">
        <v>0</v>
      </c>
      <c r="J109" s="8">
        <f t="shared" si="1"/>
        <v>4</v>
      </c>
    </row>
    <row r="110" spans="1:10" s="8" customFormat="1" ht="15" customHeight="1" x14ac:dyDescent="0.25">
      <c r="A110" s="8" t="s">
        <v>5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f t="shared" si="1"/>
        <v>0</v>
      </c>
    </row>
    <row r="111" spans="1:10" s="8" customFormat="1" ht="15" customHeight="1" x14ac:dyDescent="0.25">
      <c r="A111" s="8" t="s">
        <v>14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f t="shared" si="1"/>
        <v>0</v>
      </c>
    </row>
    <row r="112" spans="1:10" s="8" customFormat="1" ht="15" customHeight="1" x14ac:dyDescent="0.25">
      <c r="A112" s="8" t="s">
        <v>15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f t="shared" si="1"/>
        <v>0</v>
      </c>
    </row>
    <row r="113" spans="1:10" s="8" customFormat="1" ht="15" customHeight="1" x14ac:dyDescent="0.25">
      <c r="A113" s="8" t="s">
        <v>16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f t="shared" si="1"/>
        <v>0</v>
      </c>
    </row>
    <row r="114" spans="1:10" s="8" customFormat="1" ht="15" customHeight="1" x14ac:dyDescent="0.25">
      <c r="A114" s="8" t="s">
        <v>17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f t="shared" si="1"/>
        <v>0</v>
      </c>
    </row>
    <row r="115" spans="1:10" s="8" customFormat="1" ht="15" customHeight="1" x14ac:dyDescent="0.25">
      <c r="A115" s="8" t="s">
        <v>18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f t="shared" si="1"/>
        <v>0</v>
      </c>
    </row>
    <row r="116" spans="1:10" s="8" customFormat="1" ht="15" customHeight="1" x14ac:dyDescent="0.25">
      <c r="A116" s="8" t="s">
        <v>19</v>
      </c>
      <c r="B116" s="8">
        <v>0</v>
      </c>
      <c r="C116" s="8">
        <v>0</v>
      </c>
      <c r="D116" s="8">
        <v>1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f t="shared" si="1"/>
        <v>1</v>
      </c>
    </row>
    <row r="117" spans="1:10" s="8" customFormat="1" ht="15" customHeight="1" x14ac:dyDescent="0.25">
      <c r="A117" s="8" t="s">
        <v>20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f t="shared" si="1"/>
        <v>0</v>
      </c>
    </row>
    <row r="118" spans="1:10" s="8" customFormat="1" ht="15" customHeight="1" x14ac:dyDescent="0.25">
      <c r="A118" s="8" t="s">
        <v>21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f t="shared" si="1"/>
        <v>0</v>
      </c>
    </row>
    <row r="119" spans="1:10" s="8" customFormat="1" ht="15" customHeight="1" x14ac:dyDescent="0.25">
      <c r="A119" s="8" t="s">
        <v>22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f t="shared" si="1"/>
        <v>0</v>
      </c>
    </row>
    <row r="120" spans="1:10" s="8" customFormat="1" ht="15" customHeight="1" x14ac:dyDescent="0.25">
      <c r="A120" s="8" t="s">
        <v>23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f t="shared" si="1"/>
        <v>0</v>
      </c>
    </row>
    <row r="121" spans="1:10" s="8" customFormat="1" ht="15" customHeight="1" x14ac:dyDescent="0.25">
      <c r="A121" s="8" t="s">
        <v>24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f t="shared" si="1"/>
        <v>0</v>
      </c>
    </row>
    <row r="122" spans="1:10" s="8" customFormat="1" ht="15" customHeight="1" x14ac:dyDescent="0.25">
      <c r="A122" s="8" t="s">
        <v>25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f t="shared" si="1"/>
        <v>0</v>
      </c>
    </row>
    <row r="123" spans="1:10" s="8" customFormat="1" ht="15" customHeight="1" x14ac:dyDescent="0.25">
      <c r="A123" s="8" t="s">
        <v>26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f t="shared" si="1"/>
        <v>0</v>
      </c>
    </row>
    <row r="124" spans="1:10" s="8" customFormat="1" ht="15" customHeight="1" x14ac:dyDescent="0.25">
      <c r="A124" s="8" t="s">
        <v>27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f t="shared" si="1"/>
        <v>0</v>
      </c>
    </row>
    <row r="125" spans="1:10" s="8" customFormat="1" ht="15" customHeight="1" x14ac:dyDescent="0.25">
      <c r="A125" s="8" t="s">
        <v>28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f t="shared" si="1"/>
        <v>0</v>
      </c>
    </row>
    <row r="126" spans="1:10" s="8" customFormat="1" ht="15" customHeight="1" x14ac:dyDescent="0.25">
      <c r="A126" s="8" t="s">
        <v>29</v>
      </c>
      <c r="B126" s="8">
        <v>0</v>
      </c>
      <c r="C126" s="8">
        <v>0</v>
      </c>
      <c r="D126" s="8">
        <v>0</v>
      </c>
      <c r="E126" s="8">
        <v>0</v>
      </c>
      <c r="F126" s="8">
        <v>1</v>
      </c>
      <c r="G126" s="8">
        <v>0</v>
      </c>
      <c r="H126" s="8">
        <v>0</v>
      </c>
      <c r="I126" s="8">
        <v>0</v>
      </c>
      <c r="J126" s="8">
        <f t="shared" si="1"/>
        <v>1</v>
      </c>
    </row>
    <row r="127" spans="1:10" s="8" customFormat="1" ht="15" customHeight="1" x14ac:dyDescent="0.25">
      <c r="A127" s="8" t="s">
        <v>30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f t="shared" si="1"/>
        <v>0</v>
      </c>
    </row>
    <row r="128" spans="1:10" s="8" customFormat="1" ht="15" customHeight="1" x14ac:dyDescent="0.25">
      <c r="A128" s="8" t="s">
        <v>31</v>
      </c>
      <c r="B128" s="8">
        <v>1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1</v>
      </c>
      <c r="I128" s="8">
        <v>0</v>
      </c>
      <c r="J128" s="8">
        <f t="shared" si="1"/>
        <v>2</v>
      </c>
    </row>
    <row r="129" spans="1:10" s="8" customFormat="1" ht="15" customHeight="1" x14ac:dyDescent="0.25">
      <c r="A129" s="8" t="s">
        <v>32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f t="shared" si="1"/>
        <v>0</v>
      </c>
    </row>
    <row r="130" spans="1:10" s="8" customFormat="1" ht="15" customHeight="1" x14ac:dyDescent="0.25">
      <c r="A130" s="8" t="s">
        <v>33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f t="shared" si="1"/>
        <v>0</v>
      </c>
    </row>
    <row r="131" spans="1:10" s="8" customFormat="1" ht="15" customHeight="1" x14ac:dyDescent="0.25">
      <c r="A131" s="8" t="s">
        <v>34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f t="shared" si="1"/>
        <v>0</v>
      </c>
    </row>
    <row r="132" spans="1:10" s="8" customFormat="1" ht="15" customHeight="1" x14ac:dyDescent="0.25">
      <c r="A132" s="8" t="s">
        <v>35</v>
      </c>
      <c r="B132" s="8">
        <v>0</v>
      </c>
      <c r="C132" s="8">
        <v>0</v>
      </c>
      <c r="D132" s="8">
        <v>1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f t="shared" si="1"/>
        <v>1</v>
      </c>
    </row>
    <row r="133" spans="1:10" s="8" customFormat="1" ht="15" customHeight="1" x14ac:dyDescent="0.25">
      <c r="A133" s="8" t="s">
        <v>36</v>
      </c>
      <c r="B133" s="8">
        <v>0</v>
      </c>
      <c r="C133" s="8">
        <v>0</v>
      </c>
      <c r="D133" s="8">
        <v>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f t="shared" si="1"/>
        <v>4</v>
      </c>
    </row>
    <row r="134" spans="1:10" s="8" customFormat="1" ht="15" customHeight="1" x14ac:dyDescent="0.25">
      <c r="A134" s="8" t="s">
        <v>37</v>
      </c>
      <c r="B134" s="8">
        <v>0</v>
      </c>
      <c r="C134" s="8">
        <v>0</v>
      </c>
      <c r="D134" s="8">
        <v>0</v>
      </c>
      <c r="E134" s="8">
        <v>0</v>
      </c>
      <c r="F134" s="8">
        <v>2</v>
      </c>
      <c r="G134" s="8">
        <v>0</v>
      </c>
      <c r="H134" s="8">
        <v>0</v>
      </c>
      <c r="I134" s="8">
        <v>0</v>
      </c>
      <c r="J134" s="8">
        <f t="shared" si="1"/>
        <v>2</v>
      </c>
    </row>
    <row r="135" spans="1:10" s="8" customFormat="1" ht="15" customHeight="1" x14ac:dyDescent="0.25">
      <c r="A135" s="8" t="s">
        <v>38</v>
      </c>
      <c r="B135" s="8">
        <v>0</v>
      </c>
      <c r="C135" s="8">
        <v>0</v>
      </c>
      <c r="D135" s="8">
        <v>0</v>
      </c>
      <c r="E135" s="8">
        <v>0</v>
      </c>
      <c r="F135" s="8">
        <v>3</v>
      </c>
      <c r="G135" s="8">
        <v>0</v>
      </c>
      <c r="H135" s="8">
        <v>0</v>
      </c>
      <c r="I135" s="8">
        <v>0</v>
      </c>
      <c r="J135" s="8">
        <f t="shared" si="1"/>
        <v>3</v>
      </c>
    </row>
    <row r="136" spans="1:10" s="8" customFormat="1" ht="15" customHeight="1" x14ac:dyDescent="0.25">
      <c r="A136" s="8" t="s">
        <v>39</v>
      </c>
      <c r="B136" s="8">
        <v>8</v>
      </c>
      <c r="C136" s="8">
        <v>0</v>
      </c>
      <c r="D136" s="8">
        <v>0</v>
      </c>
      <c r="E136" s="8">
        <v>0</v>
      </c>
      <c r="F136" s="8">
        <v>2</v>
      </c>
      <c r="G136" s="8">
        <v>0</v>
      </c>
      <c r="H136" s="8">
        <v>0</v>
      </c>
      <c r="I136" s="8">
        <v>0</v>
      </c>
      <c r="J136" s="8">
        <f t="shared" si="1"/>
        <v>10</v>
      </c>
    </row>
    <row r="137" spans="1:10" s="8" customFormat="1" ht="15" customHeight="1" x14ac:dyDescent="0.25">
      <c r="A137" s="8" t="s">
        <v>40</v>
      </c>
      <c r="B137" s="8">
        <v>3</v>
      </c>
      <c r="C137" s="8">
        <v>1</v>
      </c>
      <c r="D137" s="8">
        <v>0</v>
      </c>
      <c r="E137" s="8">
        <v>0</v>
      </c>
      <c r="F137" s="8">
        <v>2</v>
      </c>
      <c r="G137" s="8">
        <v>0</v>
      </c>
      <c r="H137" s="8">
        <v>0</v>
      </c>
      <c r="I137" s="8">
        <v>0</v>
      </c>
      <c r="J137" s="8">
        <f t="shared" si="1"/>
        <v>6</v>
      </c>
    </row>
    <row r="138" spans="1:10" ht="15" customHeight="1" x14ac:dyDescent="0.25">
      <c r="A138" t="s">
        <v>41</v>
      </c>
      <c r="B138">
        <v>3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1</v>
      </c>
      <c r="I138">
        <v>0</v>
      </c>
    </row>
    <row r="139" spans="1:10" ht="15" customHeight="1" x14ac:dyDescent="0.25">
      <c r="A139" t="s">
        <v>42</v>
      </c>
      <c r="B139">
        <v>3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4</v>
      </c>
      <c r="I139">
        <v>0</v>
      </c>
    </row>
    <row r="140" spans="1:10" ht="15" customHeight="1" x14ac:dyDescent="0.25">
      <c r="A140" t="s">
        <v>43</v>
      </c>
      <c r="B140">
        <v>1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0</v>
      </c>
    </row>
    <row r="141" spans="1:10" ht="15" customHeight="1" x14ac:dyDescent="0.25">
      <c r="A141" t="s">
        <v>44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10" ht="15" customHeight="1" x14ac:dyDescent="0.25">
      <c r="A142" t="s">
        <v>45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3</v>
      </c>
      <c r="I142">
        <v>0</v>
      </c>
    </row>
    <row r="143" spans="1:10" ht="15" customHeight="1" x14ac:dyDescent="0.25">
      <c r="A143" t="s">
        <v>46</v>
      </c>
      <c r="B143">
        <v>1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3</v>
      </c>
      <c r="I143">
        <v>0</v>
      </c>
    </row>
    <row r="144" spans="1:10" ht="15" customHeight="1" x14ac:dyDescent="0.25">
      <c r="A144" t="s">
        <v>47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2</v>
      </c>
      <c r="I144">
        <v>0</v>
      </c>
    </row>
    <row r="145" spans="1:9" ht="15" customHeight="1" x14ac:dyDescent="0.25">
      <c r="A145" t="s">
        <v>48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2</v>
      </c>
      <c r="I145">
        <v>0</v>
      </c>
    </row>
    <row r="146" spans="1:9" ht="15" customHeight="1" x14ac:dyDescent="0.25">
      <c r="A146" t="s">
        <v>49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 spans="1:9" ht="15" customHeight="1" x14ac:dyDescent="0.25">
      <c r="A147" t="s">
        <v>50</v>
      </c>
      <c r="B147">
        <v>0</v>
      </c>
      <c r="C147">
        <v>0</v>
      </c>
      <c r="D147">
        <v>2</v>
      </c>
      <c r="E147">
        <v>0</v>
      </c>
      <c r="F147">
        <v>1</v>
      </c>
      <c r="G147">
        <v>0</v>
      </c>
      <c r="H147">
        <v>0</v>
      </c>
      <c r="I147">
        <v>0</v>
      </c>
    </row>
    <row r="148" spans="1:9" ht="15" customHeight="1" x14ac:dyDescent="0.25">
      <c r="A148" t="s">
        <v>51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 ht="15" customHeight="1" x14ac:dyDescent="0.25">
      <c r="A149" t="s">
        <v>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ht="15" customHeight="1" x14ac:dyDescent="0.25">
      <c r="A150" t="s">
        <v>53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ht="15" customHeight="1" x14ac:dyDescent="0.25">
      <c r="A151" t="s">
        <v>54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ht="15" customHeight="1" x14ac:dyDescent="0.25">
      <c r="A152" t="s">
        <v>55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ht="15" customHeight="1" x14ac:dyDescent="0.25">
      <c r="A153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ht="15" customHeight="1" x14ac:dyDescent="0.25">
      <c r="A154" t="s">
        <v>57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ht="15" customHeight="1" x14ac:dyDescent="0.25">
      <c r="A155" t="s">
        <v>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15" customHeight="1" x14ac:dyDescent="0.25">
      <c r="A156" t="s">
        <v>59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1</v>
      </c>
      <c r="I156">
        <v>0</v>
      </c>
    </row>
    <row r="157" spans="1:9" ht="15" customHeight="1" x14ac:dyDescent="0.25">
      <c r="A157" t="s">
        <v>60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ht="15" customHeight="1" x14ac:dyDescent="0.25">
      <c r="A158" t="s">
        <v>61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 spans="1:9" ht="15" customHeight="1" x14ac:dyDescent="0.25">
      <c r="A159" t="s">
        <v>62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</row>
    <row r="160" spans="1:9" ht="15" customHeight="1" x14ac:dyDescent="0.25">
      <c r="A160" t="s">
        <v>63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0</v>
      </c>
      <c r="H160">
        <v>1</v>
      </c>
      <c r="I160">
        <v>0</v>
      </c>
    </row>
    <row r="161" spans="1:9" ht="15" customHeight="1" x14ac:dyDescent="0.25">
      <c r="A161" t="s">
        <v>64</v>
      </c>
      <c r="B161">
        <v>0</v>
      </c>
      <c r="C161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ht="15" customHeight="1" x14ac:dyDescent="0.25">
      <c r="A162" t="s">
        <v>65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2</v>
      </c>
      <c r="I162">
        <v>0</v>
      </c>
    </row>
    <row r="163" spans="1:9" ht="15" customHeight="1" x14ac:dyDescent="0.25">
      <c r="A163" t="s">
        <v>66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ht="15" customHeight="1" x14ac:dyDescent="0.25">
      <c r="A164" t="s">
        <v>67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</row>
    <row r="165" spans="1:9" ht="15" customHeight="1" x14ac:dyDescent="0.25">
      <c r="A165" t="s">
        <v>68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</row>
    <row r="166" spans="1:9" ht="15" customHeight="1" x14ac:dyDescent="0.25">
      <c r="A166" t="s">
        <v>69</v>
      </c>
      <c r="B166">
        <v>0</v>
      </c>
      <c r="C166">
        <v>0</v>
      </c>
      <c r="D166">
        <v>2</v>
      </c>
      <c r="E166">
        <v>0</v>
      </c>
      <c r="F166">
        <v>1</v>
      </c>
      <c r="G166">
        <v>1</v>
      </c>
      <c r="H166">
        <v>0</v>
      </c>
      <c r="I166">
        <v>0</v>
      </c>
    </row>
    <row r="167" spans="1:9" ht="15" customHeight="1" x14ac:dyDescent="0.25">
      <c r="A167" t="s">
        <v>70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</row>
    <row r="168" spans="1:9" ht="15" customHeight="1" x14ac:dyDescent="0.25">
      <c r="A168" t="s">
        <v>71</v>
      </c>
      <c r="B168">
        <v>0</v>
      </c>
      <c r="C168">
        <v>0</v>
      </c>
      <c r="D168">
        <v>12</v>
      </c>
      <c r="E168">
        <v>0</v>
      </c>
      <c r="F168">
        <v>2</v>
      </c>
      <c r="G168">
        <v>2</v>
      </c>
      <c r="H168">
        <v>7</v>
      </c>
      <c r="I168">
        <v>7</v>
      </c>
    </row>
    <row r="169" spans="1:9" ht="15" customHeight="1" x14ac:dyDescent="0.25">
      <c r="A169" t="s">
        <v>72</v>
      </c>
      <c r="B169">
        <v>2</v>
      </c>
      <c r="C169">
        <v>0</v>
      </c>
      <c r="D169">
        <v>6</v>
      </c>
      <c r="E169">
        <v>0</v>
      </c>
      <c r="F169">
        <v>2</v>
      </c>
      <c r="G169">
        <v>2</v>
      </c>
      <c r="H169">
        <v>2</v>
      </c>
      <c r="I169">
        <v>2</v>
      </c>
    </row>
    <row r="170" spans="1:9" ht="15" customHeight="1" x14ac:dyDescent="0.25">
      <c r="A170" t="s">
        <v>73</v>
      </c>
      <c r="B170">
        <v>0</v>
      </c>
      <c r="C170">
        <v>0</v>
      </c>
      <c r="D170">
        <v>3</v>
      </c>
      <c r="E170">
        <v>0</v>
      </c>
      <c r="F170">
        <v>1</v>
      </c>
      <c r="G170">
        <v>0</v>
      </c>
      <c r="H170">
        <v>1</v>
      </c>
      <c r="I170">
        <v>0</v>
      </c>
    </row>
    <row r="171" spans="1:9" ht="15" customHeight="1" x14ac:dyDescent="0.25">
      <c r="A171" t="s">
        <v>74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</row>
    <row r="172" spans="1:9" ht="15" customHeight="1" x14ac:dyDescent="0.25">
      <c r="A172" t="s">
        <v>75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ht="15" customHeight="1" x14ac:dyDescent="0.25">
      <c r="A173" t="s">
        <v>76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</v>
      </c>
      <c r="I173">
        <v>0</v>
      </c>
    </row>
    <row r="174" spans="1:9" ht="15" customHeight="1" x14ac:dyDescent="0.25">
      <c r="A174" t="s">
        <v>77</v>
      </c>
      <c r="B174">
        <v>1</v>
      </c>
      <c r="C174">
        <v>0</v>
      </c>
      <c r="D174">
        <v>2</v>
      </c>
      <c r="E174">
        <v>0</v>
      </c>
      <c r="F174">
        <v>2</v>
      </c>
      <c r="G174">
        <v>0</v>
      </c>
      <c r="H174">
        <v>2</v>
      </c>
      <c r="I174">
        <v>0</v>
      </c>
    </row>
    <row r="175" spans="1:9" ht="15" customHeight="1" x14ac:dyDescent="0.25">
      <c r="A175" t="s">
        <v>78</v>
      </c>
      <c r="B175">
        <v>0</v>
      </c>
      <c r="C175">
        <v>0</v>
      </c>
      <c r="D175">
        <v>0</v>
      </c>
      <c r="E175">
        <v>0</v>
      </c>
      <c r="F175">
        <v>6</v>
      </c>
      <c r="G175">
        <v>0</v>
      </c>
      <c r="H175">
        <v>2</v>
      </c>
      <c r="I175">
        <v>0</v>
      </c>
    </row>
    <row r="176" spans="1:9" ht="15" customHeight="1" x14ac:dyDescent="0.25">
      <c r="A176" t="s">
        <v>79</v>
      </c>
      <c r="B176">
        <v>0</v>
      </c>
      <c r="C176">
        <v>0</v>
      </c>
      <c r="D176">
        <v>0</v>
      </c>
      <c r="E176">
        <v>0</v>
      </c>
      <c r="F176">
        <v>5</v>
      </c>
      <c r="G176">
        <v>0</v>
      </c>
      <c r="H176">
        <v>1</v>
      </c>
      <c r="I176">
        <v>0</v>
      </c>
    </row>
    <row r="177" spans="1:10" ht="15" customHeight="1" x14ac:dyDescent="0.25">
      <c r="A177" t="s">
        <v>80</v>
      </c>
      <c r="B177">
        <v>1</v>
      </c>
      <c r="C177">
        <v>0</v>
      </c>
      <c r="D177">
        <v>2</v>
      </c>
      <c r="E177">
        <v>0</v>
      </c>
      <c r="F177">
        <v>2</v>
      </c>
      <c r="G177">
        <v>0</v>
      </c>
      <c r="H177">
        <v>3</v>
      </c>
      <c r="I177">
        <v>0</v>
      </c>
    </row>
    <row r="178" spans="1:10" ht="15" customHeight="1" x14ac:dyDescent="0.25">
      <c r="A178" t="s">
        <v>81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10" ht="15" customHeight="1" x14ac:dyDescent="0.25">
      <c r="A179" t="s">
        <v>82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</row>
    <row r="180" spans="1:10" ht="15" customHeight="1" x14ac:dyDescent="0.25">
      <c r="A180" t="s">
        <v>83</v>
      </c>
      <c r="B180">
        <v>0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10" ht="15" customHeight="1" x14ac:dyDescent="0.25">
      <c r="A181" t="s">
        <v>84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0</v>
      </c>
    </row>
    <row r="182" spans="1:10" ht="15" customHeight="1" x14ac:dyDescent="0.25">
      <c r="A182" t="s">
        <v>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10" ht="15" customHeight="1" x14ac:dyDescent="0.25">
      <c r="A183" t="s">
        <v>86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</row>
    <row r="184" spans="1:10" ht="15" customHeight="1" x14ac:dyDescent="0.25">
      <c r="A184" t="s">
        <v>87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</row>
    <row r="185" spans="1:10" ht="15" customHeight="1" x14ac:dyDescent="0.25">
      <c r="A185" t="s">
        <v>88</v>
      </c>
      <c r="B185">
        <v>0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1</v>
      </c>
      <c r="I185">
        <v>0</v>
      </c>
    </row>
    <row r="186" spans="1:10" ht="15" customHeight="1" x14ac:dyDescent="0.25">
      <c r="A186" t="s">
        <v>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10" ht="15" customHeight="1" x14ac:dyDescent="0.25">
      <c r="A187" t="s">
        <v>90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 spans="1:10" ht="15" customHeight="1" x14ac:dyDescent="0.25">
      <c r="A188" t="s">
        <v>91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</row>
    <row r="189" spans="1:10" ht="15" customHeight="1" x14ac:dyDescent="0.25">
      <c r="A189" t="s">
        <v>92</v>
      </c>
      <c r="B189">
        <v>0</v>
      </c>
      <c r="C189">
        <v>0</v>
      </c>
      <c r="D189">
        <v>1</v>
      </c>
      <c r="E189">
        <v>0</v>
      </c>
      <c r="F189">
        <v>2</v>
      </c>
      <c r="G189">
        <v>0</v>
      </c>
      <c r="H189">
        <v>1</v>
      </c>
      <c r="I189">
        <v>0</v>
      </c>
    </row>
    <row r="190" spans="1:10" ht="15" customHeight="1" x14ac:dyDescent="0.25">
      <c r="A190" t="s">
        <v>93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 spans="1:10" s="8" customFormat="1" ht="15" customHeight="1" x14ac:dyDescent="0.25">
      <c r="A191" s="8" t="s">
        <v>94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2</v>
      </c>
      <c r="I191" s="8">
        <v>0</v>
      </c>
      <c r="J191" s="8">
        <f t="shared" ref="J191:J205" si="2">SUM(B191:I191)</f>
        <v>2</v>
      </c>
    </row>
    <row r="192" spans="1:10" s="8" customFormat="1" ht="15" customHeight="1" x14ac:dyDescent="0.25">
      <c r="A192" s="8" t="s">
        <v>95</v>
      </c>
      <c r="B192" s="8">
        <v>0</v>
      </c>
      <c r="C192" s="8">
        <v>0</v>
      </c>
      <c r="D192" s="8">
        <v>3</v>
      </c>
      <c r="E192" s="8">
        <v>0</v>
      </c>
      <c r="F192" s="8">
        <v>3</v>
      </c>
      <c r="G192" s="8">
        <v>0</v>
      </c>
      <c r="H192" s="8">
        <v>2</v>
      </c>
      <c r="I192" s="8">
        <v>0</v>
      </c>
      <c r="J192" s="8">
        <f t="shared" si="2"/>
        <v>8</v>
      </c>
    </row>
    <row r="193" spans="1:10" s="8" customFormat="1" ht="15" customHeight="1" x14ac:dyDescent="0.25">
      <c r="A193" s="8" t="s">
        <v>96</v>
      </c>
      <c r="B193" s="8">
        <v>0</v>
      </c>
      <c r="C193" s="8">
        <v>0</v>
      </c>
      <c r="D193" s="8">
        <v>1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f t="shared" si="2"/>
        <v>1</v>
      </c>
    </row>
    <row r="194" spans="1:10" s="8" customFormat="1" ht="15" customHeight="1" x14ac:dyDescent="0.25">
      <c r="A194" s="8" t="s">
        <v>97</v>
      </c>
      <c r="B194" s="8">
        <v>0</v>
      </c>
      <c r="C194" s="8">
        <v>0</v>
      </c>
      <c r="D194" s="8">
        <v>0</v>
      </c>
      <c r="E194" s="8">
        <v>0</v>
      </c>
      <c r="F194" s="8">
        <v>1</v>
      </c>
      <c r="G194" s="8">
        <v>0</v>
      </c>
      <c r="H194" s="8">
        <v>0</v>
      </c>
      <c r="I194" s="8">
        <v>0</v>
      </c>
      <c r="J194" s="8">
        <f t="shared" si="2"/>
        <v>1</v>
      </c>
    </row>
    <row r="195" spans="1:10" s="8" customFormat="1" ht="15" customHeight="1" x14ac:dyDescent="0.25">
      <c r="A195" s="8" t="s">
        <v>98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f t="shared" si="2"/>
        <v>0</v>
      </c>
    </row>
    <row r="196" spans="1:10" s="8" customFormat="1" ht="15" customHeight="1" x14ac:dyDescent="0.25">
      <c r="A196" s="8" t="s">
        <v>99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f t="shared" si="2"/>
        <v>0</v>
      </c>
    </row>
    <row r="197" spans="1:10" s="8" customFormat="1" ht="15" customHeight="1" x14ac:dyDescent="0.25">
      <c r="A197" s="8" t="s">
        <v>100</v>
      </c>
      <c r="B197" s="8">
        <v>0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f t="shared" si="2"/>
        <v>0</v>
      </c>
    </row>
    <row r="198" spans="1:10" s="8" customFormat="1" ht="15" customHeight="1" x14ac:dyDescent="0.25">
      <c r="A198" s="8" t="s">
        <v>101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f t="shared" si="2"/>
        <v>0</v>
      </c>
    </row>
    <row r="199" spans="1:10" s="8" customFormat="1" ht="15" customHeight="1" x14ac:dyDescent="0.25">
      <c r="A199" s="8" t="s">
        <v>102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f t="shared" si="2"/>
        <v>0</v>
      </c>
    </row>
    <row r="200" spans="1:10" s="8" customFormat="1" ht="15" customHeight="1" x14ac:dyDescent="0.25">
      <c r="A200" s="8" t="s">
        <v>103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2</v>
      </c>
      <c r="I200" s="8">
        <v>0</v>
      </c>
      <c r="J200" s="8">
        <f t="shared" si="2"/>
        <v>2</v>
      </c>
    </row>
    <row r="201" spans="1:10" s="8" customFormat="1" ht="15" customHeight="1" x14ac:dyDescent="0.25">
      <c r="A201" s="8" t="s">
        <v>104</v>
      </c>
      <c r="B201" s="8">
        <v>0</v>
      </c>
      <c r="C201" s="8">
        <v>0</v>
      </c>
      <c r="D201" s="8">
        <v>1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f t="shared" si="2"/>
        <v>1</v>
      </c>
    </row>
    <row r="202" spans="1:10" s="8" customFormat="1" ht="15" customHeight="1" x14ac:dyDescent="0.25">
      <c r="A202" s="8" t="s">
        <v>105</v>
      </c>
      <c r="B202" s="8">
        <v>1</v>
      </c>
      <c r="C202" s="8">
        <v>0</v>
      </c>
      <c r="D202" s="8">
        <v>0</v>
      </c>
      <c r="E202" s="8">
        <v>0</v>
      </c>
      <c r="F202" s="8">
        <v>1</v>
      </c>
      <c r="G202" s="8">
        <v>0</v>
      </c>
      <c r="H202" s="8">
        <v>0</v>
      </c>
      <c r="I202" s="8">
        <v>0</v>
      </c>
      <c r="J202" s="8">
        <f t="shared" si="2"/>
        <v>2</v>
      </c>
    </row>
    <row r="203" spans="1:10" s="8" customFormat="1" ht="15" customHeight="1" x14ac:dyDescent="0.25">
      <c r="A203" s="8" t="s">
        <v>106</v>
      </c>
      <c r="B203" s="8">
        <v>1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f t="shared" si="2"/>
        <v>1</v>
      </c>
    </row>
    <row r="204" spans="1:10" s="8" customFormat="1" ht="15" customHeight="1" x14ac:dyDescent="0.25">
      <c r="A204" s="8" t="s">
        <v>107</v>
      </c>
      <c r="B204" s="8">
        <v>0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f t="shared" si="2"/>
        <v>0</v>
      </c>
    </row>
    <row r="205" spans="1:10" s="8" customFormat="1" ht="15" customHeight="1" x14ac:dyDescent="0.25">
      <c r="A205" s="8" t="s">
        <v>108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f t="shared" si="2"/>
        <v>0</v>
      </c>
    </row>
    <row r="206" spans="1:10" ht="15" customHeight="1" x14ac:dyDescent="0.25">
      <c r="B206">
        <f t="shared" ref="B206:J206" si="3">SUM(B14:B205)</f>
        <v>97</v>
      </c>
      <c r="C206">
        <f t="shared" si="3"/>
        <v>1</v>
      </c>
      <c r="D206">
        <f t="shared" si="3"/>
        <v>105</v>
      </c>
      <c r="E206">
        <f t="shared" si="3"/>
        <v>0</v>
      </c>
      <c r="F206">
        <f t="shared" si="3"/>
        <v>123</v>
      </c>
      <c r="G206">
        <f t="shared" si="3"/>
        <v>5</v>
      </c>
      <c r="H206">
        <f t="shared" si="3"/>
        <v>106</v>
      </c>
      <c r="I206">
        <f t="shared" si="3"/>
        <v>10</v>
      </c>
      <c r="J206">
        <f t="shared" si="3"/>
        <v>92</v>
      </c>
    </row>
  </sheetData>
  <mergeCells count="16">
    <mergeCell ref="A1:B1"/>
    <mergeCell ref="C1:F1"/>
    <mergeCell ref="A2:B2"/>
    <mergeCell ref="C2:F2"/>
    <mergeCell ref="A3:B3"/>
    <mergeCell ref="C3:F3"/>
    <mergeCell ref="A7:B7"/>
    <mergeCell ref="C7:F7"/>
    <mergeCell ref="A8:B8"/>
    <mergeCell ref="C8:F8"/>
    <mergeCell ref="A4:B4"/>
    <mergeCell ref="C4:F4"/>
    <mergeCell ref="A5:B5"/>
    <mergeCell ref="C5:F5"/>
    <mergeCell ref="A6:B6"/>
    <mergeCell ref="C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2"/>
  <sheetViews>
    <sheetView tabSelected="1"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O202" sqref="O202"/>
    </sheetView>
  </sheetViews>
  <sheetFormatPr defaultColWidth="11.6328125" defaultRowHeight="15" customHeight="1" x14ac:dyDescent="0.25"/>
  <cols>
    <col min="2" max="2" width="10.81640625" customWidth="1"/>
    <col min="3" max="3" width="10.36328125" customWidth="1"/>
    <col min="4" max="5" width="10" customWidth="1"/>
    <col min="6" max="7" width="10.36328125" customWidth="1"/>
    <col min="8" max="9" width="10" customWidth="1"/>
    <col min="10" max="10" width="10.54296875" customWidth="1"/>
  </cols>
  <sheetData>
    <row r="1" spans="1:14" ht="15" customHeight="1" x14ac:dyDescent="0.45">
      <c r="A1" s="11" t="s">
        <v>0</v>
      </c>
      <c r="B1" s="11"/>
      <c r="C1" s="12" t="s">
        <v>1</v>
      </c>
      <c r="D1" s="12"/>
      <c r="E1" s="12"/>
      <c r="F1" s="12"/>
      <c r="G1" s="12"/>
      <c r="H1" s="12"/>
      <c r="I1" s="12"/>
      <c r="J1" s="12"/>
    </row>
    <row r="2" spans="1:14" ht="15" customHeight="1" x14ac:dyDescent="0.45">
      <c r="A2" s="11" t="s">
        <v>2</v>
      </c>
      <c r="B2" s="11"/>
      <c r="C2" s="12" t="s">
        <v>3</v>
      </c>
      <c r="D2" s="12"/>
      <c r="E2" s="12"/>
      <c r="F2" s="12"/>
      <c r="G2" s="12"/>
      <c r="H2" s="12"/>
      <c r="I2" s="12"/>
      <c r="J2" s="12"/>
    </row>
    <row r="3" spans="1:14" ht="15" customHeight="1" x14ac:dyDescent="0.45">
      <c r="A3" s="11" t="s">
        <v>4</v>
      </c>
      <c r="B3" s="11"/>
      <c r="C3" s="12" t="s">
        <v>5</v>
      </c>
      <c r="D3" s="12"/>
      <c r="E3" s="12"/>
      <c r="F3" s="12"/>
      <c r="G3" s="12"/>
      <c r="H3" s="12"/>
      <c r="I3" s="12"/>
      <c r="J3" s="12"/>
    </row>
    <row r="4" spans="1:14" ht="15" customHeight="1" x14ac:dyDescent="0.45">
      <c r="A4" s="11" t="s">
        <v>6</v>
      </c>
      <c r="B4" s="11"/>
      <c r="C4" s="12" t="s">
        <v>7</v>
      </c>
      <c r="D4" s="12"/>
      <c r="E4" s="12"/>
      <c r="F4" s="12"/>
      <c r="G4" s="12"/>
      <c r="H4" s="12"/>
      <c r="I4" s="12"/>
      <c r="J4" s="12"/>
    </row>
    <row r="7" spans="1:14" s="3" customFormat="1" ht="28.5" customHeight="1" x14ac:dyDescent="0.25">
      <c r="A7" s="4" t="s">
        <v>8</v>
      </c>
      <c r="B7" s="5" t="s">
        <v>9</v>
      </c>
      <c r="C7" s="5" t="s">
        <v>10</v>
      </c>
      <c r="D7" s="5" t="s">
        <v>9</v>
      </c>
      <c r="E7" s="5" t="s">
        <v>10</v>
      </c>
      <c r="F7" s="5" t="s">
        <v>109</v>
      </c>
      <c r="G7" s="5" t="s">
        <v>110</v>
      </c>
      <c r="H7" s="5" t="s">
        <v>109</v>
      </c>
      <c r="I7" s="5" t="s">
        <v>110</v>
      </c>
    </row>
    <row r="8" spans="1:14" s="3" customFormat="1" ht="28.5" customHeight="1" x14ac:dyDescent="0.25">
      <c r="A8" s="4" t="s">
        <v>11</v>
      </c>
      <c r="B8" s="5" t="s">
        <v>12</v>
      </c>
      <c r="C8" s="5" t="s">
        <v>12</v>
      </c>
      <c r="D8" s="5" t="s">
        <v>13</v>
      </c>
      <c r="E8" s="5" t="s">
        <v>13</v>
      </c>
      <c r="F8" s="5" t="s">
        <v>12</v>
      </c>
      <c r="G8" s="5" t="s">
        <v>12</v>
      </c>
      <c r="H8" s="5" t="s">
        <v>13</v>
      </c>
      <c r="I8" s="5" t="s">
        <v>13</v>
      </c>
    </row>
    <row r="9" spans="1:14" s="3" customFormat="1" ht="28.5" customHeight="1" x14ac:dyDescent="0.25">
      <c r="B9" s="6" t="s">
        <v>111</v>
      </c>
      <c r="C9" s="7" t="s">
        <v>112</v>
      </c>
      <c r="D9" s="6" t="s">
        <v>113</v>
      </c>
      <c r="E9" s="7" t="s">
        <v>114</v>
      </c>
      <c r="F9" s="6" t="s">
        <v>113</v>
      </c>
      <c r="G9" s="7" t="s">
        <v>114</v>
      </c>
      <c r="H9" s="6" t="s">
        <v>111</v>
      </c>
      <c r="I9" s="7" t="s">
        <v>112</v>
      </c>
      <c r="J9" s="6" t="s">
        <v>113</v>
      </c>
      <c r="K9" s="6" t="s">
        <v>111</v>
      </c>
      <c r="L9" s="7" t="s">
        <v>114</v>
      </c>
      <c r="M9" s="7" t="s">
        <v>112</v>
      </c>
      <c r="N9" s="3" t="s">
        <v>116</v>
      </c>
    </row>
    <row r="10" spans="1:14" ht="15" customHeight="1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f t="shared" ref="J10:J41" si="0">SUM(D10,F10)</f>
        <v>2</v>
      </c>
      <c r="K10">
        <f t="shared" ref="K10:K41" si="1">SUM(B10,H10)</f>
        <v>0</v>
      </c>
      <c r="L10">
        <f t="shared" ref="L10:L41" si="2">SUM(E10,G10)</f>
        <v>0</v>
      </c>
      <c r="M10">
        <f t="shared" ref="M10:M41" si="3">SUM(C10,I10)</f>
        <v>0</v>
      </c>
      <c r="N10">
        <f>K10+M10</f>
        <v>0</v>
      </c>
    </row>
    <row r="11" spans="1:14" ht="15" customHeight="1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0</v>
      </c>
      <c r="K11">
        <f t="shared" si="1"/>
        <v>0</v>
      </c>
      <c r="L11">
        <f t="shared" si="2"/>
        <v>0</v>
      </c>
      <c r="M11">
        <f t="shared" si="3"/>
        <v>0</v>
      </c>
      <c r="N11">
        <f t="shared" ref="N11:N74" si="4">K11+M11</f>
        <v>0</v>
      </c>
    </row>
    <row r="12" spans="1:14" ht="15" customHeight="1" x14ac:dyDescent="0.25">
      <c r="A12" t="s">
        <v>15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0</v>
      </c>
      <c r="N12">
        <f t="shared" si="4"/>
        <v>1</v>
      </c>
    </row>
    <row r="13" spans="1:14" ht="15" customHeight="1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  <c r="N13">
        <f t="shared" si="4"/>
        <v>0</v>
      </c>
    </row>
    <row r="14" spans="1:14" ht="15" customHeight="1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  <c r="N14">
        <f t="shared" si="4"/>
        <v>0</v>
      </c>
    </row>
    <row r="15" spans="1:14" ht="15" customHeight="1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  <c r="N15">
        <f t="shared" si="4"/>
        <v>0</v>
      </c>
    </row>
    <row r="16" spans="1:14" ht="15" customHeight="1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  <c r="N16">
        <f t="shared" si="4"/>
        <v>0</v>
      </c>
    </row>
    <row r="17" spans="1:14" ht="15" customHeight="1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  <c r="N17">
        <f t="shared" si="4"/>
        <v>0</v>
      </c>
    </row>
    <row r="18" spans="1:14" ht="15" customHeight="1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  <c r="N18">
        <f t="shared" si="4"/>
        <v>0</v>
      </c>
    </row>
    <row r="19" spans="1:14" ht="15" customHeight="1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f t="shared" si="0"/>
        <v>0</v>
      </c>
      <c r="K19">
        <f t="shared" si="1"/>
        <v>1</v>
      </c>
      <c r="L19">
        <f t="shared" si="2"/>
        <v>0</v>
      </c>
      <c r="M19">
        <f t="shared" si="3"/>
        <v>0</v>
      </c>
      <c r="N19">
        <f t="shared" si="4"/>
        <v>1</v>
      </c>
    </row>
    <row r="20" spans="1:14" ht="15" customHeight="1" x14ac:dyDescent="0.25">
      <c r="A20" t="s">
        <v>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1</v>
      </c>
      <c r="L20">
        <f t="shared" si="2"/>
        <v>0</v>
      </c>
      <c r="M20">
        <f t="shared" si="3"/>
        <v>0</v>
      </c>
      <c r="N20">
        <f t="shared" si="4"/>
        <v>1</v>
      </c>
    </row>
    <row r="21" spans="1:14" ht="15" customHeight="1" x14ac:dyDescent="0.25">
      <c r="A21" t="s">
        <v>24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>
        <f t="shared" si="1"/>
        <v>1</v>
      </c>
      <c r="L21">
        <f t="shared" si="2"/>
        <v>0</v>
      </c>
      <c r="M21">
        <f t="shared" si="3"/>
        <v>0</v>
      </c>
      <c r="N21">
        <f t="shared" si="4"/>
        <v>1</v>
      </c>
    </row>
    <row r="22" spans="1:14" ht="15" customHeight="1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  <c r="N22">
        <f t="shared" si="4"/>
        <v>0</v>
      </c>
    </row>
    <row r="23" spans="1:14" ht="15" customHeight="1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  <c r="N23">
        <f t="shared" si="4"/>
        <v>0</v>
      </c>
    </row>
    <row r="24" spans="1:14" ht="15" customHeight="1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  <c r="N24">
        <f t="shared" si="4"/>
        <v>0</v>
      </c>
    </row>
    <row r="25" spans="1:14" ht="15" customHeight="1" x14ac:dyDescent="0.25">
      <c r="A25" t="s">
        <v>28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 t="shared" si="0"/>
        <v>0</v>
      </c>
      <c r="K25">
        <f t="shared" si="1"/>
        <v>1</v>
      </c>
      <c r="L25">
        <f t="shared" si="2"/>
        <v>0</v>
      </c>
      <c r="M25">
        <f t="shared" si="3"/>
        <v>0</v>
      </c>
      <c r="N25">
        <f t="shared" si="4"/>
        <v>1</v>
      </c>
    </row>
    <row r="26" spans="1:14" ht="15" customHeight="1" x14ac:dyDescent="0.25">
      <c r="A26" t="s">
        <v>29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f t="shared" si="0"/>
        <v>2</v>
      </c>
      <c r="K26">
        <f t="shared" si="1"/>
        <v>0</v>
      </c>
      <c r="L26">
        <f t="shared" si="2"/>
        <v>0</v>
      </c>
      <c r="M26">
        <f t="shared" si="3"/>
        <v>0</v>
      </c>
      <c r="N26">
        <f t="shared" si="4"/>
        <v>0</v>
      </c>
    </row>
    <row r="27" spans="1:14" ht="15" customHeight="1" x14ac:dyDescent="0.25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N27">
        <f t="shared" si="4"/>
        <v>0</v>
      </c>
    </row>
    <row r="28" spans="1:14" ht="15" customHeight="1" x14ac:dyDescent="0.25">
      <c r="A28" t="s">
        <v>31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K28">
        <f t="shared" si="1"/>
        <v>1</v>
      </c>
      <c r="L28">
        <f t="shared" si="2"/>
        <v>0</v>
      </c>
      <c r="M28">
        <f t="shared" si="3"/>
        <v>0</v>
      </c>
      <c r="N28">
        <f t="shared" si="4"/>
        <v>1</v>
      </c>
    </row>
    <row r="29" spans="1:14" ht="15" customHeight="1" x14ac:dyDescent="0.25">
      <c r="A29" t="s">
        <v>32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f t="shared" si="0"/>
        <v>1</v>
      </c>
      <c r="K29">
        <f t="shared" si="1"/>
        <v>0</v>
      </c>
      <c r="L29">
        <f t="shared" si="2"/>
        <v>0</v>
      </c>
      <c r="M29">
        <f t="shared" si="3"/>
        <v>0</v>
      </c>
      <c r="N29">
        <f t="shared" si="4"/>
        <v>0</v>
      </c>
    </row>
    <row r="30" spans="1:14" ht="15" customHeight="1" x14ac:dyDescent="0.25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  <c r="N30">
        <f t="shared" si="4"/>
        <v>0</v>
      </c>
    </row>
    <row r="31" spans="1:14" ht="15" customHeight="1" x14ac:dyDescent="0.25">
      <c r="A31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  <c r="N31">
        <f t="shared" si="4"/>
        <v>0</v>
      </c>
    </row>
    <row r="32" spans="1:14" ht="15" customHeight="1" x14ac:dyDescent="0.25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  <c r="N32">
        <f t="shared" si="4"/>
        <v>0</v>
      </c>
    </row>
    <row r="33" spans="1:14" ht="15" customHeight="1" x14ac:dyDescent="0.25">
      <c r="A33" t="s">
        <v>36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f t="shared" si="0"/>
        <v>0</v>
      </c>
      <c r="K33">
        <f t="shared" si="1"/>
        <v>1</v>
      </c>
      <c r="L33">
        <f t="shared" si="2"/>
        <v>0</v>
      </c>
      <c r="M33">
        <f t="shared" si="3"/>
        <v>0</v>
      </c>
      <c r="N33">
        <f t="shared" si="4"/>
        <v>1</v>
      </c>
    </row>
    <row r="34" spans="1:14" ht="15" customHeight="1" x14ac:dyDescent="0.25">
      <c r="A34" t="s">
        <v>37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f t="shared" si="0"/>
        <v>2</v>
      </c>
      <c r="K34">
        <f t="shared" si="1"/>
        <v>0</v>
      </c>
      <c r="L34">
        <f t="shared" si="2"/>
        <v>0</v>
      </c>
      <c r="M34">
        <f t="shared" si="3"/>
        <v>0</v>
      </c>
      <c r="N34">
        <f t="shared" si="4"/>
        <v>0</v>
      </c>
    </row>
    <row r="35" spans="1:14" ht="15" customHeight="1" x14ac:dyDescent="0.25">
      <c r="A35" t="s">
        <v>38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f t="shared" si="0"/>
        <v>1</v>
      </c>
      <c r="K35">
        <f t="shared" si="1"/>
        <v>0</v>
      </c>
      <c r="L35">
        <f t="shared" si="2"/>
        <v>0</v>
      </c>
      <c r="M35">
        <f t="shared" si="3"/>
        <v>0</v>
      </c>
      <c r="N35">
        <f t="shared" si="4"/>
        <v>0</v>
      </c>
    </row>
    <row r="36" spans="1:14" ht="15" customHeight="1" x14ac:dyDescent="0.25">
      <c r="A36" t="s">
        <v>39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f t="shared" si="0"/>
        <v>2</v>
      </c>
      <c r="K36">
        <f t="shared" si="1"/>
        <v>2</v>
      </c>
      <c r="L36">
        <f t="shared" si="2"/>
        <v>0</v>
      </c>
      <c r="M36">
        <f t="shared" si="3"/>
        <v>0</v>
      </c>
      <c r="N36">
        <f t="shared" si="4"/>
        <v>2</v>
      </c>
    </row>
    <row r="37" spans="1:14" ht="15" customHeight="1" x14ac:dyDescent="0.25">
      <c r="A37" t="s">
        <v>40</v>
      </c>
      <c r="B37">
        <v>2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f t="shared" si="0"/>
        <v>2</v>
      </c>
      <c r="K37">
        <f t="shared" si="1"/>
        <v>2</v>
      </c>
      <c r="L37">
        <f t="shared" si="2"/>
        <v>0</v>
      </c>
      <c r="M37">
        <f t="shared" si="3"/>
        <v>0</v>
      </c>
      <c r="N37">
        <f t="shared" si="4"/>
        <v>2</v>
      </c>
    </row>
    <row r="38" spans="1:14" ht="15" customHeight="1" x14ac:dyDescent="0.25">
      <c r="A38" t="s">
        <v>41</v>
      </c>
      <c r="B38">
        <v>1</v>
      </c>
      <c r="C38">
        <v>0</v>
      </c>
      <c r="D38">
        <v>0</v>
      </c>
      <c r="E38">
        <v>0</v>
      </c>
      <c r="F38">
        <v>4</v>
      </c>
      <c r="G38">
        <v>0</v>
      </c>
      <c r="H38">
        <v>1</v>
      </c>
      <c r="I38">
        <v>0</v>
      </c>
      <c r="J38">
        <f t="shared" si="0"/>
        <v>4</v>
      </c>
      <c r="K38">
        <f t="shared" si="1"/>
        <v>2</v>
      </c>
      <c r="L38">
        <f t="shared" si="2"/>
        <v>0</v>
      </c>
      <c r="M38">
        <f t="shared" si="3"/>
        <v>0</v>
      </c>
      <c r="N38">
        <f t="shared" si="4"/>
        <v>2</v>
      </c>
    </row>
    <row r="39" spans="1:14" ht="15" customHeight="1" x14ac:dyDescent="0.25">
      <c r="A39" t="s">
        <v>42</v>
      </c>
      <c r="B39">
        <v>0</v>
      </c>
      <c r="C39">
        <v>0</v>
      </c>
      <c r="D39">
        <v>0</v>
      </c>
      <c r="E39">
        <v>0</v>
      </c>
      <c r="F39">
        <v>2</v>
      </c>
      <c r="G39">
        <v>0</v>
      </c>
      <c r="H39">
        <v>1</v>
      </c>
      <c r="I39">
        <v>0</v>
      </c>
      <c r="J39">
        <f t="shared" si="0"/>
        <v>2</v>
      </c>
      <c r="K39">
        <f t="shared" si="1"/>
        <v>1</v>
      </c>
      <c r="L39">
        <f t="shared" si="2"/>
        <v>0</v>
      </c>
      <c r="M39">
        <f t="shared" si="3"/>
        <v>0</v>
      </c>
      <c r="N39">
        <f t="shared" si="4"/>
        <v>1</v>
      </c>
    </row>
    <row r="40" spans="1:14" ht="15" customHeight="1" x14ac:dyDescent="0.25">
      <c r="A40" t="s">
        <v>43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1</v>
      </c>
      <c r="K40">
        <f t="shared" si="1"/>
        <v>0</v>
      </c>
      <c r="L40">
        <f t="shared" si="2"/>
        <v>0</v>
      </c>
      <c r="M40">
        <f t="shared" si="3"/>
        <v>0</v>
      </c>
      <c r="N40">
        <f t="shared" si="4"/>
        <v>0</v>
      </c>
    </row>
    <row r="41" spans="1:14" ht="15" customHeight="1" x14ac:dyDescent="0.25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  <c r="I41">
        <v>0</v>
      </c>
      <c r="J41">
        <f t="shared" si="0"/>
        <v>0</v>
      </c>
      <c r="K41">
        <f t="shared" si="1"/>
        <v>3</v>
      </c>
      <c r="L41">
        <f t="shared" si="2"/>
        <v>0</v>
      </c>
      <c r="M41">
        <f t="shared" si="3"/>
        <v>0</v>
      </c>
      <c r="N41">
        <f t="shared" si="4"/>
        <v>3</v>
      </c>
    </row>
    <row r="42" spans="1:14" ht="15" customHeight="1" x14ac:dyDescent="0.25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f t="shared" ref="J42:J73" si="5">SUM(D42,F42)</f>
        <v>0</v>
      </c>
      <c r="K42">
        <f t="shared" ref="K42:K73" si="6">SUM(B42,H42)</f>
        <v>3</v>
      </c>
      <c r="L42">
        <f t="shared" ref="L42:L73" si="7">SUM(E42,G42)</f>
        <v>0</v>
      </c>
      <c r="M42">
        <f t="shared" ref="M42:M73" si="8">SUM(C42,I42)</f>
        <v>0</v>
      </c>
      <c r="N42">
        <f t="shared" si="4"/>
        <v>3</v>
      </c>
    </row>
    <row r="43" spans="1:14" ht="15" customHeight="1" x14ac:dyDescent="0.25">
      <c r="A43" t="s">
        <v>46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2</v>
      </c>
      <c r="I43">
        <v>0</v>
      </c>
      <c r="J43">
        <f t="shared" si="5"/>
        <v>1</v>
      </c>
      <c r="K43">
        <f t="shared" si="6"/>
        <v>2</v>
      </c>
      <c r="L43">
        <f t="shared" si="7"/>
        <v>0</v>
      </c>
      <c r="M43">
        <f t="shared" si="8"/>
        <v>0</v>
      </c>
      <c r="N43">
        <f t="shared" si="4"/>
        <v>2</v>
      </c>
    </row>
    <row r="44" spans="1:14" ht="15" customHeight="1" x14ac:dyDescent="0.25">
      <c r="A44" t="s">
        <v>47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f t="shared" si="5"/>
        <v>0</v>
      </c>
      <c r="K44">
        <f t="shared" si="6"/>
        <v>3</v>
      </c>
      <c r="L44">
        <f t="shared" si="7"/>
        <v>0</v>
      </c>
      <c r="M44">
        <f t="shared" si="8"/>
        <v>0</v>
      </c>
      <c r="N44">
        <f t="shared" si="4"/>
        <v>3</v>
      </c>
    </row>
    <row r="45" spans="1:14" ht="15" customHeight="1" x14ac:dyDescent="0.25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f t="shared" si="5"/>
        <v>0</v>
      </c>
      <c r="K45">
        <f t="shared" si="6"/>
        <v>2</v>
      </c>
      <c r="L45">
        <f t="shared" si="7"/>
        <v>0</v>
      </c>
      <c r="M45">
        <f t="shared" si="8"/>
        <v>0</v>
      </c>
      <c r="N45">
        <f t="shared" si="4"/>
        <v>2</v>
      </c>
    </row>
    <row r="46" spans="1:14" ht="15" customHeight="1" x14ac:dyDescent="0.25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f t="shared" si="5"/>
        <v>0</v>
      </c>
      <c r="K46">
        <f t="shared" si="6"/>
        <v>0</v>
      </c>
      <c r="L46">
        <f t="shared" si="7"/>
        <v>0</v>
      </c>
      <c r="M46">
        <f t="shared" si="8"/>
        <v>0</v>
      </c>
      <c r="N46">
        <f t="shared" si="4"/>
        <v>0</v>
      </c>
    </row>
    <row r="47" spans="1:14" ht="15" customHeight="1" x14ac:dyDescent="0.25">
      <c r="A47" t="s">
        <v>50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f t="shared" si="5"/>
        <v>2</v>
      </c>
      <c r="K47">
        <f t="shared" si="6"/>
        <v>0</v>
      </c>
      <c r="L47">
        <f t="shared" si="7"/>
        <v>0</v>
      </c>
      <c r="M47">
        <f t="shared" si="8"/>
        <v>0</v>
      </c>
      <c r="N47">
        <f t="shared" si="4"/>
        <v>0</v>
      </c>
    </row>
    <row r="48" spans="1:14" ht="15" customHeight="1" x14ac:dyDescent="0.25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f t="shared" si="5"/>
        <v>0</v>
      </c>
      <c r="K48">
        <f t="shared" si="6"/>
        <v>0</v>
      </c>
      <c r="L48">
        <f t="shared" si="7"/>
        <v>0</v>
      </c>
      <c r="M48">
        <f t="shared" si="8"/>
        <v>0</v>
      </c>
      <c r="N48">
        <f t="shared" si="4"/>
        <v>0</v>
      </c>
    </row>
    <row r="49" spans="1:14" ht="15" customHeight="1" x14ac:dyDescent="0.25">
      <c r="A49" t="s">
        <v>52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f t="shared" si="5"/>
        <v>2</v>
      </c>
      <c r="K49">
        <f t="shared" si="6"/>
        <v>0</v>
      </c>
      <c r="L49">
        <f t="shared" si="7"/>
        <v>0</v>
      </c>
      <c r="M49">
        <f t="shared" si="8"/>
        <v>0</v>
      </c>
      <c r="N49">
        <f t="shared" si="4"/>
        <v>0</v>
      </c>
    </row>
    <row r="50" spans="1:14" ht="15" customHeight="1" x14ac:dyDescent="0.25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f t="shared" si="5"/>
        <v>0</v>
      </c>
      <c r="K50">
        <f t="shared" si="6"/>
        <v>0</v>
      </c>
      <c r="L50">
        <f t="shared" si="7"/>
        <v>0</v>
      </c>
      <c r="M50">
        <f t="shared" si="8"/>
        <v>0</v>
      </c>
      <c r="N50">
        <f t="shared" si="4"/>
        <v>0</v>
      </c>
    </row>
    <row r="51" spans="1:14" ht="15" customHeight="1" x14ac:dyDescent="0.25">
      <c r="A51" t="s">
        <v>54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f t="shared" si="5"/>
        <v>1</v>
      </c>
      <c r="K51">
        <f t="shared" si="6"/>
        <v>2</v>
      </c>
      <c r="L51">
        <f t="shared" si="7"/>
        <v>0</v>
      </c>
      <c r="M51">
        <f t="shared" si="8"/>
        <v>0</v>
      </c>
      <c r="N51">
        <f t="shared" si="4"/>
        <v>2</v>
      </c>
    </row>
    <row r="52" spans="1:14" ht="15" customHeight="1" x14ac:dyDescent="0.25">
      <c r="A52" t="s">
        <v>55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  <c r="J52">
        <f t="shared" si="5"/>
        <v>2</v>
      </c>
      <c r="K52">
        <f t="shared" si="6"/>
        <v>1</v>
      </c>
      <c r="L52">
        <f t="shared" si="7"/>
        <v>0</v>
      </c>
      <c r="M52">
        <f t="shared" si="8"/>
        <v>0</v>
      </c>
      <c r="N52">
        <f t="shared" si="4"/>
        <v>1</v>
      </c>
    </row>
    <row r="53" spans="1:14" ht="15" customHeight="1" x14ac:dyDescent="0.25">
      <c r="A53" t="s">
        <v>56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f t="shared" si="5"/>
        <v>1</v>
      </c>
      <c r="K53">
        <f t="shared" si="6"/>
        <v>1</v>
      </c>
      <c r="L53">
        <f t="shared" si="7"/>
        <v>0</v>
      </c>
      <c r="M53">
        <f t="shared" si="8"/>
        <v>0</v>
      </c>
      <c r="N53">
        <f t="shared" si="4"/>
        <v>1</v>
      </c>
    </row>
    <row r="54" spans="1:14" ht="15" customHeight="1" x14ac:dyDescent="0.25">
      <c r="A54" t="s">
        <v>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5"/>
        <v>0</v>
      </c>
      <c r="K54">
        <f t="shared" si="6"/>
        <v>0</v>
      </c>
      <c r="L54">
        <f t="shared" si="7"/>
        <v>0</v>
      </c>
      <c r="M54">
        <f t="shared" si="8"/>
        <v>0</v>
      </c>
      <c r="N54">
        <f t="shared" si="4"/>
        <v>0</v>
      </c>
    </row>
    <row r="55" spans="1:14" ht="15" customHeight="1" x14ac:dyDescent="0.25">
      <c r="A55" t="s">
        <v>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5"/>
        <v>0</v>
      </c>
      <c r="K55">
        <f t="shared" si="6"/>
        <v>0</v>
      </c>
      <c r="L55">
        <f t="shared" si="7"/>
        <v>0</v>
      </c>
      <c r="M55">
        <f t="shared" si="8"/>
        <v>0</v>
      </c>
      <c r="N55">
        <f t="shared" si="4"/>
        <v>0</v>
      </c>
    </row>
    <row r="56" spans="1:14" ht="15" customHeight="1" x14ac:dyDescent="0.25">
      <c r="A56" t="s">
        <v>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f t="shared" si="5"/>
        <v>0</v>
      </c>
      <c r="K56">
        <f t="shared" si="6"/>
        <v>0</v>
      </c>
      <c r="L56">
        <f t="shared" si="7"/>
        <v>0</v>
      </c>
      <c r="M56">
        <f t="shared" si="8"/>
        <v>0</v>
      </c>
      <c r="N56">
        <f t="shared" si="4"/>
        <v>0</v>
      </c>
    </row>
    <row r="57" spans="1:14" ht="15" customHeight="1" x14ac:dyDescent="0.25">
      <c r="A57" t="s">
        <v>60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f t="shared" si="5"/>
        <v>0</v>
      </c>
      <c r="K57">
        <f t="shared" si="6"/>
        <v>0</v>
      </c>
      <c r="L57">
        <f t="shared" si="7"/>
        <v>0</v>
      </c>
      <c r="M57">
        <f t="shared" si="8"/>
        <v>0</v>
      </c>
      <c r="N57">
        <f t="shared" si="4"/>
        <v>0</v>
      </c>
    </row>
    <row r="58" spans="1:14" ht="15" customHeight="1" x14ac:dyDescent="0.25">
      <c r="A58" t="s">
        <v>61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f t="shared" si="5"/>
        <v>1</v>
      </c>
      <c r="K58">
        <f t="shared" si="6"/>
        <v>0</v>
      </c>
      <c r="L58">
        <f t="shared" si="7"/>
        <v>0</v>
      </c>
      <c r="M58">
        <f t="shared" si="8"/>
        <v>0</v>
      </c>
      <c r="N58">
        <f t="shared" si="4"/>
        <v>0</v>
      </c>
    </row>
    <row r="59" spans="1:14" ht="15" customHeight="1" x14ac:dyDescent="0.25">
      <c r="A59" t="s">
        <v>62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5"/>
        <v>0</v>
      </c>
      <c r="K59">
        <f t="shared" si="6"/>
        <v>0</v>
      </c>
      <c r="L59">
        <f t="shared" si="7"/>
        <v>0</v>
      </c>
      <c r="M59">
        <f t="shared" si="8"/>
        <v>0</v>
      </c>
      <c r="N59">
        <f t="shared" si="4"/>
        <v>0</v>
      </c>
    </row>
    <row r="60" spans="1:14" ht="15" customHeight="1" x14ac:dyDescent="0.25">
      <c r="A60" t="s">
        <v>63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f t="shared" si="5"/>
        <v>0</v>
      </c>
      <c r="K60">
        <f t="shared" si="6"/>
        <v>0</v>
      </c>
      <c r="L60">
        <f t="shared" si="7"/>
        <v>0</v>
      </c>
      <c r="M60">
        <f t="shared" si="8"/>
        <v>0</v>
      </c>
      <c r="N60">
        <f t="shared" si="4"/>
        <v>0</v>
      </c>
    </row>
    <row r="61" spans="1:14" ht="15" customHeight="1" x14ac:dyDescent="0.25">
      <c r="A61" t="s">
        <v>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5"/>
        <v>0</v>
      </c>
      <c r="K61">
        <f t="shared" si="6"/>
        <v>0</v>
      </c>
      <c r="L61">
        <f t="shared" si="7"/>
        <v>0</v>
      </c>
      <c r="M61">
        <f t="shared" si="8"/>
        <v>0</v>
      </c>
      <c r="N61">
        <f t="shared" si="4"/>
        <v>0</v>
      </c>
    </row>
    <row r="62" spans="1:14" ht="15" customHeight="1" x14ac:dyDescent="0.25">
      <c r="A62" t="s">
        <v>65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5"/>
        <v>0</v>
      </c>
      <c r="K62">
        <f t="shared" si="6"/>
        <v>0</v>
      </c>
      <c r="L62">
        <f t="shared" si="7"/>
        <v>0</v>
      </c>
      <c r="M62">
        <f t="shared" si="8"/>
        <v>0</v>
      </c>
      <c r="N62">
        <f t="shared" si="4"/>
        <v>0</v>
      </c>
    </row>
    <row r="63" spans="1:14" ht="15" customHeight="1" x14ac:dyDescent="0.25">
      <c r="A63" t="s">
        <v>66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5"/>
        <v>2</v>
      </c>
      <c r="K63">
        <f t="shared" si="6"/>
        <v>0</v>
      </c>
      <c r="L63">
        <f t="shared" si="7"/>
        <v>0</v>
      </c>
      <c r="M63">
        <f t="shared" si="8"/>
        <v>0</v>
      </c>
      <c r="N63">
        <f t="shared" si="4"/>
        <v>0</v>
      </c>
    </row>
    <row r="64" spans="1:14" ht="15" customHeight="1" x14ac:dyDescent="0.25">
      <c r="A64" t="s">
        <v>67</v>
      </c>
      <c r="B64">
        <v>0</v>
      </c>
      <c r="C64">
        <v>0</v>
      </c>
      <c r="D64">
        <v>0</v>
      </c>
      <c r="E64">
        <v>0</v>
      </c>
      <c r="F64">
        <v>2</v>
      </c>
      <c r="G64">
        <v>0</v>
      </c>
      <c r="H64">
        <v>5</v>
      </c>
      <c r="I64">
        <v>0</v>
      </c>
      <c r="J64">
        <f t="shared" si="5"/>
        <v>2</v>
      </c>
      <c r="K64">
        <f t="shared" si="6"/>
        <v>5</v>
      </c>
      <c r="L64">
        <f t="shared" si="7"/>
        <v>0</v>
      </c>
      <c r="M64">
        <f t="shared" si="8"/>
        <v>0</v>
      </c>
      <c r="N64">
        <f t="shared" si="4"/>
        <v>5</v>
      </c>
    </row>
    <row r="65" spans="1:14" ht="15" customHeight="1" x14ac:dyDescent="0.25">
      <c r="A65" t="s">
        <v>68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3</v>
      </c>
      <c r="I65">
        <v>0</v>
      </c>
      <c r="J65">
        <f t="shared" si="5"/>
        <v>1</v>
      </c>
      <c r="K65">
        <f t="shared" si="6"/>
        <v>3</v>
      </c>
      <c r="L65">
        <f t="shared" si="7"/>
        <v>0</v>
      </c>
      <c r="M65">
        <f t="shared" si="8"/>
        <v>0</v>
      </c>
      <c r="N65">
        <f t="shared" si="4"/>
        <v>3</v>
      </c>
    </row>
    <row r="66" spans="1:14" ht="15" customHeight="1" x14ac:dyDescent="0.25">
      <c r="A66" t="s">
        <v>69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f t="shared" si="5"/>
        <v>0</v>
      </c>
      <c r="K66">
        <f t="shared" si="6"/>
        <v>0</v>
      </c>
      <c r="L66">
        <f t="shared" si="7"/>
        <v>0</v>
      </c>
      <c r="M66">
        <f t="shared" si="8"/>
        <v>0</v>
      </c>
      <c r="N66">
        <f t="shared" si="4"/>
        <v>0</v>
      </c>
    </row>
    <row r="67" spans="1:14" ht="15" customHeight="1" x14ac:dyDescent="0.25">
      <c r="A67" t="s">
        <v>70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4</v>
      </c>
      <c r="I67">
        <v>0</v>
      </c>
      <c r="J67">
        <f t="shared" si="5"/>
        <v>1</v>
      </c>
      <c r="K67">
        <f t="shared" si="6"/>
        <v>4</v>
      </c>
      <c r="L67">
        <f t="shared" si="7"/>
        <v>0</v>
      </c>
      <c r="M67">
        <f t="shared" si="8"/>
        <v>0</v>
      </c>
      <c r="N67">
        <f t="shared" si="4"/>
        <v>4</v>
      </c>
    </row>
    <row r="68" spans="1:14" ht="15" customHeight="1" x14ac:dyDescent="0.25">
      <c r="A68" t="s">
        <v>71</v>
      </c>
      <c r="B68">
        <v>1</v>
      </c>
      <c r="C68">
        <v>0</v>
      </c>
      <c r="D68">
        <v>0</v>
      </c>
      <c r="E68">
        <v>0</v>
      </c>
      <c r="F68">
        <v>3</v>
      </c>
      <c r="G68">
        <v>0</v>
      </c>
      <c r="H68">
        <v>2</v>
      </c>
      <c r="I68">
        <v>0</v>
      </c>
      <c r="J68">
        <f t="shared" si="5"/>
        <v>3</v>
      </c>
      <c r="K68">
        <f t="shared" si="6"/>
        <v>3</v>
      </c>
      <c r="L68">
        <f t="shared" si="7"/>
        <v>0</v>
      </c>
      <c r="M68">
        <f t="shared" si="8"/>
        <v>0</v>
      </c>
      <c r="N68">
        <f t="shared" si="4"/>
        <v>3</v>
      </c>
    </row>
    <row r="69" spans="1:14" ht="15" customHeight="1" x14ac:dyDescent="0.25">
      <c r="A69" t="s">
        <v>72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f t="shared" si="5"/>
        <v>0</v>
      </c>
      <c r="K69">
        <f t="shared" si="6"/>
        <v>2</v>
      </c>
      <c r="L69">
        <f t="shared" si="7"/>
        <v>0</v>
      </c>
      <c r="M69">
        <f t="shared" si="8"/>
        <v>0</v>
      </c>
      <c r="N69">
        <f t="shared" si="4"/>
        <v>2</v>
      </c>
    </row>
    <row r="70" spans="1:14" ht="15" customHeight="1" x14ac:dyDescent="0.25">
      <c r="A70" t="s">
        <v>73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5</v>
      </c>
      <c r="I70">
        <v>0</v>
      </c>
      <c r="J70">
        <f t="shared" si="5"/>
        <v>1</v>
      </c>
      <c r="K70">
        <f t="shared" si="6"/>
        <v>5</v>
      </c>
      <c r="L70">
        <f t="shared" si="7"/>
        <v>0</v>
      </c>
      <c r="M70">
        <f t="shared" si="8"/>
        <v>0</v>
      </c>
      <c r="N70">
        <f t="shared" si="4"/>
        <v>5</v>
      </c>
    </row>
    <row r="71" spans="1:14" ht="15" customHeight="1" x14ac:dyDescent="0.25">
      <c r="A71" t="s">
        <v>74</v>
      </c>
      <c r="B71">
        <v>0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f t="shared" si="5"/>
        <v>2</v>
      </c>
      <c r="K71">
        <f t="shared" si="6"/>
        <v>0</v>
      </c>
      <c r="L71">
        <f t="shared" si="7"/>
        <v>0</v>
      </c>
      <c r="M71">
        <f t="shared" si="8"/>
        <v>0</v>
      </c>
      <c r="N71">
        <f t="shared" si="4"/>
        <v>0</v>
      </c>
    </row>
    <row r="72" spans="1:14" ht="15" customHeight="1" x14ac:dyDescent="0.25">
      <c r="A72" t="s">
        <v>75</v>
      </c>
      <c r="B72">
        <v>1</v>
      </c>
      <c r="C72">
        <v>0</v>
      </c>
      <c r="D72">
        <v>0</v>
      </c>
      <c r="E72">
        <v>0</v>
      </c>
      <c r="F72">
        <v>10</v>
      </c>
      <c r="G72">
        <v>0</v>
      </c>
      <c r="H72">
        <v>0</v>
      </c>
      <c r="I72">
        <v>0</v>
      </c>
      <c r="J72">
        <f t="shared" si="5"/>
        <v>10</v>
      </c>
      <c r="K72">
        <f t="shared" si="6"/>
        <v>1</v>
      </c>
      <c r="L72">
        <f t="shared" si="7"/>
        <v>0</v>
      </c>
      <c r="M72">
        <f t="shared" si="8"/>
        <v>0</v>
      </c>
      <c r="N72">
        <f t="shared" si="4"/>
        <v>1</v>
      </c>
    </row>
    <row r="73" spans="1:14" ht="15" customHeight="1" x14ac:dyDescent="0.25">
      <c r="A73" t="s">
        <v>76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f t="shared" si="5"/>
        <v>0</v>
      </c>
      <c r="K73">
        <f t="shared" si="6"/>
        <v>0</v>
      </c>
      <c r="L73">
        <f t="shared" si="7"/>
        <v>0</v>
      </c>
      <c r="M73">
        <f t="shared" si="8"/>
        <v>0</v>
      </c>
      <c r="N73">
        <f t="shared" si="4"/>
        <v>0</v>
      </c>
    </row>
    <row r="74" spans="1:14" ht="15" customHeight="1" x14ac:dyDescent="0.25">
      <c r="A74" t="s">
        <v>77</v>
      </c>
      <c r="B74">
        <v>0</v>
      </c>
      <c r="C74">
        <v>0</v>
      </c>
      <c r="D74">
        <v>1</v>
      </c>
      <c r="E74">
        <v>0</v>
      </c>
      <c r="F74">
        <v>3</v>
      </c>
      <c r="G74">
        <v>0</v>
      </c>
      <c r="H74">
        <v>0</v>
      </c>
      <c r="I74">
        <v>0</v>
      </c>
      <c r="J74">
        <f t="shared" ref="J74:J105" si="9">SUM(D74,F74)</f>
        <v>4</v>
      </c>
      <c r="K74">
        <f t="shared" ref="K74:K105" si="10">SUM(B74,H74)</f>
        <v>0</v>
      </c>
      <c r="L74">
        <f t="shared" ref="L74:L105" si="11">SUM(E74,G74)</f>
        <v>0</v>
      </c>
      <c r="M74">
        <f t="shared" ref="M74:M105" si="12">SUM(C74,I74)</f>
        <v>0</v>
      </c>
      <c r="N74">
        <f t="shared" si="4"/>
        <v>0</v>
      </c>
    </row>
    <row r="75" spans="1:14" ht="15" customHeight="1" x14ac:dyDescent="0.25">
      <c r="A75" t="s">
        <v>78</v>
      </c>
      <c r="B75">
        <v>0</v>
      </c>
      <c r="C75">
        <v>0</v>
      </c>
      <c r="D75">
        <v>1</v>
      </c>
      <c r="E75">
        <v>0</v>
      </c>
      <c r="F75">
        <v>2</v>
      </c>
      <c r="G75">
        <v>0</v>
      </c>
      <c r="H75">
        <v>0</v>
      </c>
      <c r="I75">
        <v>0</v>
      </c>
      <c r="J75">
        <f t="shared" si="9"/>
        <v>3</v>
      </c>
      <c r="K75">
        <f t="shared" si="10"/>
        <v>0</v>
      </c>
      <c r="L75">
        <f t="shared" si="11"/>
        <v>0</v>
      </c>
      <c r="M75">
        <f t="shared" si="12"/>
        <v>0</v>
      </c>
      <c r="N75">
        <f t="shared" ref="N75:N138" si="13">K75+M75</f>
        <v>0</v>
      </c>
    </row>
    <row r="76" spans="1:14" ht="15" customHeight="1" x14ac:dyDescent="0.25">
      <c r="A76" t="s">
        <v>79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f t="shared" si="9"/>
        <v>0</v>
      </c>
      <c r="K76">
        <f t="shared" si="10"/>
        <v>1</v>
      </c>
      <c r="L76">
        <f t="shared" si="11"/>
        <v>0</v>
      </c>
      <c r="M76">
        <f t="shared" si="12"/>
        <v>0</v>
      </c>
      <c r="N76">
        <f t="shared" si="13"/>
        <v>1</v>
      </c>
    </row>
    <row r="77" spans="1:14" ht="15" customHeight="1" x14ac:dyDescent="0.25">
      <c r="A77" t="s">
        <v>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f t="shared" si="9"/>
        <v>0</v>
      </c>
      <c r="K77">
        <f t="shared" si="10"/>
        <v>1</v>
      </c>
      <c r="L77">
        <f t="shared" si="11"/>
        <v>0</v>
      </c>
      <c r="M77">
        <f t="shared" si="12"/>
        <v>0</v>
      </c>
      <c r="N77">
        <f t="shared" si="13"/>
        <v>1</v>
      </c>
    </row>
    <row r="78" spans="1:14" ht="15" customHeight="1" x14ac:dyDescent="0.25">
      <c r="A78" t="s">
        <v>81</v>
      </c>
      <c r="B78">
        <v>0</v>
      </c>
      <c r="C78">
        <v>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f t="shared" si="9"/>
        <v>2</v>
      </c>
      <c r="K78">
        <f t="shared" si="10"/>
        <v>1</v>
      </c>
      <c r="L78">
        <f t="shared" si="11"/>
        <v>0</v>
      </c>
      <c r="M78">
        <f t="shared" si="12"/>
        <v>0</v>
      </c>
      <c r="N78">
        <f t="shared" si="13"/>
        <v>1</v>
      </c>
    </row>
    <row r="79" spans="1:14" ht="15" customHeight="1" x14ac:dyDescent="0.25">
      <c r="A79" t="s">
        <v>82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f t="shared" si="9"/>
        <v>0</v>
      </c>
      <c r="K79">
        <f t="shared" si="10"/>
        <v>1</v>
      </c>
      <c r="L79">
        <f t="shared" si="11"/>
        <v>0</v>
      </c>
      <c r="M79">
        <f t="shared" si="12"/>
        <v>0</v>
      </c>
      <c r="N79">
        <f t="shared" si="13"/>
        <v>1</v>
      </c>
    </row>
    <row r="80" spans="1:14" ht="15" customHeight="1" x14ac:dyDescent="0.25">
      <c r="A80" t="s">
        <v>83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f t="shared" si="9"/>
        <v>0</v>
      </c>
      <c r="K80">
        <f t="shared" si="10"/>
        <v>1</v>
      </c>
      <c r="L80">
        <f t="shared" si="11"/>
        <v>0</v>
      </c>
      <c r="M80">
        <f t="shared" si="12"/>
        <v>0</v>
      </c>
      <c r="N80">
        <f t="shared" si="13"/>
        <v>1</v>
      </c>
    </row>
    <row r="81" spans="1:14" ht="15" customHeight="1" x14ac:dyDescent="0.25">
      <c r="A81" t="s">
        <v>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f t="shared" si="9"/>
        <v>0</v>
      </c>
      <c r="K81">
        <f t="shared" si="10"/>
        <v>1</v>
      </c>
      <c r="L81">
        <f t="shared" si="11"/>
        <v>0</v>
      </c>
      <c r="M81">
        <f t="shared" si="12"/>
        <v>0</v>
      </c>
      <c r="N81">
        <f t="shared" si="13"/>
        <v>1</v>
      </c>
    </row>
    <row r="82" spans="1:14" ht="15" customHeight="1" x14ac:dyDescent="0.25">
      <c r="A82" t="s">
        <v>85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f t="shared" si="9"/>
        <v>0</v>
      </c>
      <c r="K82">
        <f t="shared" si="10"/>
        <v>2</v>
      </c>
      <c r="L82">
        <f t="shared" si="11"/>
        <v>0</v>
      </c>
      <c r="M82">
        <f t="shared" si="12"/>
        <v>0</v>
      </c>
      <c r="N82">
        <f t="shared" si="13"/>
        <v>2</v>
      </c>
    </row>
    <row r="83" spans="1:14" ht="15" customHeight="1" x14ac:dyDescent="0.25">
      <c r="A83" t="s">
        <v>86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9"/>
        <v>0</v>
      </c>
      <c r="K83">
        <f t="shared" si="10"/>
        <v>0</v>
      </c>
      <c r="L83">
        <f t="shared" si="11"/>
        <v>0</v>
      </c>
      <c r="M83">
        <f t="shared" si="12"/>
        <v>0</v>
      </c>
      <c r="N83">
        <f t="shared" si="13"/>
        <v>0</v>
      </c>
    </row>
    <row r="84" spans="1:14" ht="15" customHeight="1" x14ac:dyDescent="0.25">
      <c r="A84" t="s">
        <v>87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f t="shared" si="9"/>
        <v>0</v>
      </c>
      <c r="K84">
        <f t="shared" si="10"/>
        <v>0</v>
      </c>
      <c r="L84">
        <f t="shared" si="11"/>
        <v>0</v>
      </c>
      <c r="M84">
        <f t="shared" si="12"/>
        <v>0</v>
      </c>
      <c r="N84">
        <f t="shared" si="13"/>
        <v>0</v>
      </c>
    </row>
    <row r="85" spans="1:14" ht="15" customHeight="1" x14ac:dyDescent="0.25">
      <c r="A85" t="s">
        <v>88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f t="shared" si="9"/>
        <v>1</v>
      </c>
      <c r="K85">
        <f t="shared" si="10"/>
        <v>1</v>
      </c>
      <c r="L85">
        <f t="shared" si="11"/>
        <v>0</v>
      </c>
      <c r="M85">
        <f t="shared" si="12"/>
        <v>0</v>
      </c>
      <c r="N85">
        <f t="shared" si="13"/>
        <v>1</v>
      </c>
    </row>
    <row r="86" spans="1:14" ht="15" customHeight="1" x14ac:dyDescent="0.25">
      <c r="A86" t="s">
        <v>89</v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f t="shared" si="9"/>
        <v>1</v>
      </c>
      <c r="K86">
        <f t="shared" si="10"/>
        <v>1</v>
      </c>
      <c r="L86">
        <f t="shared" si="11"/>
        <v>0</v>
      </c>
      <c r="M86">
        <f t="shared" si="12"/>
        <v>0</v>
      </c>
      <c r="N86">
        <f t="shared" si="13"/>
        <v>1</v>
      </c>
    </row>
    <row r="87" spans="1:14" ht="15" customHeight="1" x14ac:dyDescent="0.25">
      <c r="A87" t="s">
        <v>90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f t="shared" si="9"/>
        <v>1</v>
      </c>
      <c r="K87">
        <f t="shared" si="10"/>
        <v>1</v>
      </c>
      <c r="L87">
        <f t="shared" si="11"/>
        <v>0</v>
      </c>
      <c r="M87">
        <f t="shared" si="12"/>
        <v>0</v>
      </c>
      <c r="N87">
        <f t="shared" si="13"/>
        <v>1</v>
      </c>
    </row>
    <row r="88" spans="1:14" ht="15" customHeight="1" x14ac:dyDescent="0.25">
      <c r="A88" t="s">
        <v>91</v>
      </c>
      <c r="B88">
        <v>0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f t="shared" si="9"/>
        <v>2</v>
      </c>
      <c r="K88">
        <f t="shared" si="10"/>
        <v>0</v>
      </c>
      <c r="L88">
        <f t="shared" si="11"/>
        <v>0</v>
      </c>
      <c r="M88">
        <f t="shared" si="12"/>
        <v>0</v>
      </c>
      <c r="N88">
        <f t="shared" si="13"/>
        <v>0</v>
      </c>
    </row>
    <row r="89" spans="1:14" ht="15" customHeight="1" x14ac:dyDescent="0.25">
      <c r="A89" t="s">
        <v>92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f t="shared" si="9"/>
        <v>1</v>
      </c>
      <c r="K89">
        <f t="shared" si="10"/>
        <v>1</v>
      </c>
      <c r="L89">
        <f t="shared" si="11"/>
        <v>0</v>
      </c>
      <c r="M89">
        <f t="shared" si="12"/>
        <v>0</v>
      </c>
      <c r="N89">
        <f t="shared" si="13"/>
        <v>1</v>
      </c>
    </row>
    <row r="90" spans="1:14" ht="15" customHeight="1" x14ac:dyDescent="0.25">
      <c r="A90" t="s">
        <v>93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f t="shared" si="9"/>
        <v>0</v>
      </c>
      <c r="K90">
        <f t="shared" si="10"/>
        <v>1</v>
      </c>
      <c r="L90">
        <f t="shared" si="11"/>
        <v>1</v>
      </c>
      <c r="M90">
        <f t="shared" si="12"/>
        <v>0</v>
      </c>
      <c r="N90">
        <f t="shared" si="13"/>
        <v>1</v>
      </c>
    </row>
    <row r="91" spans="1:14" ht="15" customHeight="1" x14ac:dyDescent="0.25">
      <c r="A91" t="s">
        <v>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9"/>
        <v>0</v>
      </c>
      <c r="K91">
        <f t="shared" si="10"/>
        <v>0</v>
      </c>
      <c r="L91">
        <f t="shared" si="11"/>
        <v>0</v>
      </c>
      <c r="M91">
        <f t="shared" si="12"/>
        <v>0</v>
      </c>
      <c r="N91">
        <f t="shared" si="13"/>
        <v>0</v>
      </c>
    </row>
    <row r="92" spans="1:14" ht="15" customHeight="1" x14ac:dyDescent="0.25">
      <c r="A92" t="s">
        <v>95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f t="shared" si="9"/>
        <v>1</v>
      </c>
      <c r="K92">
        <f t="shared" si="10"/>
        <v>0</v>
      </c>
      <c r="L92">
        <f t="shared" si="11"/>
        <v>0</v>
      </c>
      <c r="M92">
        <f t="shared" si="12"/>
        <v>0</v>
      </c>
      <c r="N92">
        <f t="shared" si="13"/>
        <v>0</v>
      </c>
    </row>
    <row r="93" spans="1:14" ht="15" customHeight="1" x14ac:dyDescent="0.25">
      <c r="A93" t="s">
        <v>96</v>
      </c>
      <c r="B93">
        <v>0</v>
      </c>
      <c r="C93">
        <v>0</v>
      </c>
      <c r="D93">
        <v>2</v>
      </c>
      <c r="E93">
        <v>0</v>
      </c>
      <c r="F93">
        <v>2</v>
      </c>
      <c r="G93">
        <v>0</v>
      </c>
      <c r="H93">
        <v>0</v>
      </c>
      <c r="I93">
        <v>0</v>
      </c>
      <c r="J93">
        <f t="shared" si="9"/>
        <v>4</v>
      </c>
      <c r="K93">
        <f t="shared" si="10"/>
        <v>0</v>
      </c>
      <c r="L93">
        <f t="shared" si="11"/>
        <v>0</v>
      </c>
      <c r="M93">
        <f t="shared" si="12"/>
        <v>0</v>
      </c>
      <c r="N93">
        <f t="shared" si="13"/>
        <v>0</v>
      </c>
    </row>
    <row r="94" spans="1:14" ht="15" customHeight="1" x14ac:dyDescent="0.25">
      <c r="A94" t="s">
        <v>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f t="shared" si="9"/>
        <v>0</v>
      </c>
      <c r="K94">
        <f t="shared" si="10"/>
        <v>0</v>
      </c>
      <c r="L94">
        <f t="shared" si="11"/>
        <v>0</v>
      </c>
      <c r="M94">
        <f t="shared" si="12"/>
        <v>0</v>
      </c>
      <c r="N94">
        <f t="shared" si="13"/>
        <v>0</v>
      </c>
    </row>
    <row r="95" spans="1:14" ht="15" customHeight="1" x14ac:dyDescent="0.25">
      <c r="A95" t="s">
        <v>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f t="shared" si="9"/>
        <v>0</v>
      </c>
      <c r="K95">
        <f t="shared" si="10"/>
        <v>0</v>
      </c>
      <c r="L95">
        <f t="shared" si="11"/>
        <v>0</v>
      </c>
      <c r="M95">
        <f t="shared" si="12"/>
        <v>0</v>
      </c>
      <c r="N95">
        <f t="shared" si="13"/>
        <v>0</v>
      </c>
    </row>
    <row r="96" spans="1:14" ht="15" customHeight="1" x14ac:dyDescent="0.25">
      <c r="A96" t="s">
        <v>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f t="shared" si="9"/>
        <v>0</v>
      </c>
      <c r="K96">
        <f t="shared" si="10"/>
        <v>0</v>
      </c>
      <c r="L96">
        <f t="shared" si="11"/>
        <v>0</v>
      </c>
      <c r="M96">
        <f t="shared" si="12"/>
        <v>0</v>
      </c>
      <c r="N96">
        <f t="shared" si="13"/>
        <v>0</v>
      </c>
    </row>
    <row r="97" spans="1:14" ht="15" customHeight="1" x14ac:dyDescent="0.25">
      <c r="A97" t="s">
        <v>100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f t="shared" si="9"/>
        <v>0</v>
      </c>
      <c r="K97">
        <f t="shared" si="10"/>
        <v>1</v>
      </c>
      <c r="L97">
        <f t="shared" si="11"/>
        <v>0</v>
      </c>
      <c r="M97">
        <f t="shared" si="12"/>
        <v>0</v>
      </c>
      <c r="N97">
        <f t="shared" si="13"/>
        <v>1</v>
      </c>
    </row>
    <row r="98" spans="1:14" ht="15" customHeight="1" x14ac:dyDescent="0.25">
      <c r="A98" t="s">
        <v>101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9"/>
        <v>0</v>
      </c>
      <c r="K98">
        <f t="shared" si="10"/>
        <v>0</v>
      </c>
      <c r="L98">
        <f t="shared" si="11"/>
        <v>0</v>
      </c>
      <c r="M98">
        <f t="shared" si="12"/>
        <v>0</v>
      </c>
      <c r="N98">
        <f t="shared" si="13"/>
        <v>0</v>
      </c>
    </row>
    <row r="99" spans="1:14" ht="15" customHeight="1" x14ac:dyDescent="0.25">
      <c r="A99" t="s">
        <v>102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f t="shared" si="9"/>
        <v>1</v>
      </c>
      <c r="K99">
        <f t="shared" si="10"/>
        <v>1</v>
      </c>
      <c r="L99">
        <f t="shared" si="11"/>
        <v>0</v>
      </c>
      <c r="M99">
        <f t="shared" si="12"/>
        <v>0</v>
      </c>
      <c r="N99">
        <f t="shared" si="13"/>
        <v>1</v>
      </c>
    </row>
    <row r="100" spans="1:14" ht="15" customHeight="1" x14ac:dyDescent="0.25">
      <c r="A100" t="s">
        <v>103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9"/>
        <v>0</v>
      </c>
      <c r="K100">
        <f t="shared" si="10"/>
        <v>0</v>
      </c>
      <c r="L100">
        <f t="shared" si="11"/>
        <v>0</v>
      </c>
      <c r="M100">
        <f t="shared" si="12"/>
        <v>0</v>
      </c>
      <c r="N100">
        <f t="shared" si="13"/>
        <v>0</v>
      </c>
    </row>
    <row r="101" spans="1:14" ht="15" customHeight="1" x14ac:dyDescent="0.25">
      <c r="A101" t="s">
        <v>104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9"/>
        <v>1</v>
      </c>
      <c r="K101">
        <f t="shared" si="10"/>
        <v>0</v>
      </c>
      <c r="L101">
        <f t="shared" si="11"/>
        <v>0</v>
      </c>
      <c r="M101">
        <f t="shared" si="12"/>
        <v>0</v>
      </c>
      <c r="N101">
        <f t="shared" si="13"/>
        <v>0</v>
      </c>
    </row>
    <row r="102" spans="1:14" ht="15" customHeight="1" x14ac:dyDescent="0.25">
      <c r="A102" t="s">
        <v>105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f t="shared" si="9"/>
        <v>2</v>
      </c>
      <c r="K102">
        <f t="shared" si="10"/>
        <v>0</v>
      </c>
      <c r="L102">
        <f t="shared" si="11"/>
        <v>0</v>
      </c>
      <c r="M102">
        <f t="shared" si="12"/>
        <v>0</v>
      </c>
      <c r="N102">
        <f t="shared" si="13"/>
        <v>0</v>
      </c>
    </row>
    <row r="103" spans="1:14" ht="15" customHeight="1" x14ac:dyDescent="0.25">
      <c r="A103" t="s">
        <v>106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f t="shared" si="9"/>
        <v>0</v>
      </c>
      <c r="K103">
        <f t="shared" si="10"/>
        <v>0</v>
      </c>
      <c r="L103">
        <f t="shared" si="11"/>
        <v>0</v>
      </c>
      <c r="M103">
        <f t="shared" si="12"/>
        <v>0</v>
      </c>
      <c r="N103">
        <f t="shared" si="13"/>
        <v>0</v>
      </c>
    </row>
    <row r="104" spans="1:14" ht="15" customHeight="1" x14ac:dyDescent="0.25">
      <c r="A104" t="s">
        <v>107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f t="shared" si="9"/>
        <v>0</v>
      </c>
      <c r="K104">
        <f t="shared" si="10"/>
        <v>0</v>
      </c>
      <c r="L104">
        <f t="shared" si="11"/>
        <v>0</v>
      </c>
      <c r="M104">
        <f t="shared" si="12"/>
        <v>0</v>
      </c>
      <c r="N104">
        <f t="shared" si="13"/>
        <v>0</v>
      </c>
    </row>
    <row r="105" spans="1:14" ht="15" customHeight="1" x14ac:dyDescent="0.25">
      <c r="A105" t="s">
        <v>108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2</v>
      </c>
      <c r="I105">
        <v>0</v>
      </c>
      <c r="J105">
        <f t="shared" si="9"/>
        <v>2</v>
      </c>
      <c r="K105">
        <f t="shared" si="10"/>
        <v>2</v>
      </c>
      <c r="L105">
        <f t="shared" si="11"/>
        <v>0</v>
      </c>
      <c r="M105">
        <f t="shared" si="12"/>
        <v>0</v>
      </c>
      <c r="N105">
        <f t="shared" si="13"/>
        <v>2</v>
      </c>
    </row>
    <row r="106" spans="1:14" ht="15" customHeight="1" x14ac:dyDescent="0.25">
      <c r="A106" t="s">
        <v>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ref="J106:J137" si="14">SUM(D106,F106)</f>
        <v>0</v>
      </c>
      <c r="K106">
        <f t="shared" ref="K106:K137" si="15">SUM(B106,H106)</f>
        <v>1</v>
      </c>
      <c r="L106">
        <f t="shared" ref="L106:L137" si="16">SUM(E106,G106)</f>
        <v>0</v>
      </c>
      <c r="M106">
        <f t="shared" ref="M106:M137" si="17">SUM(C106,I106)</f>
        <v>0</v>
      </c>
      <c r="N106">
        <f t="shared" si="13"/>
        <v>1</v>
      </c>
    </row>
    <row r="107" spans="1:14" ht="15" customHeight="1" x14ac:dyDescent="0.25">
      <c r="A107" t="s">
        <v>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f t="shared" si="14"/>
        <v>0</v>
      </c>
      <c r="K107">
        <f t="shared" si="15"/>
        <v>0</v>
      </c>
      <c r="L107">
        <f t="shared" si="16"/>
        <v>0</v>
      </c>
      <c r="M107">
        <f t="shared" si="17"/>
        <v>0</v>
      </c>
      <c r="N107">
        <f t="shared" si="13"/>
        <v>0</v>
      </c>
    </row>
    <row r="108" spans="1:14" ht="15" customHeight="1" x14ac:dyDescent="0.25">
      <c r="A108" t="s">
        <v>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14"/>
        <v>0</v>
      </c>
      <c r="K108">
        <f t="shared" si="15"/>
        <v>0</v>
      </c>
      <c r="L108">
        <f t="shared" si="16"/>
        <v>0</v>
      </c>
      <c r="M108">
        <f t="shared" si="17"/>
        <v>0</v>
      </c>
      <c r="N108">
        <f t="shared" si="13"/>
        <v>0</v>
      </c>
    </row>
    <row r="109" spans="1:14" ht="15" customHeight="1" x14ac:dyDescent="0.25">
      <c r="A109" t="s">
        <v>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14"/>
        <v>0</v>
      </c>
      <c r="K109">
        <f t="shared" si="15"/>
        <v>0</v>
      </c>
      <c r="L109">
        <f t="shared" si="16"/>
        <v>0</v>
      </c>
      <c r="M109">
        <f t="shared" si="17"/>
        <v>0</v>
      </c>
      <c r="N109">
        <f t="shared" si="13"/>
        <v>0</v>
      </c>
    </row>
    <row r="110" spans="1:14" ht="15" customHeight="1" x14ac:dyDescent="0.25">
      <c r="A110" t="s">
        <v>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14"/>
        <v>0</v>
      </c>
      <c r="K110">
        <f t="shared" si="15"/>
        <v>0</v>
      </c>
      <c r="L110">
        <f t="shared" si="16"/>
        <v>0</v>
      </c>
      <c r="M110">
        <f t="shared" si="17"/>
        <v>0</v>
      </c>
      <c r="N110">
        <f t="shared" si="13"/>
        <v>0</v>
      </c>
    </row>
    <row r="111" spans="1:14" ht="15" customHeight="1" x14ac:dyDescent="0.25">
      <c r="A111" t="s">
        <v>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14"/>
        <v>0</v>
      </c>
      <c r="K111">
        <f t="shared" si="15"/>
        <v>0</v>
      </c>
      <c r="L111">
        <f t="shared" si="16"/>
        <v>0</v>
      </c>
      <c r="M111">
        <f t="shared" si="17"/>
        <v>0</v>
      </c>
      <c r="N111">
        <f t="shared" si="13"/>
        <v>0</v>
      </c>
    </row>
    <row r="112" spans="1:14" ht="15" customHeight="1" x14ac:dyDescent="0.25">
      <c r="A112" t="s">
        <v>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f t="shared" si="14"/>
        <v>0</v>
      </c>
      <c r="K112">
        <f t="shared" si="15"/>
        <v>0</v>
      </c>
      <c r="L112">
        <f t="shared" si="16"/>
        <v>0</v>
      </c>
      <c r="M112">
        <f t="shared" si="17"/>
        <v>0</v>
      </c>
      <c r="N112">
        <f t="shared" si="13"/>
        <v>0</v>
      </c>
    </row>
    <row r="113" spans="1:14" ht="15" customHeight="1" x14ac:dyDescent="0.25">
      <c r="A113" t="s">
        <v>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f t="shared" si="14"/>
        <v>0</v>
      </c>
      <c r="K113">
        <f t="shared" si="15"/>
        <v>0</v>
      </c>
      <c r="L113">
        <f t="shared" si="16"/>
        <v>0</v>
      </c>
      <c r="M113">
        <f t="shared" si="17"/>
        <v>0</v>
      </c>
      <c r="N113">
        <f t="shared" si="13"/>
        <v>0</v>
      </c>
    </row>
    <row r="114" spans="1:14" ht="15" customHeight="1" x14ac:dyDescent="0.25">
      <c r="A114" t="s">
        <v>21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14"/>
        <v>1</v>
      </c>
      <c r="K114">
        <f t="shared" si="15"/>
        <v>0</v>
      </c>
      <c r="L114">
        <f t="shared" si="16"/>
        <v>0</v>
      </c>
      <c r="M114">
        <f t="shared" si="17"/>
        <v>0</v>
      </c>
      <c r="N114">
        <f t="shared" si="13"/>
        <v>0</v>
      </c>
    </row>
    <row r="115" spans="1:14" ht="15" customHeight="1" x14ac:dyDescent="0.25">
      <c r="A115" t="s">
        <v>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f t="shared" si="14"/>
        <v>0</v>
      </c>
      <c r="K115">
        <f t="shared" si="15"/>
        <v>0</v>
      </c>
      <c r="L115">
        <f t="shared" si="16"/>
        <v>0</v>
      </c>
      <c r="M115">
        <f t="shared" si="17"/>
        <v>0</v>
      </c>
      <c r="N115">
        <f t="shared" si="13"/>
        <v>0</v>
      </c>
    </row>
    <row r="116" spans="1:14" ht="15" customHeight="1" x14ac:dyDescent="0.25">
      <c r="A116" t="s">
        <v>23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14"/>
        <v>0</v>
      </c>
      <c r="K116">
        <f t="shared" si="15"/>
        <v>1</v>
      </c>
      <c r="L116">
        <f t="shared" si="16"/>
        <v>0</v>
      </c>
      <c r="M116">
        <f t="shared" si="17"/>
        <v>0</v>
      </c>
      <c r="N116">
        <f t="shared" si="13"/>
        <v>1</v>
      </c>
    </row>
    <row r="117" spans="1:14" ht="15" customHeight="1" x14ac:dyDescent="0.25">
      <c r="A117" t="s">
        <v>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f t="shared" si="14"/>
        <v>0</v>
      </c>
      <c r="K117">
        <f t="shared" si="15"/>
        <v>0</v>
      </c>
      <c r="L117">
        <f t="shared" si="16"/>
        <v>0</v>
      </c>
      <c r="M117">
        <f t="shared" si="17"/>
        <v>0</v>
      </c>
      <c r="N117">
        <f t="shared" si="13"/>
        <v>0</v>
      </c>
    </row>
    <row r="118" spans="1:14" ht="15" customHeight="1" x14ac:dyDescent="0.25">
      <c r="A118" t="s">
        <v>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f t="shared" si="14"/>
        <v>0</v>
      </c>
      <c r="K118">
        <f t="shared" si="15"/>
        <v>0</v>
      </c>
      <c r="L118">
        <f t="shared" si="16"/>
        <v>0</v>
      </c>
      <c r="M118">
        <f t="shared" si="17"/>
        <v>0</v>
      </c>
      <c r="N118">
        <f t="shared" si="13"/>
        <v>0</v>
      </c>
    </row>
    <row r="119" spans="1:14" ht="15" customHeight="1" x14ac:dyDescent="0.25">
      <c r="A119" t="s">
        <v>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14"/>
        <v>0</v>
      </c>
      <c r="K119">
        <f t="shared" si="15"/>
        <v>0</v>
      </c>
      <c r="L119">
        <f t="shared" si="16"/>
        <v>0</v>
      </c>
      <c r="M119">
        <f t="shared" si="17"/>
        <v>0</v>
      </c>
      <c r="N119">
        <f t="shared" si="13"/>
        <v>0</v>
      </c>
    </row>
    <row r="120" spans="1:14" ht="15" customHeight="1" x14ac:dyDescent="0.25">
      <c r="A120" t="s">
        <v>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14"/>
        <v>0</v>
      </c>
      <c r="K120">
        <f t="shared" si="15"/>
        <v>0</v>
      </c>
      <c r="L120">
        <f t="shared" si="16"/>
        <v>0</v>
      </c>
      <c r="M120">
        <f t="shared" si="17"/>
        <v>0</v>
      </c>
      <c r="N120">
        <f t="shared" si="13"/>
        <v>0</v>
      </c>
    </row>
    <row r="121" spans="1:14" ht="15" customHeight="1" x14ac:dyDescent="0.25">
      <c r="A121" t="s">
        <v>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14"/>
        <v>0</v>
      </c>
      <c r="K121">
        <f t="shared" si="15"/>
        <v>0</v>
      </c>
      <c r="L121">
        <f t="shared" si="16"/>
        <v>0</v>
      </c>
      <c r="M121">
        <f t="shared" si="17"/>
        <v>0</v>
      </c>
      <c r="N121">
        <f t="shared" si="13"/>
        <v>0</v>
      </c>
    </row>
    <row r="122" spans="1:14" ht="15" customHeight="1" x14ac:dyDescent="0.25">
      <c r="A122" t="s">
        <v>29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f t="shared" si="14"/>
        <v>2</v>
      </c>
      <c r="K122">
        <f t="shared" si="15"/>
        <v>0</v>
      </c>
      <c r="L122">
        <f t="shared" si="16"/>
        <v>0</v>
      </c>
      <c r="M122">
        <f t="shared" si="17"/>
        <v>0</v>
      </c>
      <c r="N122">
        <f t="shared" si="13"/>
        <v>0</v>
      </c>
    </row>
    <row r="123" spans="1:14" ht="15" customHeight="1" x14ac:dyDescent="0.25">
      <c r="A123" t="s">
        <v>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f t="shared" si="14"/>
        <v>0</v>
      </c>
      <c r="K123">
        <f t="shared" si="15"/>
        <v>0</v>
      </c>
      <c r="L123">
        <f t="shared" si="16"/>
        <v>0</v>
      </c>
      <c r="M123">
        <f t="shared" si="17"/>
        <v>0</v>
      </c>
      <c r="N123">
        <f t="shared" si="13"/>
        <v>0</v>
      </c>
    </row>
    <row r="124" spans="1:14" ht="15" customHeight="1" x14ac:dyDescent="0.25">
      <c r="A124" t="s">
        <v>31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f t="shared" si="14"/>
        <v>1</v>
      </c>
      <c r="K124">
        <f t="shared" si="15"/>
        <v>1</v>
      </c>
      <c r="L124">
        <f t="shared" si="16"/>
        <v>0</v>
      </c>
      <c r="M124">
        <f t="shared" si="17"/>
        <v>0</v>
      </c>
      <c r="N124">
        <f t="shared" si="13"/>
        <v>1</v>
      </c>
    </row>
    <row r="125" spans="1:14" ht="15" customHeight="1" x14ac:dyDescent="0.25">
      <c r="A125" t="s">
        <v>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f t="shared" si="14"/>
        <v>0</v>
      </c>
      <c r="K125">
        <f t="shared" si="15"/>
        <v>0</v>
      </c>
      <c r="L125">
        <f t="shared" si="16"/>
        <v>0</v>
      </c>
      <c r="M125">
        <f t="shared" si="17"/>
        <v>0</v>
      </c>
      <c r="N125">
        <f t="shared" si="13"/>
        <v>0</v>
      </c>
    </row>
    <row r="126" spans="1:14" ht="15" customHeight="1" x14ac:dyDescent="0.25">
      <c r="A126" t="s">
        <v>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14"/>
        <v>0</v>
      </c>
      <c r="K126">
        <f t="shared" si="15"/>
        <v>0</v>
      </c>
      <c r="L126">
        <f t="shared" si="16"/>
        <v>0</v>
      </c>
      <c r="M126">
        <f t="shared" si="17"/>
        <v>0</v>
      </c>
      <c r="N126">
        <f t="shared" si="13"/>
        <v>0</v>
      </c>
    </row>
    <row r="127" spans="1:14" ht="15" customHeight="1" x14ac:dyDescent="0.25">
      <c r="A127" t="s">
        <v>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f t="shared" si="14"/>
        <v>0</v>
      </c>
      <c r="K127">
        <f t="shared" si="15"/>
        <v>0</v>
      </c>
      <c r="L127">
        <f t="shared" si="16"/>
        <v>0</v>
      </c>
      <c r="M127">
        <f t="shared" si="17"/>
        <v>0</v>
      </c>
      <c r="N127">
        <f t="shared" si="13"/>
        <v>0</v>
      </c>
    </row>
    <row r="128" spans="1:14" ht="15" customHeight="1" x14ac:dyDescent="0.25">
      <c r="A128" t="s">
        <v>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14"/>
        <v>0</v>
      </c>
      <c r="K128">
        <f t="shared" si="15"/>
        <v>0</v>
      </c>
      <c r="L128">
        <f t="shared" si="16"/>
        <v>0</v>
      </c>
      <c r="M128">
        <f t="shared" si="17"/>
        <v>0</v>
      </c>
      <c r="N128">
        <f t="shared" si="13"/>
        <v>0</v>
      </c>
    </row>
    <row r="129" spans="1:14" ht="15" customHeight="1" x14ac:dyDescent="0.25">
      <c r="A129" t="s">
        <v>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14"/>
        <v>0</v>
      </c>
      <c r="K129">
        <f t="shared" si="15"/>
        <v>0</v>
      </c>
      <c r="L129">
        <f t="shared" si="16"/>
        <v>0</v>
      </c>
      <c r="M129">
        <f t="shared" si="17"/>
        <v>0</v>
      </c>
      <c r="N129">
        <f t="shared" si="13"/>
        <v>0</v>
      </c>
    </row>
    <row r="130" spans="1:14" ht="15" customHeight="1" x14ac:dyDescent="0.25">
      <c r="A130" t="s">
        <v>37</v>
      </c>
      <c r="B130">
        <v>0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f t="shared" si="14"/>
        <v>2</v>
      </c>
      <c r="K130">
        <f t="shared" si="15"/>
        <v>0</v>
      </c>
      <c r="L130">
        <f t="shared" si="16"/>
        <v>0</v>
      </c>
      <c r="M130">
        <f t="shared" si="17"/>
        <v>0</v>
      </c>
      <c r="N130">
        <f t="shared" si="13"/>
        <v>0</v>
      </c>
    </row>
    <row r="131" spans="1:14" ht="15" customHeight="1" x14ac:dyDescent="0.25">
      <c r="A131" t="s">
        <v>38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0</v>
      </c>
      <c r="J131">
        <f t="shared" si="14"/>
        <v>3</v>
      </c>
      <c r="K131">
        <f t="shared" si="15"/>
        <v>0</v>
      </c>
      <c r="L131">
        <f t="shared" si="16"/>
        <v>0</v>
      </c>
      <c r="M131">
        <f t="shared" si="17"/>
        <v>0</v>
      </c>
      <c r="N131">
        <f t="shared" si="13"/>
        <v>0</v>
      </c>
    </row>
    <row r="132" spans="1:14" ht="15" customHeight="1" x14ac:dyDescent="0.25">
      <c r="A132" t="s">
        <v>39</v>
      </c>
      <c r="B132">
        <v>1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0</v>
      </c>
      <c r="J132">
        <f t="shared" si="14"/>
        <v>2</v>
      </c>
      <c r="K132">
        <f t="shared" si="15"/>
        <v>1</v>
      </c>
      <c r="L132">
        <f t="shared" si="16"/>
        <v>0</v>
      </c>
      <c r="M132">
        <f t="shared" si="17"/>
        <v>0</v>
      </c>
      <c r="N132">
        <f t="shared" si="13"/>
        <v>1</v>
      </c>
    </row>
    <row r="133" spans="1:14" ht="15" customHeight="1" x14ac:dyDescent="0.25">
      <c r="A133" t="s">
        <v>40</v>
      </c>
      <c r="B133">
        <v>3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f t="shared" si="14"/>
        <v>2</v>
      </c>
      <c r="K133">
        <f t="shared" si="15"/>
        <v>3</v>
      </c>
      <c r="L133">
        <f t="shared" si="16"/>
        <v>0</v>
      </c>
      <c r="M133">
        <f t="shared" si="17"/>
        <v>0</v>
      </c>
      <c r="N133">
        <f t="shared" si="13"/>
        <v>3</v>
      </c>
    </row>
    <row r="134" spans="1:14" ht="15" customHeight="1" x14ac:dyDescent="0.25">
      <c r="A134" t="s">
        <v>41</v>
      </c>
      <c r="B134">
        <v>0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  <c r="I134">
        <v>0</v>
      </c>
      <c r="J134">
        <f t="shared" si="14"/>
        <v>2</v>
      </c>
      <c r="K134">
        <f t="shared" si="15"/>
        <v>1</v>
      </c>
      <c r="L134">
        <f t="shared" si="16"/>
        <v>0</v>
      </c>
      <c r="M134">
        <f t="shared" si="17"/>
        <v>0</v>
      </c>
      <c r="N134">
        <f t="shared" si="13"/>
        <v>1</v>
      </c>
    </row>
    <row r="135" spans="1:14" ht="15" customHeight="1" x14ac:dyDescent="0.25">
      <c r="A135" t="s">
        <v>42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4</v>
      </c>
      <c r="I135">
        <v>0</v>
      </c>
      <c r="J135">
        <f t="shared" si="14"/>
        <v>2</v>
      </c>
      <c r="K135">
        <f t="shared" si="15"/>
        <v>4</v>
      </c>
      <c r="L135">
        <f t="shared" si="16"/>
        <v>0</v>
      </c>
      <c r="M135">
        <f t="shared" si="17"/>
        <v>0</v>
      </c>
      <c r="N135">
        <f t="shared" si="13"/>
        <v>4</v>
      </c>
    </row>
    <row r="136" spans="1:14" ht="15" customHeight="1" x14ac:dyDescent="0.25">
      <c r="A136" t="s">
        <v>43</v>
      </c>
      <c r="B136">
        <v>0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>
        <v>0</v>
      </c>
      <c r="J136">
        <f t="shared" si="14"/>
        <v>2</v>
      </c>
      <c r="K136">
        <f t="shared" si="15"/>
        <v>0</v>
      </c>
      <c r="L136">
        <f t="shared" si="16"/>
        <v>0</v>
      </c>
      <c r="M136">
        <f t="shared" si="17"/>
        <v>0</v>
      </c>
      <c r="N136">
        <f t="shared" si="13"/>
        <v>0</v>
      </c>
    </row>
    <row r="137" spans="1:14" ht="15" customHeight="1" x14ac:dyDescent="0.25">
      <c r="A137" t="s">
        <v>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f t="shared" si="14"/>
        <v>0</v>
      </c>
      <c r="K137">
        <f t="shared" si="15"/>
        <v>0</v>
      </c>
      <c r="L137">
        <f t="shared" si="16"/>
        <v>0</v>
      </c>
      <c r="M137">
        <f t="shared" si="17"/>
        <v>0</v>
      </c>
      <c r="N137">
        <f t="shared" si="13"/>
        <v>0</v>
      </c>
    </row>
    <row r="138" spans="1:14" ht="15" customHeight="1" x14ac:dyDescent="0.25">
      <c r="A138" t="s">
        <v>45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3</v>
      </c>
      <c r="I138">
        <v>0</v>
      </c>
      <c r="J138">
        <f t="shared" ref="J138:J169" si="18">SUM(D138,F138)</f>
        <v>1</v>
      </c>
      <c r="K138">
        <f t="shared" ref="K138:K169" si="19">SUM(B138,H138)</f>
        <v>3</v>
      </c>
      <c r="L138">
        <f t="shared" ref="L138:L169" si="20">SUM(E138,G138)</f>
        <v>0</v>
      </c>
      <c r="M138">
        <f t="shared" ref="M138:M169" si="21">SUM(C138,I138)</f>
        <v>0</v>
      </c>
      <c r="N138">
        <f t="shared" si="13"/>
        <v>3</v>
      </c>
    </row>
    <row r="139" spans="1:14" ht="15" customHeight="1" x14ac:dyDescent="0.25">
      <c r="A139" t="s">
        <v>46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3</v>
      </c>
      <c r="I139">
        <v>0</v>
      </c>
      <c r="J139">
        <f t="shared" si="18"/>
        <v>1</v>
      </c>
      <c r="K139">
        <f t="shared" si="19"/>
        <v>3</v>
      </c>
      <c r="L139">
        <f t="shared" si="20"/>
        <v>0</v>
      </c>
      <c r="M139">
        <f t="shared" si="21"/>
        <v>0</v>
      </c>
      <c r="N139">
        <f t="shared" ref="N139:N202" si="22">K139+M139</f>
        <v>3</v>
      </c>
    </row>
    <row r="140" spans="1:14" ht="15" customHeight="1" x14ac:dyDescent="0.25">
      <c r="A140" t="s">
        <v>47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2</v>
      </c>
      <c r="I140">
        <v>0</v>
      </c>
      <c r="J140">
        <f t="shared" si="18"/>
        <v>1</v>
      </c>
      <c r="K140">
        <f t="shared" si="19"/>
        <v>2</v>
      </c>
      <c r="L140">
        <f t="shared" si="20"/>
        <v>0</v>
      </c>
      <c r="M140">
        <f t="shared" si="21"/>
        <v>0</v>
      </c>
      <c r="N140">
        <f t="shared" si="22"/>
        <v>2</v>
      </c>
    </row>
    <row r="141" spans="1:14" ht="15" customHeight="1" x14ac:dyDescent="0.25">
      <c r="A141" t="s">
        <v>48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0</v>
      </c>
      <c r="J141">
        <f t="shared" si="18"/>
        <v>0</v>
      </c>
      <c r="K141">
        <f t="shared" si="19"/>
        <v>3</v>
      </c>
      <c r="L141">
        <f t="shared" si="20"/>
        <v>0</v>
      </c>
      <c r="M141">
        <f t="shared" si="21"/>
        <v>0</v>
      </c>
      <c r="N141">
        <f t="shared" si="22"/>
        <v>3</v>
      </c>
    </row>
    <row r="142" spans="1:14" ht="15" customHeight="1" x14ac:dyDescent="0.25">
      <c r="A142" t="s">
        <v>49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f t="shared" si="18"/>
        <v>1</v>
      </c>
      <c r="K142">
        <f t="shared" si="19"/>
        <v>1</v>
      </c>
      <c r="L142">
        <f t="shared" si="20"/>
        <v>0</v>
      </c>
      <c r="M142">
        <f t="shared" si="21"/>
        <v>0</v>
      </c>
      <c r="N142">
        <f t="shared" si="22"/>
        <v>1</v>
      </c>
    </row>
    <row r="143" spans="1:14" ht="15" customHeight="1" x14ac:dyDescent="0.25">
      <c r="A143" t="s">
        <v>50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f t="shared" si="18"/>
        <v>1</v>
      </c>
      <c r="K143">
        <f t="shared" si="19"/>
        <v>0</v>
      </c>
      <c r="L143">
        <f t="shared" si="20"/>
        <v>0</v>
      </c>
      <c r="M143">
        <f t="shared" si="21"/>
        <v>0</v>
      </c>
      <c r="N143">
        <f t="shared" si="22"/>
        <v>0</v>
      </c>
    </row>
    <row r="144" spans="1:14" ht="15" customHeight="1" x14ac:dyDescent="0.25">
      <c r="A144" t="s">
        <v>51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f t="shared" si="18"/>
        <v>2</v>
      </c>
      <c r="K144">
        <f t="shared" si="19"/>
        <v>0</v>
      </c>
      <c r="L144">
        <f t="shared" si="20"/>
        <v>0</v>
      </c>
      <c r="M144">
        <f t="shared" si="21"/>
        <v>0</v>
      </c>
      <c r="N144">
        <f t="shared" si="22"/>
        <v>0</v>
      </c>
    </row>
    <row r="145" spans="1:14" ht="15" customHeight="1" x14ac:dyDescent="0.25">
      <c r="A145" t="s">
        <v>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f t="shared" si="18"/>
        <v>0</v>
      </c>
      <c r="K145">
        <f t="shared" si="19"/>
        <v>0</v>
      </c>
      <c r="L145">
        <f t="shared" si="20"/>
        <v>0</v>
      </c>
      <c r="M145">
        <f t="shared" si="21"/>
        <v>0</v>
      </c>
      <c r="N145">
        <f t="shared" si="22"/>
        <v>0</v>
      </c>
    </row>
    <row r="146" spans="1:14" ht="15" customHeight="1" x14ac:dyDescent="0.25">
      <c r="A146" t="s">
        <v>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f t="shared" si="18"/>
        <v>0</v>
      </c>
      <c r="K146">
        <f t="shared" si="19"/>
        <v>0</v>
      </c>
      <c r="L146">
        <f t="shared" si="20"/>
        <v>0</v>
      </c>
      <c r="M146">
        <f t="shared" si="21"/>
        <v>0</v>
      </c>
      <c r="N146">
        <f t="shared" si="22"/>
        <v>0</v>
      </c>
    </row>
    <row r="147" spans="1:14" ht="15" customHeight="1" x14ac:dyDescent="0.25">
      <c r="A147" t="s">
        <v>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f t="shared" si="18"/>
        <v>0</v>
      </c>
      <c r="K147">
        <f t="shared" si="19"/>
        <v>0</v>
      </c>
      <c r="L147">
        <f t="shared" si="20"/>
        <v>0</v>
      </c>
      <c r="M147">
        <f t="shared" si="21"/>
        <v>0</v>
      </c>
      <c r="N147">
        <f t="shared" si="22"/>
        <v>0</v>
      </c>
    </row>
    <row r="148" spans="1:14" ht="15" customHeight="1" x14ac:dyDescent="0.25">
      <c r="A148" t="s">
        <v>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f t="shared" si="18"/>
        <v>0</v>
      </c>
      <c r="K148">
        <f t="shared" si="19"/>
        <v>0</v>
      </c>
      <c r="L148">
        <f t="shared" si="20"/>
        <v>0</v>
      </c>
      <c r="M148">
        <f t="shared" si="21"/>
        <v>0</v>
      </c>
      <c r="N148">
        <f t="shared" si="22"/>
        <v>0</v>
      </c>
    </row>
    <row r="149" spans="1:14" ht="15" customHeight="1" x14ac:dyDescent="0.25">
      <c r="A149" t="s">
        <v>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f t="shared" si="18"/>
        <v>0</v>
      </c>
      <c r="K149">
        <f t="shared" si="19"/>
        <v>0</v>
      </c>
      <c r="L149">
        <f t="shared" si="20"/>
        <v>0</v>
      </c>
      <c r="M149">
        <f t="shared" si="21"/>
        <v>0</v>
      </c>
      <c r="N149">
        <f t="shared" si="22"/>
        <v>0</v>
      </c>
    </row>
    <row r="150" spans="1:14" ht="15" customHeight="1" x14ac:dyDescent="0.25">
      <c r="A150" t="s">
        <v>57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f t="shared" si="18"/>
        <v>0</v>
      </c>
      <c r="K150">
        <f t="shared" si="19"/>
        <v>2</v>
      </c>
      <c r="L150">
        <f t="shared" si="20"/>
        <v>0</v>
      </c>
      <c r="M150">
        <f t="shared" si="21"/>
        <v>0</v>
      </c>
      <c r="N150">
        <f t="shared" si="22"/>
        <v>2</v>
      </c>
    </row>
    <row r="151" spans="1:14" ht="15" customHeight="1" x14ac:dyDescent="0.25">
      <c r="A151" t="s">
        <v>58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f t="shared" si="18"/>
        <v>1</v>
      </c>
      <c r="K151">
        <f t="shared" si="19"/>
        <v>1</v>
      </c>
      <c r="L151">
        <f t="shared" si="20"/>
        <v>0</v>
      </c>
      <c r="M151">
        <f t="shared" si="21"/>
        <v>0</v>
      </c>
      <c r="N151">
        <f t="shared" si="22"/>
        <v>1</v>
      </c>
    </row>
    <row r="152" spans="1:14" ht="15" customHeight="1" x14ac:dyDescent="0.25">
      <c r="A152" t="s">
        <v>59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</v>
      </c>
      <c r="J152">
        <f t="shared" si="18"/>
        <v>1</v>
      </c>
      <c r="K152">
        <f t="shared" si="19"/>
        <v>1</v>
      </c>
      <c r="L152">
        <f t="shared" si="20"/>
        <v>0</v>
      </c>
      <c r="M152">
        <f t="shared" si="21"/>
        <v>0</v>
      </c>
      <c r="N152">
        <f t="shared" si="22"/>
        <v>1</v>
      </c>
    </row>
    <row r="153" spans="1:14" ht="15" customHeight="1" x14ac:dyDescent="0.25">
      <c r="A153" t="s">
        <v>60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f t="shared" si="18"/>
        <v>1</v>
      </c>
      <c r="K153">
        <f t="shared" si="19"/>
        <v>0</v>
      </c>
      <c r="L153">
        <f t="shared" si="20"/>
        <v>0</v>
      </c>
      <c r="M153">
        <f t="shared" si="21"/>
        <v>0</v>
      </c>
      <c r="N153">
        <f t="shared" si="22"/>
        <v>0</v>
      </c>
    </row>
    <row r="154" spans="1:14" ht="15" customHeight="1" x14ac:dyDescent="0.25">
      <c r="A154" t="s">
        <v>61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f t="shared" si="18"/>
        <v>1</v>
      </c>
      <c r="K154">
        <f t="shared" si="19"/>
        <v>0</v>
      </c>
      <c r="L154">
        <f t="shared" si="20"/>
        <v>0</v>
      </c>
      <c r="M154">
        <f t="shared" si="21"/>
        <v>0</v>
      </c>
      <c r="N154">
        <f t="shared" si="22"/>
        <v>0</v>
      </c>
    </row>
    <row r="155" spans="1:14" ht="15" customHeight="1" x14ac:dyDescent="0.25">
      <c r="A155" t="s">
        <v>62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f t="shared" si="18"/>
        <v>2</v>
      </c>
      <c r="K155">
        <f t="shared" si="19"/>
        <v>0</v>
      </c>
      <c r="L155">
        <f t="shared" si="20"/>
        <v>0</v>
      </c>
      <c r="M155">
        <f t="shared" si="21"/>
        <v>0</v>
      </c>
      <c r="N155">
        <f t="shared" si="22"/>
        <v>0</v>
      </c>
    </row>
    <row r="156" spans="1:14" ht="15" customHeight="1" x14ac:dyDescent="0.25">
      <c r="A156" t="s">
        <v>63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>
        <f t="shared" si="18"/>
        <v>1</v>
      </c>
      <c r="K156">
        <f t="shared" si="19"/>
        <v>1</v>
      </c>
      <c r="L156">
        <f t="shared" si="20"/>
        <v>0</v>
      </c>
      <c r="M156">
        <f t="shared" si="21"/>
        <v>0</v>
      </c>
      <c r="N156">
        <f t="shared" si="22"/>
        <v>1</v>
      </c>
    </row>
    <row r="157" spans="1:14" ht="15" customHeight="1" x14ac:dyDescent="0.25">
      <c r="A157" t="s">
        <v>64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18"/>
        <v>0</v>
      </c>
      <c r="K157">
        <f t="shared" si="19"/>
        <v>0</v>
      </c>
      <c r="L157">
        <f t="shared" si="20"/>
        <v>0</v>
      </c>
      <c r="M157">
        <f t="shared" si="21"/>
        <v>0</v>
      </c>
      <c r="N157">
        <f t="shared" si="22"/>
        <v>0</v>
      </c>
    </row>
    <row r="158" spans="1:14" ht="15" customHeight="1" x14ac:dyDescent="0.25">
      <c r="A158" t="s">
        <v>65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2</v>
      </c>
      <c r="I158">
        <v>0</v>
      </c>
      <c r="J158">
        <f t="shared" si="18"/>
        <v>1</v>
      </c>
      <c r="K158">
        <f t="shared" si="19"/>
        <v>2</v>
      </c>
      <c r="L158">
        <f t="shared" si="20"/>
        <v>0</v>
      </c>
      <c r="M158">
        <f t="shared" si="21"/>
        <v>0</v>
      </c>
      <c r="N158">
        <f t="shared" si="22"/>
        <v>2</v>
      </c>
    </row>
    <row r="159" spans="1:14" ht="15" customHeight="1" x14ac:dyDescent="0.25">
      <c r="A159" t="s">
        <v>66</v>
      </c>
      <c r="B159">
        <v>0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f t="shared" si="18"/>
        <v>2</v>
      </c>
      <c r="K159">
        <f t="shared" si="19"/>
        <v>0</v>
      </c>
      <c r="L159">
        <f t="shared" si="20"/>
        <v>0</v>
      </c>
      <c r="M159">
        <f t="shared" si="21"/>
        <v>0</v>
      </c>
      <c r="N159">
        <f t="shared" si="22"/>
        <v>0</v>
      </c>
    </row>
    <row r="160" spans="1:14" ht="15" customHeight="1" x14ac:dyDescent="0.25">
      <c r="A160" t="s">
        <v>67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f t="shared" si="18"/>
        <v>1</v>
      </c>
      <c r="K160">
        <f t="shared" si="19"/>
        <v>1</v>
      </c>
      <c r="L160">
        <f t="shared" si="20"/>
        <v>0</v>
      </c>
      <c r="M160">
        <f t="shared" si="21"/>
        <v>0</v>
      </c>
      <c r="N160">
        <f t="shared" si="22"/>
        <v>1</v>
      </c>
    </row>
    <row r="161" spans="1:14" ht="15" customHeight="1" x14ac:dyDescent="0.25">
      <c r="A161" t="s">
        <v>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f t="shared" si="18"/>
        <v>0</v>
      </c>
      <c r="K161">
        <f t="shared" si="19"/>
        <v>1</v>
      </c>
      <c r="L161">
        <f t="shared" si="20"/>
        <v>0</v>
      </c>
      <c r="M161">
        <f t="shared" si="21"/>
        <v>0</v>
      </c>
      <c r="N161">
        <f t="shared" si="22"/>
        <v>1</v>
      </c>
    </row>
    <row r="162" spans="1:14" ht="15" customHeight="1" x14ac:dyDescent="0.25">
      <c r="A162" t="s">
        <v>69</v>
      </c>
      <c r="B162">
        <v>0</v>
      </c>
      <c r="C162">
        <v>0</v>
      </c>
      <c r="D162">
        <v>2</v>
      </c>
      <c r="E162">
        <v>0</v>
      </c>
      <c r="F162">
        <v>1</v>
      </c>
      <c r="G162">
        <v>1</v>
      </c>
      <c r="H162">
        <v>0</v>
      </c>
      <c r="I162">
        <v>0</v>
      </c>
      <c r="J162">
        <f t="shared" si="18"/>
        <v>3</v>
      </c>
      <c r="K162">
        <f t="shared" si="19"/>
        <v>0</v>
      </c>
      <c r="L162">
        <f t="shared" si="20"/>
        <v>1</v>
      </c>
      <c r="M162">
        <f t="shared" si="21"/>
        <v>0</v>
      </c>
      <c r="N162">
        <f t="shared" si="22"/>
        <v>0</v>
      </c>
    </row>
    <row r="163" spans="1:14" s="8" customFormat="1" ht="15" customHeight="1" x14ac:dyDescent="0.3">
      <c r="A163" s="8" t="s">
        <v>70</v>
      </c>
      <c r="B163" s="8">
        <v>0</v>
      </c>
      <c r="C163" s="8">
        <v>0</v>
      </c>
      <c r="D163" s="8">
        <v>1</v>
      </c>
      <c r="E163" s="8">
        <v>0</v>
      </c>
      <c r="F163" s="8">
        <v>0</v>
      </c>
      <c r="G163" s="8">
        <v>0</v>
      </c>
      <c r="H163" s="8">
        <v>1</v>
      </c>
      <c r="I163" s="9">
        <v>0</v>
      </c>
      <c r="J163" s="8">
        <f t="shared" si="18"/>
        <v>1</v>
      </c>
      <c r="K163" s="8">
        <f t="shared" si="19"/>
        <v>1</v>
      </c>
      <c r="L163" s="8">
        <f t="shared" si="20"/>
        <v>0</v>
      </c>
      <c r="M163" s="8">
        <f t="shared" si="21"/>
        <v>0</v>
      </c>
      <c r="N163">
        <f t="shared" si="22"/>
        <v>1</v>
      </c>
    </row>
    <row r="164" spans="1:14" s="8" customFormat="1" ht="15" customHeight="1" x14ac:dyDescent="0.3">
      <c r="A164" s="8" t="s">
        <v>71</v>
      </c>
      <c r="B164" s="8">
        <v>1</v>
      </c>
      <c r="C164" s="8">
        <v>0</v>
      </c>
      <c r="D164" s="8">
        <v>2</v>
      </c>
      <c r="E164" s="8">
        <v>0</v>
      </c>
      <c r="F164" s="8">
        <v>2</v>
      </c>
      <c r="G164" s="8">
        <v>2</v>
      </c>
      <c r="H164" s="8">
        <v>7</v>
      </c>
      <c r="I164" s="9">
        <v>0</v>
      </c>
      <c r="J164" s="8">
        <f t="shared" si="18"/>
        <v>4</v>
      </c>
      <c r="K164" s="8">
        <f t="shared" si="19"/>
        <v>8</v>
      </c>
      <c r="L164" s="8">
        <f t="shared" si="20"/>
        <v>2</v>
      </c>
      <c r="M164" s="8">
        <f t="shared" si="21"/>
        <v>0</v>
      </c>
      <c r="N164">
        <f t="shared" si="22"/>
        <v>8</v>
      </c>
    </row>
    <row r="165" spans="1:14" s="8" customFormat="1" ht="15" customHeight="1" x14ac:dyDescent="0.3">
      <c r="A165" s="8" t="s">
        <v>72</v>
      </c>
      <c r="B165" s="8">
        <v>1</v>
      </c>
      <c r="C165" s="8">
        <v>0</v>
      </c>
      <c r="D165" s="8">
        <v>1</v>
      </c>
      <c r="E165" s="8">
        <v>0</v>
      </c>
      <c r="F165" s="8">
        <v>2</v>
      </c>
      <c r="G165" s="8">
        <v>2</v>
      </c>
      <c r="H165" s="8">
        <v>2</v>
      </c>
      <c r="I165" s="9">
        <v>0</v>
      </c>
      <c r="J165" s="8">
        <f t="shared" si="18"/>
        <v>3</v>
      </c>
      <c r="K165" s="8">
        <f t="shared" si="19"/>
        <v>3</v>
      </c>
      <c r="L165" s="8">
        <f t="shared" si="20"/>
        <v>2</v>
      </c>
      <c r="M165" s="8">
        <f t="shared" si="21"/>
        <v>0</v>
      </c>
      <c r="N165">
        <f t="shared" si="22"/>
        <v>3</v>
      </c>
    </row>
    <row r="166" spans="1:14" ht="15" customHeight="1" x14ac:dyDescent="0.25">
      <c r="A166" t="s">
        <v>73</v>
      </c>
      <c r="B166">
        <v>0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0</v>
      </c>
      <c r="J166">
        <f t="shared" si="18"/>
        <v>2</v>
      </c>
      <c r="K166">
        <f t="shared" si="19"/>
        <v>1</v>
      </c>
      <c r="L166">
        <f t="shared" si="20"/>
        <v>0</v>
      </c>
      <c r="M166">
        <f t="shared" si="21"/>
        <v>0</v>
      </c>
      <c r="N166">
        <f t="shared" si="22"/>
        <v>1</v>
      </c>
    </row>
    <row r="167" spans="1:14" ht="15" customHeight="1" x14ac:dyDescent="0.25">
      <c r="A167" t="s">
        <v>74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2</v>
      </c>
      <c r="I167">
        <v>0</v>
      </c>
      <c r="J167">
        <f t="shared" si="18"/>
        <v>1</v>
      </c>
      <c r="K167">
        <f t="shared" si="19"/>
        <v>2</v>
      </c>
      <c r="L167">
        <f t="shared" si="20"/>
        <v>0</v>
      </c>
      <c r="M167">
        <f t="shared" si="21"/>
        <v>0</v>
      </c>
      <c r="N167">
        <f t="shared" si="22"/>
        <v>2</v>
      </c>
    </row>
    <row r="168" spans="1:14" ht="15" customHeight="1" x14ac:dyDescent="0.25">
      <c r="A168" t="s">
        <v>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f t="shared" si="18"/>
        <v>0</v>
      </c>
      <c r="K168">
        <f t="shared" si="19"/>
        <v>0</v>
      </c>
      <c r="L168">
        <f t="shared" si="20"/>
        <v>0</v>
      </c>
      <c r="M168">
        <f t="shared" si="21"/>
        <v>0</v>
      </c>
      <c r="N168">
        <f t="shared" si="22"/>
        <v>0</v>
      </c>
    </row>
    <row r="169" spans="1:14" ht="15" customHeight="1" x14ac:dyDescent="0.25">
      <c r="A169" t="s">
        <v>76</v>
      </c>
      <c r="B169">
        <v>0</v>
      </c>
      <c r="C169">
        <v>0</v>
      </c>
      <c r="D169">
        <v>0</v>
      </c>
      <c r="E169">
        <v>0</v>
      </c>
      <c r="F169">
        <v>2</v>
      </c>
      <c r="G169">
        <v>0</v>
      </c>
      <c r="H169">
        <v>1</v>
      </c>
      <c r="I169">
        <v>0</v>
      </c>
      <c r="J169">
        <f t="shared" si="18"/>
        <v>2</v>
      </c>
      <c r="K169">
        <f t="shared" si="19"/>
        <v>1</v>
      </c>
      <c r="L169">
        <f t="shared" si="20"/>
        <v>0</v>
      </c>
      <c r="M169">
        <f t="shared" si="21"/>
        <v>0</v>
      </c>
      <c r="N169">
        <f t="shared" si="22"/>
        <v>1</v>
      </c>
    </row>
    <row r="170" spans="1:14" ht="15" customHeight="1" x14ac:dyDescent="0.25">
      <c r="A170" t="s">
        <v>77</v>
      </c>
      <c r="B170">
        <v>0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>
        <v>0</v>
      </c>
      <c r="J170">
        <f t="shared" ref="J170:J201" si="23">SUM(D170,F170)</f>
        <v>3</v>
      </c>
      <c r="K170">
        <f t="shared" ref="K170:K201" si="24">SUM(B170,H170)</f>
        <v>2</v>
      </c>
      <c r="L170">
        <f t="shared" ref="L170:L201" si="25">SUM(E170,G170)</f>
        <v>0</v>
      </c>
      <c r="M170">
        <f t="shared" ref="M170:M201" si="26">SUM(C170,I170)</f>
        <v>0</v>
      </c>
      <c r="N170">
        <f t="shared" si="22"/>
        <v>2</v>
      </c>
    </row>
    <row r="171" spans="1:14" ht="15" customHeight="1" x14ac:dyDescent="0.25">
      <c r="A171" t="s">
        <v>78</v>
      </c>
      <c r="B171">
        <v>0</v>
      </c>
      <c r="C171">
        <v>0</v>
      </c>
      <c r="D171">
        <v>0</v>
      </c>
      <c r="E171">
        <v>0</v>
      </c>
      <c r="F171">
        <v>6</v>
      </c>
      <c r="G171">
        <v>0</v>
      </c>
      <c r="H171">
        <v>2</v>
      </c>
      <c r="I171">
        <v>0</v>
      </c>
      <c r="J171">
        <f t="shared" si="23"/>
        <v>6</v>
      </c>
      <c r="K171">
        <f t="shared" si="24"/>
        <v>2</v>
      </c>
      <c r="L171">
        <f t="shared" si="25"/>
        <v>0</v>
      </c>
      <c r="M171">
        <f t="shared" si="26"/>
        <v>0</v>
      </c>
      <c r="N171">
        <f t="shared" si="22"/>
        <v>2</v>
      </c>
    </row>
    <row r="172" spans="1:14" ht="15" customHeight="1" x14ac:dyDescent="0.25">
      <c r="A172" t="s">
        <v>79</v>
      </c>
      <c r="B172">
        <v>0</v>
      </c>
      <c r="C172">
        <v>0</v>
      </c>
      <c r="D172">
        <v>0</v>
      </c>
      <c r="E172">
        <v>0</v>
      </c>
      <c r="F172">
        <v>5</v>
      </c>
      <c r="G172">
        <v>0</v>
      </c>
      <c r="H172">
        <v>1</v>
      </c>
      <c r="I172">
        <v>0</v>
      </c>
      <c r="J172">
        <f t="shared" si="23"/>
        <v>5</v>
      </c>
      <c r="K172">
        <f t="shared" si="24"/>
        <v>1</v>
      </c>
      <c r="L172">
        <f t="shared" si="25"/>
        <v>0</v>
      </c>
      <c r="M172">
        <f t="shared" si="26"/>
        <v>0</v>
      </c>
      <c r="N172">
        <f t="shared" si="22"/>
        <v>1</v>
      </c>
    </row>
    <row r="173" spans="1:14" ht="15" customHeight="1" x14ac:dyDescent="0.25">
      <c r="A173" t="s">
        <v>80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3</v>
      </c>
      <c r="I173">
        <v>0</v>
      </c>
      <c r="J173">
        <f t="shared" si="23"/>
        <v>2</v>
      </c>
      <c r="K173">
        <f t="shared" si="24"/>
        <v>3</v>
      </c>
      <c r="L173">
        <f t="shared" si="25"/>
        <v>0</v>
      </c>
      <c r="M173">
        <f t="shared" si="26"/>
        <v>0</v>
      </c>
      <c r="N173">
        <f t="shared" si="22"/>
        <v>3</v>
      </c>
    </row>
    <row r="174" spans="1:14" ht="15" customHeight="1" x14ac:dyDescent="0.25">
      <c r="A174" t="s">
        <v>81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f t="shared" si="23"/>
        <v>1</v>
      </c>
      <c r="K174">
        <f t="shared" si="24"/>
        <v>0</v>
      </c>
      <c r="L174">
        <f t="shared" si="25"/>
        <v>0</v>
      </c>
      <c r="M174">
        <f t="shared" si="26"/>
        <v>0</v>
      </c>
      <c r="N174">
        <f t="shared" si="22"/>
        <v>0</v>
      </c>
    </row>
    <row r="175" spans="1:14" ht="15" customHeight="1" x14ac:dyDescent="0.25">
      <c r="A175" t="s">
        <v>82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f t="shared" si="23"/>
        <v>2</v>
      </c>
      <c r="K175">
        <f t="shared" si="24"/>
        <v>0</v>
      </c>
      <c r="L175">
        <f t="shared" si="25"/>
        <v>0</v>
      </c>
      <c r="M175">
        <f t="shared" si="26"/>
        <v>0</v>
      </c>
      <c r="N175">
        <f t="shared" si="22"/>
        <v>0</v>
      </c>
    </row>
    <row r="176" spans="1:14" ht="15" customHeight="1" x14ac:dyDescent="0.25">
      <c r="A176" t="s">
        <v>83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f t="shared" si="23"/>
        <v>0</v>
      </c>
      <c r="K176">
        <f t="shared" si="24"/>
        <v>0</v>
      </c>
      <c r="L176">
        <f t="shared" si="25"/>
        <v>0</v>
      </c>
      <c r="M176">
        <f t="shared" si="26"/>
        <v>0</v>
      </c>
      <c r="N176">
        <f t="shared" si="22"/>
        <v>0</v>
      </c>
    </row>
    <row r="177" spans="1:14" ht="15" customHeight="1" x14ac:dyDescent="0.25">
      <c r="A177" t="s">
        <v>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f t="shared" si="23"/>
        <v>0</v>
      </c>
      <c r="K177">
        <f t="shared" si="24"/>
        <v>1</v>
      </c>
      <c r="L177">
        <f t="shared" si="25"/>
        <v>0</v>
      </c>
      <c r="M177">
        <f t="shared" si="26"/>
        <v>0</v>
      </c>
      <c r="N177">
        <f t="shared" si="22"/>
        <v>1</v>
      </c>
    </row>
    <row r="178" spans="1:14" ht="15" customHeight="1" x14ac:dyDescent="0.25">
      <c r="A178" t="s">
        <v>85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f t="shared" si="23"/>
        <v>0</v>
      </c>
      <c r="K178">
        <f t="shared" si="24"/>
        <v>1</v>
      </c>
      <c r="L178">
        <f t="shared" si="25"/>
        <v>0</v>
      </c>
      <c r="M178">
        <f t="shared" si="26"/>
        <v>0</v>
      </c>
      <c r="N178">
        <f t="shared" si="22"/>
        <v>1</v>
      </c>
    </row>
    <row r="179" spans="1:14" ht="15" customHeight="1" x14ac:dyDescent="0.25">
      <c r="A179" t="s">
        <v>86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f t="shared" si="23"/>
        <v>1</v>
      </c>
      <c r="K179">
        <f t="shared" si="24"/>
        <v>1</v>
      </c>
      <c r="L179">
        <f t="shared" si="25"/>
        <v>0</v>
      </c>
      <c r="M179">
        <f t="shared" si="26"/>
        <v>0</v>
      </c>
      <c r="N179">
        <f t="shared" si="22"/>
        <v>1</v>
      </c>
    </row>
    <row r="180" spans="1:14" ht="15" customHeight="1" x14ac:dyDescent="0.25">
      <c r="A180" t="s">
        <v>87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</v>
      </c>
      <c r="I180">
        <v>0</v>
      </c>
      <c r="J180">
        <f t="shared" si="23"/>
        <v>0</v>
      </c>
      <c r="K180">
        <f t="shared" si="24"/>
        <v>2</v>
      </c>
      <c r="L180">
        <f t="shared" si="25"/>
        <v>0</v>
      </c>
      <c r="M180">
        <f t="shared" si="26"/>
        <v>0</v>
      </c>
      <c r="N180">
        <f t="shared" si="22"/>
        <v>2</v>
      </c>
    </row>
    <row r="181" spans="1:14" ht="15" customHeight="1" x14ac:dyDescent="0.25">
      <c r="A181" t="s">
        <v>88</v>
      </c>
      <c r="B181">
        <v>0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1</v>
      </c>
      <c r="I181">
        <v>0</v>
      </c>
      <c r="J181">
        <f t="shared" si="23"/>
        <v>3</v>
      </c>
      <c r="K181">
        <f t="shared" si="24"/>
        <v>1</v>
      </c>
      <c r="L181">
        <f t="shared" si="25"/>
        <v>0</v>
      </c>
      <c r="M181">
        <f t="shared" si="26"/>
        <v>0</v>
      </c>
      <c r="N181">
        <f t="shared" si="22"/>
        <v>1</v>
      </c>
    </row>
    <row r="182" spans="1:14" ht="15" customHeight="1" x14ac:dyDescent="0.25">
      <c r="A182" t="s">
        <v>89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23"/>
        <v>0</v>
      </c>
      <c r="K182">
        <f t="shared" si="24"/>
        <v>0</v>
      </c>
      <c r="L182">
        <f t="shared" si="25"/>
        <v>0</v>
      </c>
      <c r="M182">
        <f t="shared" si="26"/>
        <v>0</v>
      </c>
      <c r="N182">
        <f t="shared" si="22"/>
        <v>0</v>
      </c>
    </row>
    <row r="183" spans="1:14" ht="15" customHeight="1" x14ac:dyDescent="0.25">
      <c r="A183" t="s">
        <v>90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f t="shared" si="23"/>
        <v>1</v>
      </c>
      <c r="K183">
        <f t="shared" si="24"/>
        <v>0</v>
      </c>
      <c r="L183">
        <f t="shared" si="25"/>
        <v>0</v>
      </c>
      <c r="M183">
        <f t="shared" si="26"/>
        <v>0</v>
      </c>
      <c r="N183">
        <f t="shared" si="22"/>
        <v>0</v>
      </c>
    </row>
    <row r="184" spans="1:14" ht="15" customHeight="1" x14ac:dyDescent="0.25">
      <c r="A184" t="s">
        <v>91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f t="shared" si="23"/>
        <v>1</v>
      </c>
      <c r="K184">
        <f t="shared" si="24"/>
        <v>1</v>
      </c>
      <c r="L184">
        <f t="shared" si="25"/>
        <v>0</v>
      </c>
      <c r="M184">
        <f t="shared" si="26"/>
        <v>0</v>
      </c>
      <c r="N184">
        <f t="shared" si="22"/>
        <v>1</v>
      </c>
    </row>
    <row r="185" spans="1:14" ht="15" customHeight="1" x14ac:dyDescent="0.25">
      <c r="A185" t="s">
        <v>92</v>
      </c>
      <c r="B185">
        <v>0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1</v>
      </c>
      <c r="I185">
        <v>0</v>
      </c>
      <c r="J185">
        <f t="shared" si="23"/>
        <v>2</v>
      </c>
      <c r="K185">
        <f t="shared" si="24"/>
        <v>1</v>
      </c>
      <c r="L185">
        <f t="shared" si="25"/>
        <v>0</v>
      </c>
      <c r="M185">
        <f t="shared" si="26"/>
        <v>0</v>
      </c>
      <c r="N185">
        <f t="shared" si="22"/>
        <v>1</v>
      </c>
    </row>
    <row r="186" spans="1:14" ht="15" customHeight="1" x14ac:dyDescent="0.25">
      <c r="A186" t="s">
        <v>93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f t="shared" si="23"/>
        <v>2</v>
      </c>
      <c r="K186">
        <f t="shared" si="24"/>
        <v>0</v>
      </c>
      <c r="L186">
        <f t="shared" si="25"/>
        <v>0</v>
      </c>
      <c r="M186">
        <f t="shared" si="26"/>
        <v>0</v>
      </c>
      <c r="N186">
        <f t="shared" si="22"/>
        <v>0</v>
      </c>
    </row>
    <row r="187" spans="1:14" ht="15" customHeight="1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f t="shared" si="23"/>
        <v>0</v>
      </c>
      <c r="K187">
        <f t="shared" si="24"/>
        <v>2</v>
      </c>
      <c r="L187">
        <f t="shared" si="25"/>
        <v>0</v>
      </c>
      <c r="M187">
        <f t="shared" si="26"/>
        <v>0</v>
      </c>
      <c r="N187">
        <f t="shared" si="22"/>
        <v>2</v>
      </c>
    </row>
    <row r="188" spans="1:14" ht="15" customHeight="1" x14ac:dyDescent="0.25">
      <c r="A188" t="s">
        <v>95</v>
      </c>
      <c r="B188">
        <v>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2</v>
      </c>
      <c r="I188">
        <v>0</v>
      </c>
      <c r="J188">
        <f t="shared" si="23"/>
        <v>3</v>
      </c>
      <c r="K188">
        <f t="shared" si="24"/>
        <v>2</v>
      </c>
      <c r="L188">
        <f t="shared" si="25"/>
        <v>0</v>
      </c>
      <c r="M188">
        <f t="shared" si="26"/>
        <v>0</v>
      </c>
      <c r="N188">
        <f t="shared" si="22"/>
        <v>2</v>
      </c>
    </row>
    <row r="189" spans="1:14" ht="15" customHeight="1" x14ac:dyDescent="0.25">
      <c r="A189" t="s">
        <v>96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f t="shared" si="23"/>
        <v>0</v>
      </c>
      <c r="K189">
        <f t="shared" si="24"/>
        <v>0</v>
      </c>
      <c r="L189">
        <f t="shared" si="25"/>
        <v>0</v>
      </c>
      <c r="M189">
        <f t="shared" si="26"/>
        <v>0</v>
      </c>
      <c r="N189">
        <f t="shared" si="22"/>
        <v>0</v>
      </c>
    </row>
    <row r="190" spans="1:14" ht="15" customHeight="1" x14ac:dyDescent="0.25">
      <c r="A190" t="s">
        <v>97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f t="shared" si="23"/>
        <v>1</v>
      </c>
      <c r="K190">
        <f t="shared" si="24"/>
        <v>1</v>
      </c>
      <c r="L190">
        <f t="shared" si="25"/>
        <v>0</v>
      </c>
      <c r="M190">
        <f t="shared" si="26"/>
        <v>0</v>
      </c>
      <c r="N190">
        <f t="shared" si="22"/>
        <v>1</v>
      </c>
    </row>
    <row r="191" spans="1:14" ht="15" customHeight="1" x14ac:dyDescent="0.25">
      <c r="A191" t="s">
        <v>98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23"/>
        <v>0</v>
      </c>
      <c r="K191">
        <f t="shared" si="24"/>
        <v>0</v>
      </c>
      <c r="L191">
        <f t="shared" si="25"/>
        <v>0</v>
      </c>
      <c r="M191">
        <f t="shared" si="26"/>
        <v>0</v>
      </c>
      <c r="N191">
        <f t="shared" si="22"/>
        <v>0</v>
      </c>
    </row>
    <row r="192" spans="1:14" ht="15" customHeight="1" x14ac:dyDescent="0.25">
      <c r="A192" t="s">
        <v>99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f t="shared" si="23"/>
        <v>0</v>
      </c>
      <c r="K192">
        <f t="shared" si="24"/>
        <v>0</v>
      </c>
      <c r="L192">
        <f t="shared" si="25"/>
        <v>0</v>
      </c>
      <c r="M192">
        <f t="shared" si="26"/>
        <v>0</v>
      </c>
      <c r="N192">
        <f t="shared" si="22"/>
        <v>0</v>
      </c>
    </row>
    <row r="193" spans="1:14" ht="15" customHeight="1" x14ac:dyDescent="0.25">
      <c r="A193" t="s">
        <v>100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f t="shared" si="23"/>
        <v>0</v>
      </c>
      <c r="K193">
        <f t="shared" si="24"/>
        <v>0</v>
      </c>
      <c r="L193">
        <f t="shared" si="25"/>
        <v>0</v>
      </c>
      <c r="M193">
        <f t="shared" si="26"/>
        <v>0</v>
      </c>
      <c r="N193">
        <f t="shared" si="22"/>
        <v>0</v>
      </c>
    </row>
    <row r="194" spans="1:14" ht="15" customHeight="1" x14ac:dyDescent="0.25">
      <c r="A194" t="s">
        <v>101</v>
      </c>
      <c r="B194">
        <v>0</v>
      </c>
      <c r="C194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f t="shared" si="23"/>
        <v>2</v>
      </c>
      <c r="K194">
        <f t="shared" si="24"/>
        <v>0</v>
      </c>
      <c r="L194">
        <f t="shared" si="25"/>
        <v>0</v>
      </c>
      <c r="M194">
        <f t="shared" si="26"/>
        <v>0</v>
      </c>
      <c r="N194">
        <f t="shared" si="22"/>
        <v>0</v>
      </c>
    </row>
    <row r="195" spans="1:14" ht="15" customHeight="1" x14ac:dyDescent="0.25">
      <c r="A195" t="s">
        <v>102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f t="shared" si="23"/>
        <v>0</v>
      </c>
      <c r="K195">
        <f t="shared" si="24"/>
        <v>0</v>
      </c>
      <c r="L195">
        <f t="shared" si="25"/>
        <v>0</v>
      </c>
      <c r="M195">
        <f t="shared" si="26"/>
        <v>0</v>
      </c>
      <c r="N195">
        <f t="shared" si="22"/>
        <v>0</v>
      </c>
    </row>
    <row r="196" spans="1:14" ht="15" customHeight="1" x14ac:dyDescent="0.25">
      <c r="A196" t="s">
        <v>103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0</v>
      </c>
      <c r="J196">
        <f t="shared" si="23"/>
        <v>0</v>
      </c>
      <c r="K196">
        <f t="shared" si="24"/>
        <v>2</v>
      </c>
      <c r="L196">
        <f t="shared" si="25"/>
        <v>0</v>
      </c>
      <c r="M196">
        <f t="shared" si="26"/>
        <v>0</v>
      </c>
      <c r="N196">
        <f t="shared" si="22"/>
        <v>2</v>
      </c>
    </row>
    <row r="197" spans="1:14" ht="15" customHeight="1" x14ac:dyDescent="0.25">
      <c r="A197" t="s">
        <v>104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23"/>
        <v>0</v>
      </c>
      <c r="K197">
        <f t="shared" si="24"/>
        <v>0</v>
      </c>
      <c r="L197">
        <f t="shared" si="25"/>
        <v>0</v>
      </c>
      <c r="M197">
        <f t="shared" si="26"/>
        <v>0</v>
      </c>
      <c r="N197">
        <f t="shared" si="22"/>
        <v>0</v>
      </c>
    </row>
    <row r="198" spans="1:14" ht="15" customHeight="1" x14ac:dyDescent="0.25">
      <c r="A198" t="s">
        <v>105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f t="shared" si="23"/>
        <v>2</v>
      </c>
      <c r="K198">
        <f t="shared" si="24"/>
        <v>0</v>
      </c>
      <c r="L198">
        <f t="shared" si="25"/>
        <v>0</v>
      </c>
      <c r="M198">
        <f t="shared" si="26"/>
        <v>0</v>
      </c>
      <c r="N198">
        <f t="shared" si="22"/>
        <v>0</v>
      </c>
    </row>
    <row r="199" spans="1:14" ht="15" customHeight="1" x14ac:dyDescent="0.25">
      <c r="A199" t="s">
        <v>106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f t="shared" si="23"/>
        <v>1</v>
      </c>
      <c r="K199">
        <f t="shared" si="24"/>
        <v>0</v>
      </c>
      <c r="L199">
        <f t="shared" si="25"/>
        <v>0</v>
      </c>
      <c r="M199">
        <f t="shared" si="26"/>
        <v>0</v>
      </c>
      <c r="N199">
        <f t="shared" si="22"/>
        <v>0</v>
      </c>
    </row>
    <row r="200" spans="1:14" ht="15" customHeight="1" x14ac:dyDescent="0.25">
      <c r="A200" t="s">
        <v>107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f t="shared" si="23"/>
        <v>0</v>
      </c>
      <c r="K200">
        <f t="shared" si="24"/>
        <v>0</v>
      </c>
      <c r="L200">
        <f t="shared" si="25"/>
        <v>0</v>
      </c>
      <c r="M200">
        <f t="shared" si="26"/>
        <v>0</v>
      </c>
      <c r="N200">
        <f t="shared" si="22"/>
        <v>0</v>
      </c>
    </row>
    <row r="201" spans="1:14" ht="15" customHeight="1" x14ac:dyDescent="0.25">
      <c r="A201" t="s">
        <v>108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23"/>
        <v>0</v>
      </c>
      <c r="K201">
        <f t="shared" si="24"/>
        <v>0</v>
      </c>
      <c r="L201">
        <f t="shared" si="25"/>
        <v>0</v>
      </c>
      <c r="M201">
        <f t="shared" si="26"/>
        <v>0</v>
      </c>
      <c r="N201">
        <f t="shared" si="22"/>
        <v>0</v>
      </c>
    </row>
    <row r="202" spans="1:14" ht="15" customHeight="1" x14ac:dyDescent="0.25">
      <c r="B202">
        <f t="shared" ref="B202:M202" si="27">SUM(B10:B201)</f>
        <v>37</v>
      </c>
      <c r="C202">
        <f t="shared" si="27"/>
        <v>0</v>
      </c>
      <c r="D202">
        <f t="shared" si="27"/>
        <v>45</v>
      </c>
      <c r="E202">
        <f t="shared" si="27"/>
        <v>1</v>
      </c>
      <c r="F202">
        <f t="shared" si="27"/>
        <v>123</v>
      </c>
      <c r="G202">
        <f t="shared" si="27"/>
        <v>5</v>
      </c>
      <c r="H202">
        <f t="shared" si="27"/>
        <v>106</v>
      </c>
      <c r="I202">
        <f t="shared" si="27"/>
        <v>0</v>
      </c>
      <c r="J202">
        <f t="shared" si="27"/>
        <v>168</v>
      </c>
      <c r="K202">
        <f t="shared" si="27"/>
        <v>143</v>
      </c>
      <c r="L202">
        <f t="shared" si="27"/>
        <v>6</v>
      </c>
      <c r="M202">
        <f t="shared" si="27"/>
        <v>0</v>
      </c>
      <c r="N202">
        <f t="shared" si="22"/>
        <v>143</v>
      </c>
    </row>
  </sheetData>
  <mergeCells count="8">
    <mergeCell ref="A4:B4"/>
    <mergeCell ref="C4:J4"/>
    <mergeCell ref="A1:B1"/>
    <mergeCell ref="C1:J1"/>
    <mergeCell ref="A2:B2"/>
    <mergeCell ref="C2:J2"/>
    <mergeCell ref="A3:B3"/>
    <mergeCell ref="C3:J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Pedestrians</vt:lpstr>
      <vt:lpstr>Bicycles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Pine Hils NBL E</dc:title>
  <dc:creator/>
  <cp:lastModifiedBy>Mighk Wilson</cp:lastModifiedBy>
  <dcterms:created xsi:type="dcterms:W3CDTF">2019-09-09T00:00:00Z</dcterms:created>
  <dcterms:modified xsi:type="dcterms:W3CDTF">2023-10-09T20:26:09Z</dcterms:modified>
</cp:coreProperties>
</file>