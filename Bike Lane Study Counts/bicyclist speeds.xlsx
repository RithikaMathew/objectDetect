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ghkwilson/easystore backup/Work P Drive/MioVision/Bike Lane Study Counts/"/>
    </mc:Choice>
  </mc:AlternateContent>
  <xr:revisionPtr revIDLastSave="0" documentId="13_ncr:1_{28584DB6-E104-2346-8C65-A8E610B023DC}" xr6:coauthVersionLast="47" xr6:coauthVersionMax="47" xr10:uidLastSave="{00000000-0000-0000-0000-000000000000}"/>
  <bookViews>
    <workbookView xWindow="0" yWindow="580" windowWidth="25600" windowHeight="14620" activeTab="7" xr2:uid="{00000000-000D-0000-FFFF-FFFF00000000}"/>
  </bookViews>
  <sheets>
    <sheet name="Travel Lane" sheetId="4" r:id="rId1"/>
    <sheet name="Sheet4" sheetId="16" r:id="rId2"/>
    <sheet name="Bike Lane" sheetId="6" r:id="rId3"/>
    <sheet name="Sheet2" sheetId="13" r:id="rId4"/>
    <sheet name="Sidewalk" sheetId="7" r:id="rId5"/>
    <sheet name="Sheet3" sheetId="15" r:id="rId6"/>
    <sheet name="Path" sheetId="11" r:id="rId7"/>
    <sheet name="TL Analysis" sheetId="8" r:id="rId8"/>
    <sheet name="BL Analysis" sheetId="9" r:id="rId9"/>
    <sheet name="SW Analysis" sheetId="10" r:id="rId10"/>
    <sheet name="Silver Star" sheetId="18" r:id="rId11"/>
  </sheet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5" i="18" l="1"/>
  <c r="AE22" i="18"/>
  <c r="AD22" i="18"/>
  <c r="AC22" i="18"/>
  <c r="AE21" i="18"/>
  <c r="AC21" i="18"/>
  <c r="AD21" i="18" s="1"/>
  <c r="AE20" i="18"/>
  <c r="AD20" i="18"/>
  <c r="AC20" i="18"/>
  <c r="AE19" i="18"/>
  <c r="AC19" i="18"/>
  <c r="AD19" i="18" s="1"/>
  <c r="AE18" i="18"/>
  <c r="AC18" i="18"/>
  <c r="AD18" i="18" s="1"/>
  <c r="AE17" i="18"/>
  <c r="AC17" i="18"/>
  <c r="AD17" i="18" s="1"/>
  <c r="AE16" i="18"/>
  <c r="AC16" i="18"/>
  <c r="AD16" i="18" s="1"/>
  <c r="AE15" i="18"/>
  <c r="AD15" i="18"/>
  <c r="AC15" i="18"/>
  <c r="AE14" i="18"/>
  <c r="AC14" i="18"/>
  <c r="AD14" i="18" s="1"/>
  <c r="AE13" i="18"/>
  <c r="AC13" i="18"/>
  <c r="AD13" i="18" s="1"/>
  <c r="AE12" i="18"/>
  <c r="AC12" i="18"/>
  <c r="AD12" i="18" s="1"/>
  <c r="AE11" i="18"/>
  <c r="AC11" i="18"/>
  <c r="AD11" i="18" s="1"/>
  <c r="AE10" i="18"/>
  <c r="AC10" i="18"/>
  <c r="AD10" i="18" s="1"/>
  <c r="AE9" i="18"/>
  <c r="AC9" i="18"/>
  <c r="AD9" i="18" s="1"/>
  <c r="AE8" i="18"/>
  <c r="AC8" i="18"/>
  <c r="AD8" i="18" s="1"/>
  <c r="AE7" i="18"/>
  <c r="AC7" i="18"/>
  <c r="AD7" i="18" s="1"/>
  <c r="AE6" i="18"/>
  <c r="AC6" i="18"/>
  <c r="AD6" i="18" s="1"/>
  <c r="AE5" i="18"/>
  <c r="AD5" i="18"/>
  <c r="AC5" i="18"/>
  <c r="AE4" i="18"/>
  <c r="AC4" i="18"/>
  <c r="AD4" i="18" s="1"/>
  <c r="AE3" i="18"/>
  <c r="AC3" i="18"/>
  <c r="AD3" i="18" s="1"/>
  <c r="AE2" i="18"/>
  <c r="AE23" i="18" s="1"/>
  <c r="AB23" i="18" s="1"/>
  <c r="AC23" i="18" s="1"/>
  <c r="AC2" i="18"/>
  <c r="AD2" i="18" s="1"/>
  <c r="AD23" i="18" l="1"/>
  <c r="U24" i="18"/>
  <c r="S23" i="18"/>
  <c r="T23" i="18" s="1"/>
  <c r="S22" i="18"/>
  <c r="T22" i="18" s="1"/>
  <c r="S21" i="18"/>
  <c r="T21" i="18" s="1"/>
  <c r="S20" i="18"/>
  <c r="T20" i="18" s="1"/>
  <c r="S19" i="18"/>
  <c r="T19" i="18" s="1"/>
  <c r="S18" i="18"/>
  <c r="T18" i="18" s="1"/>
  <c r="S17" i="18"/>
  <c r="T17" i="18" s="1"/>
  <c r="S16" i="18"/>
  <c r="T16" i="18" s="1"/>
  <c r="S15" i="18"/>
  <c r="T15" i="18" s="1"/>
  <c r="S14" i="18"/>
  <c r="T14" i="18" s="1"/>
  <c r="S13" i="18"/>
  <c r="T13" i="18" s="1"/>
  <c r="S12" i="18"/>
  <c r="T12" i="18" s="1"/>
  <c r="S11" i="18"/>
  <c r="T11" i="18" s="1"/>
  <c r="S10" i="18"/>
  <c r="T10" i="18" s="1"/>
  <c r="S9" i="18"/>
  <c r="T9" i="18" s="1"/>
  <c r="S8" i="18"/>
  <c r="T8" i="18" s="1"/>
  <c r="S7" i="18"/>
  <c r="T7" i="18" s="1"/>
  <c r="S6" i="18"/>
  <c r="T6" i="18" s="1"/>
  <c r="T5" i="18"/>
  <c r="S5" i="18"/>
  <c r="S4" i="18"/>
  <c r="T4" i="18" s="1"/>
  <c r="S3" i="18"/>
  <c r="T3" i="18" s="1"/>
  <c r="S2" i="18"/>
  <c r="T2" i="18" s="1"/>
  <c r="T24" i="18" l="1"/>
  <c r="R24" i="18"/>
  <c r="S24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H27" i="18"/>
  <c r="I27" i="18" s="1"/>
  <c r="H28" i="18"/>
  <c r="I28" i="18" s="1"/>
  <c r="H29" i="18"/>
  <c r="I29" i="18" s="1"/>
  <c r="H30" i="18"/>
  <c r="I30" i="18" s="1"/>
  <c r="H31" i="18"/>
  <c r="I31" i="18" s="1"/>
  <c r="H32" i="18"/>
  <c r="I32" i="18" s="1"/>
  <c r="H33" i="18"/>
  <c r="I33" i="18" s="1"/>
  <c r="H34" i="18"/>
  <c r="I34" i="18" s="1"/>
  <c r="H35" i="18"/>
  <c r="I35" i="18" s="1"/>
  <c r="H36" i="18"/>
  <c r="I36" i="18" s="1"/>
  <c r="H37" i="18"/>
  <c r="I37" i="18" s="1"/>
  <c r="H38" i="18"/>
  <c r="I38" i="18" s="1"/>
  <c r="H39" i="18"/>
  <c r="I39" i="18" s="1"/>
  <c r="H40" i="18"/>
  <c r="I40" i="18" s="1"/>
  <c r="H41" i="18"/>
  <c r="I41" i="18" s="1"/>
  <c r="H42" i="18"/>
  <c r="I42" i="18" s="1"/>
  <c r="H43" i="18"/>
  <c r="I43" i="18" s="1"/>
  <c r="H44" i="18"/>
  <c r="I44" i="18" s="1"/>
  <c r="I15" i="18"/>
  <c r="H12" i="18"/>
  <c r="I12" i="18" s="1"/>
  <c r="H13" i="18"/>
  <c r="I13" i="18" s="1"/>
  <c r="H14" i="18"/>
  <c r="I14" i="18" s="1"/>
  <c r="H15" i="18"/>
  <c r="H16" i="18"/>
  <c r="I16" i="18" s="1"/>
  <c r="H17" i="18"/>
  <c r="I17" i="18" s="1"/>
  <c r="H18" i="18"/>
  <c r="I18" i="18" s="1"/>
  <c r="H19" i="18"/>
  <c r="I19" i="18" s="1"/>
  <c r="H20" i="18"/>
  <c r="I20" i="18" s="1"/>
  <c r="H21" i="18"/>
  <c r="I21" i="18" s="1"/>
  <c r="H22" i="18"/>
  <c r="I22" i="18" s="1"/>
  <c r="H23" i="18"/>
  <c r="I23" i="18" s="1"/>
  <c r="H24" i="18"/>
  <c r="I24" i="18" s="1"/>
  <c r="H25" i="18"/>
  <c r="I25" i="18" s="1"/>
  <c r="H26" i="18"/>
  <c r="I26" i="18" s="1"/>
  <c r="J17" i="18"/>
  <c r="J18" i="18"/>
  <c r="J19" i="18"/>
  <c r="J20" i="18"/>
  <c r="J21" i="18"/>
  <c r="J22" i="18"/>
  <c r="J23" i="18"/>
  <c r="J24" i="18"/>
  <c r="J25" i="18"/>
  <c r="J26" i="18"/>
  <c r="J11" i="18"/>
  <c r="J12" i="18"/>
  <c r="J13" i="18"/>
  <c r="J14" i="18"/>
  <c r="J15" i="18"/>
  <c r="J16" i="18"/>
  <c r="J10" i="18"/>
  <c r="J9" i="18"/>
  <c r="J7" i="18"/>
  <c r="J8" i="18"/>
  <c r="J4" i="18"/>
  <c r="J5" i="18"/>
  <c r="J6" i="18"/>
  <c r="H3" i="18"/>
  <c r="I3" i="18" s="1"/>
  <c r="H4" i="18"/>
  <c r="I4" i="18" s="1"/>
  <c r="H5" i="18"/>
  <c r="I5" i="18" s="1"/>
  <c r="H6" i="18"/>
  <c r="I6" i="18" s="1"/>
  <c r="H7" i="18"/>
  <c r="I7" i="18" s="1"/>
  <c r="H8" i="18"/>
  <c r="I8" i="18" s="1"/>
  <c r="H9" i="18"/>
  <c r="I9" i="18" s="1"/>
  <c r="H10" i="18"/>
  <c r="I10" i="18" s="1"/>
  <c r="H11" i="18"/>
  <c r="I11" i="18" s="1"/>
  <c r="H2" i="18"/>
  <c r="A3" i="18" l="1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J3" i="18"/>
  <c r="J2" i="18"/>
  <c r="J45" i="18" s="1"/>
  <c r="I2" i="18"/>
  <c r="I45" i="18" s="1"/>
  <c r="H6" i="16"/>
  <c r="H5" i="16"/>
  <c r="F10" i="16"/>
  <c r="F9" i="16"/>
  <c r="D10" i="16"/>
  <c r="E10" i="16"/>
  <c r="D9" i="16"/>
  <c r="E9" i="16"/>
  <c r="D8" i="16"/>
  <c r="E8" i="16"/>
  <c r="C10" i="16"/>
  <c r="C9" i="16"/>
  <c r="C8" i="16"/>
  <c r="F5" i="16"/>
  <c r="F8" i="16" s="1"/>
  <c r="F6" i="16"/>
  <c r="F7" i="16"/>
  <c r="F4" i="16"/>
  <c r="G45" i="18" l="1"/>
  <c r="H45" i="18" s="1"/>
  <c r="C20" i="15"/>
  <c r="C19" i="15"/>
  <c r="B20" i="15"/>
  <c r="D20" i="15" s="1"/>
  <c r="B19" i="15"/>
  <c r="D19" i="15" s="1"/>
  <c r="D13" i="15"/>
  <c r="D14" i="15"/>
  <c r="D15" i="15"/>
  <c r="D16" i="15"/>
  <c r="D17" i="15"/>
  <c r="D12" i="15"/>
  <c r="C12" i="13" l="1"/>
  <c r="D12" i="13"/>
  <c r="E12" i="13"/>
  <c r="B12" i="13"/>
  <c r="C11" i="13"/>
  <c r="D11" i="13"/>
  <c r="E11" i="13"/>
  <c r="B11" i="13"/>
  <c r="C10" i="13"/>
  <c r="D10" i="13"/>
  <c r="E10" i="13"/>
  <c r="B10" i="13"/>
  <c r="F6" i="13"/>
  <c r="F12" i="13" s="1"/>
  <c r="F7" i="13"/>
  <c r="F5" i="13"/>
  <c r="F11" i="13" s="1"/>
  <c r="F10" i="13" l="1"/>
  <c r="J63" i="11"/>
  <c r="H63" i="11"/>
  <c r="I63" i="11" s="1"/>
  <c r="J123" i="11"/>
  <c r="J127" i="11"/>
  <c r="J94" i="11"/>
  <c r="J119" i="11"/>
  <c r="J126" i="11"/>
  <c r="J125" i="11"/>
  <c r="J98" i="11"/>
  <c r="J111" i="11"/>
  <c r="J86" i="11"/>
  <c r="J109" i="11"/>
  <c r="J110" i="11"/>
  <c r="J90" i="11"/>
  <c r="H123" i="11"/>
  <c r="I123" i="11" s="1"/>
  <c r="H127" i="11"/>
  <c r="I127" i="11" s="1"/>
  <c r="H94" i="11"/>
  <c r="I94" i="11" s="1"/>
  <c r="H119" i="11"/>
  <c r="I119" i="11" s="1"/>
  <c r="H126" i="11"/>
  <c r="I126" i="11" s="1"/>
  <c r="H125" i="11"/>
  <c r="I125" i="11" s="1"/>
  <c r="H98" i="11"/>
  <c r="I98" i="11" s="1"/>
  <c r="H111" i="11"/>
  <c r="I111" i="11" s="1"/>
  <c r="H86" i="11"/>
  <c r="I86" i="11" s="1"/>
  <c r="H109" i="11"/>
  <c r="I109" i="11" s="1"/>
  <c r="H110" i="11"/>
  <c r="I110" i="11" s="1"/>
  <c r="H90" i="11"/>
  <c r="I90" i="11" s="1"/>
  <c r="J108" i="11" l="1"/>
  <c r="J30" i="11"/>
  <c r="J83" i="11"/>
  <c r="J25" i="11"/>
  <c r="J100" i="11"/>
  <c r="J128" i="11"/>
  <c r="J43" i="11"/>
  <c r="J21" i="11"/>
  <c r="J8" i="11"/>
  <c r="J61" i="11"/>
  <c r="J124" i="11"/>
  <c r="J106" i="11"/>
  <c r="J93" i="11"/>
  <c r="J55" i="11"/>
  <c r="J121" i="11"/>
  <c r="H108" i="11"/>
  <c r="I108" i="11" s="1"/>
  <c r="H30" i="11"/>
  <c r="I30" i="11" s="1"/>
  <c r="H83" i="11"/>
  <c r="I83" i="11" s="1"/>
  <c r="H25" i="11"/>
  <c r="I25" i="11" s="1"/>
  <c r="H100" i="11"/>
  <c r="I100" i="11" s="1"/>
  <c r="H128" i="11"/>
  <c r="I128" i="11" s="1"/>
  <c r="H43" i="11"/>
  <c r="I43" i="11" s="1"/>
  <c r="H21" i="11"/>
  <c r="I21" i="11" s="1"/>
  <c r="H8" i="11"/>
  <c r="I8" i="11" s="1"/>
  <c r="H61" i="11"/>
  <c r="I61" i="11" s="1"/>
  <c r="H124" i="11"/>
  <c r="I124" i="11" s="1"/>
  <c r="H106" i="11"/>
  <c r="I106" i="11" s="1"/>
  <c r="H93" i="11"/>
  <c r="I93" i="11" s="1"/>
  <c r="H55" i="11"/>
  <c r="I55" i="11" s="1"/>
  <c r="H121" i="11"/>
  <c r="I121" i="11" s="1"/>
  <c r="J118" i="11" l="1"/>
  <c r="J34" i="11"/>
  <c r="J41" i="11" l="1"/>
  <c r="J103" i="11" l="1"/>
  <c r="H103" i="11"/>
  <c r="I103" i="11" s="1"/>
  <c r="J85" i="11"/>
  <c r="H85" i="11"/>
  <c r="I85" i="11" s="1"/>
  <c r="J80" i="11"/>
  <c r="H80" i="11"/>
  <c r="I80" i="11" s="1"/>
  <c r="J102" i="11"/>
  <c r="H102" i="11"/>
  <c r="I102" i="11" s="1"/>
  <c r="J49" i="11"/>
  <c r="H49" i="11"/>
  <c r="I49" i="11" s="1"/>
  <c r="J122" i="11"/>
  <c r="H122" i="11"/>
  <c r="I122" i="11" s="1"/>
  <c r="J60" i="11"/>
  <c r="H60" i="11"/>
  <c r="I60" i="11" s="1"/>
  <c r="J89" i="11"/>
  <c r="H89" i="11"/>
  <c r="I89" i="11" s="1"/>
  <c r="J117" i="11"/>
  <c r="H117" i="11"/>
  <c r="I117" i="11" s="1"/>
  <c r="J3" i="11"/>
  <c r="H3" i="11"/>
  <c r="I3" i="11" s="1"/>
  <c r="J22" i="11"/>
  <c r="H22" i="11"/>
  <c r="I22" i="11" s="1"/>
  <c r="J4" i="11"/>
  <c r="H4" i="11"/>
  <c r="I4" i="11" s="1"/>
  <c r="H118" i="11"/>
  <c r="I118" i="11" s="1"/>
  <c r="J12" i="11"/>
  <c r="H12" i="11"/>
  <c r="I12" i="11" s="1"/>
  <c r="J6" i="11"/>
  <c r="H6" i="11"/>
  <c r="I6" i="11" s="1"/>
  <c r="J57" i="11"/>
  <c r="H57" i="11"/>
  <c r="I57" i="11" s="1"/>
  <c r="J81" i="11"/>
  <c r="H81" i="11"/>
  <c r="I81" i="11" s="1"/>
  <c r="J46" i="11"/>
  <c r="H46" i="11"/>
  <c r="I46" i="11" s="1"/>
  <c r="J73" i="11"/>
  <c r="H73" i="11"/>
  <c r="I73" i="11" s="1"/>
  <c r="J78" i="11"/>
  <c r="H78" i="11"/>
  <c r="I78" i="11" s="1"/>
  <c r="J76" i="11"/>
  <c r="H76" i="11"/>
  <c r="I76" i="11" s="1"/>
  <c r="J39" i="11"/>
  <c r="H39" i="11"/>
  <c r="I39" i="11" s="1"/>
  <c r="J56" i="11"/>
  <c r="H56" i="11"/>
  <c r="I56" i="11" s="1"/>
  <c r="J38" i="11"/>
  <c r="H38" i="11"/>
  <c r="I38" i="11" s="1"/>
  <c r="J35" i="11"/>
  <c r="H35" i="11"/>
  <c r="I35" i="11" s="1"/>
  <c r="H34" i="11"/>
  <c r="I34" i="11" s="1"/>
  <c r="J24" i="11"/>
  <c r="H24" i="11"/>
  <c r="I24" i="11" s="1"/>
  <c r="J18" i="11"/>
  <c r="H18" i="11"/>
  <c r="I18" i="11" s="1"/>
  <c r="J17" i="11"/>
  <c r="H17" i="11"/>
  <c r="I17" i="11" s="1"/>
  <c r="J16" i="11"/>
  <c r="H16" i="11"/>
  <c r="I16" i="11" s="1"/>
  <c r="J99" i="11"/>
  <c r="H99" i="11"/>
  <c r="I99" i="11" s="1"/>
  <c r="J15" i="11"/>
  <c r="H15" i="11"/>
  <c r="I15" i="11" s="1"/>
  <c r="J66" i="11"/>
  <c r="H66" i="11"/>
  <c r="I66" i="11" s="1"/>
  <c r="J77" i="11"/>
  <c r="H77" i="11"/>
  <c r="I77" i="11" s="1"/>
  <c r="J67" i="11"/>
  <c r="H67" i="11"/>
  <c r="I67" i="11" s="1"/>
  <c r="J32" i="11"/>
  <c r="H32" i="11"/>
  <c r="I32" i="11" s="1"/>
  <c r="J31" i="11"/>
  <c r="H31" i="11"/>
  <c r="I31" i="11" s="1"/>
  <c r="J9" i="11"/>
  <c r="H9" i="11"/>
  <c r="I9" i="11" s="1"/>
  <c r="H41" i="11"/>
  <c r="I41" i="11" s="1"/>
  <c r="J91" i="11"/>
  <c r="H91" i="11"/>
  <c r="I91" i="11" s="1"/>
  <c r="J44" i="11"/>
  <c r="H44" i="11"/>
  <c r="I44" i="11" s="1"/>
  <c r="J53" i="11"/>
  <c r="H53" i="11"/>
  <c r="I53" i="11" s="1"/>
  <c r="J70" i="11"/>
  <c r="H70" i="11"/>
  <c r="I70" i="11" s="1"/>
  <c r="J59" i="11"/>
  <c r="H59" i="11"/>
  <c r="I59" i="11" s="1"/>
  <c r="J96" i="11"/>
  <c r="H96" i="11"/>
  <c r="I96" i="11" s="1"/>
  <c r="J51" i="11"/>
  <c r="H51" i="11"/>
  <c r="I51" i="11" s="1"/>
  <c r="J36" i="11"/>
  <c r="H36" i="11"/>
  <c r="I36" i="11" s="1"/>
  <c r="J37" i="11"/>
  <c r="H37" i="11"/>
  <c r="I37" i="11" s="1"/>
  <c r="J52" i="11"/>
  <c r="H52" i="11"/>
  <c r="I52" i="11" s="1"/>
  <c r="J75" i="11"/>
  <c r="H75" i="11"/>
  <c r="I75" i="11" s="1"/>
  <c r="J48" i="11"/>
  <c r="H48" i="11"/>
  <c r="I48" i="11" s="1"/>
  <c r="J71" i="11"/>
  <c r="H71" i="11"/>
  <c r="I71" i="11" s="1"/>
  <c r="J87" i="11"/>
  <c r="H87" i="11"/>
  <c r="I87" i="11" s="1"/>
  <c r="J26" i="11"/>
  <c r="H26" i="11"/>
  <c r="I26" i="11" s="1"/>
  <c r="J13" i="11"/>
  <c r="H13" i="11"/>
  <c r="I13" i="11" s="1"/>
  <c r="J11" i="11"/>
  <c r="H11" i="11"/>
  <c r="I11" i="11" s="1"/>
  <c r="J10" i="11"/>
  <c r="H10" i="11"/>
  <c r="I10" i="11" s="1"/>
  <c r="J92" i="11"/>
  <c r="H92" i="11"/>
  <c r="I92" i="11" s="1"/>
  <c r="J120" i="11"/>
  <c r="H120" i="11"/>
  <c r="I120" i="11" s="1"/>
  <c r="J88" i="11"/>
  <c r="H88" i="11"/>
  <c r="I88" i="11" s="1"/>
  <c r="J115" i="11"/>
  <c r="H115" i="11"/>
  <c r="I115" i="11" s="1"/>
  <c r="J101" i="11"/>
  <c r="H101" i="11"/>
  <c r="I101" i="11" s="1"/>
  <c r="J104" i="11"/>
  <c r="H104" i="11"/>
  <c r="I104" i="11" s="1"/>
  <c r="J68" i="11"/>
  <c r="H68" i="11"/>
  <c r="I68" i="11" s="1"/>
  <c r="J74" i="11"/>
  <c r="H74" i="11"/>
  <c r="I74" i="11" s="1"/>
  <c r="J79" i="11"/>
  <c r="H79" i="11"/>
  <c r="I79" i="11" s="1"/>
  <c r="J107" i="11"/>
  <c r="H107" i="11"/>
  <c r="I107" i="11" s="1"/>
  <c r="J82" i="11"/>
  <c r="H82" i="11"/>
  <c r="I82" i="11" s="1"/>
  <c r="J113" i="11"/>
  <c r="H113" i="11"/>
  <c r="I113" i="11" s="1"/>
  <c r="J2" i="11"/>
  <c r="H2" i="11"/>
  <c r="I2" i="11" s="1"/>
  <c r="J84" i="11"/>
  <c r="H84" i="11"/>
  <c r="I84" i="11" s="1"/>
  <c r="J105" i="11"/>
  <c r="H105" i="11"/>
  <c r="I105" i="11" s="1"/>
  <c r="J54" i="11"/>
  <c r="H54" i="11"/>
  <c r="I54" i="11" s="1"/>
  <c r="J97" i="11"/>
  <c r="H97" i="11"/>
  <c r="I97" i="11" s="1"/>
  <c r="J114" i="11"/>
  <c r="H114" i="11"/>
  <c r="I114" i="11" s="1"/>
  <c r="J42" i="11"/>
  <c r="H42" i="11"/>
  <c r="I42" i="11" s="1"/>
  <c r="J47" i="11"/>
  <c r="H47" i="11"/>
  <c r="I47" i="11" s="1"/>
  <c r="J116" i="11"/>
  <c r="H116" i="11"/>
  <c r="I116" i="11" s="1"/>
  <c r="J72" i="11"/>
  <c r="H72" i="11"/>
  <c r="I72" i="11" s="1"/>
  <c r="J40" i="11"/>
  <c r="H40" i="11"/>
  <c r="I40" i="11" s="1"/>
  <c r="J33" i="11"/>
  <c r="H33" i="11"/>
  <c r="I33" i="11" s="1"/>
  <c r="J58" i="11"/>
  <c r="H58" i="11"/>
  <c r="I58" i="11" s="1"/>
  <c r="J95" i="11"/>
  <c r="H95" i="11"/>
  <c r="I95" i="11" s="1"/>
  <c r="J69" i="11"/>
  <c r="H69" i="11"/>
  <c r="I69" i="11" s="1"/>
  <c r="J20" i="11"/>
  <c r="H20" i="11"/>
  <c r="I20" i="11" s="1"/>
  <c r="J5" i="11"/>
  <c r="H5" i="11"/>
  <c r="I5" i="11" s="1"/>
  <c r="J29" i="11"/>
  <c r="H29" i="11"/>
  <c r="I29" i="11" s="1"/>
  <c r="J64" i="11"/>
  <c r="H64" i="11"/>
  <c r="I64" i="11" s="1"/>
  <c r="J45" i="11"/>
  <c r="H45" i="11"/>
  <c r="I45" i="11" s="1"/>
  <c r="J7" i="11"/>
  <c r="H7" i="11"/>
  <c r="I7" i="11" s="1"/>
  <c r="J65" i="11"/>
  <c r="H65" i="11"/>
  <c r="I65" i="11" s="1"/>
  <c r="J62" i="11"/>
  <c r="H62" i="11"/>
  <c r="I62" i="11" s="1"/>
  <c r="J28" i="11"/>
  <c r="H28" i="11"/>
  <c r="I28" i="11" s="1"/>
  <c r="J27" i="11"/>
  <c r="H27" i="11"/>
  <c r="I27" i="11" s="1"/>
  <c r="J19" i="11"/>
  <c r="H19" i="11"/>
  <c r="I19" i="11" s="1"/>
  <c r="J50" i="11"/>
  <c r="H50" i="11"/>
  <c r="I50" i="11" s="1"/>
  <c r="J129" i="11"/>
  <c r="H129" i="11"/>
  <c r="I129" i="11" s="1"/>
  <c r="J112" i="11"/>
  <c r="H112" i="11"/>
  <c r="I112" i="11" s="1"/>
  <c r="J23" i="11"/>
  <c r="H23" i="11"/>
  <c r="I23" i="11" s="1"/>
  <c r="J14" i="11"/>
  <c r="H14" i="11"/>
  <c r="I14" i="11" s="1"/>
  <c r="J56" i="10" l="1"/>
  <c r="H56" i="10"/>
  <c r="I56" i="10" s="1"/>
  <c r="J55" i="10"/>
  <c r="H55" i="10"/>
  <c r="I55" i="10" s="1"/>
  <c r="J19" i="10"/>
  <c r="H19" i="10"/>
  <c r="I19" i="10" s="1"/>
  <c r="J18" i="10"/>
  <c r="H18" i="10"/>
  <c r="I18" i="10" s="1"/>
  <c r="J54" i="10"/>
  <c r="H54" i="10"/>
  <c r="I54" i="10" s="1"/>
  <c r="J53" i="10"/>
  <c r="H53" i="10"/>
  <c r="I53" i="10" s="1"/>
  <c r="J52" i="10"/>
  <c r="H52" i="10"/>
  <c r="I52" i="10" s="1"/>
  <c r="J17" i="10"/>
  <c r="H17" i="10"/>
  <c r="I17" i="10" s="1"/>
  <c r="J16" i="10"/>
  <c r="H16" i="10"/>
  <c r="I16" i="10" s="1"/>
  <c r="J51" i="10"/>
  <c r="H51" i="10"/>
  <c r="I51" i="10" s="1"/>
  <c r="J15" i="10"/>
  <c r="H15" i="10"/>
  <c r="I15" i="10" s="1"/>
  <c r="J14" i="10"/>
  <c r="H14" i="10"/>
  <c r="I14" i="10" s="1"/>
  <c r="J13" i="10"/>
  <c r="H13" i="10"/>
  <c r="I13" i="10" s="1"/>
  <c r="J50" i="10"/>
  <c r="H50" i="10"/>
  <c r="I50" i="10" s="1"/>
  <c r="J49" i="10"/>
  <c r="H49" i="10"/>
  <c r="I49" i="10" s="1"/>
  <c r="J48" i="10"/>
  <c r="H48" i="10"/>
  <c r="I48" i="10" s="1"/>
  <c r="J47" i="10"/>
  <c r="H47" i="10"/>
  <c r="I47" i="10" s="1"/>
  <c r="J12" i="10"/>
  <c r="H12" i="10"/>
  <c r="I12" i="10" s="1"/>
  <c r="J11" i="10"/>
  <c r="H11" i="10"/>
  <c r="I11" i="10" s="1"/>
  <c r="J46" i="10"/>
  <c r="H46" i="10"/>
  <c r="I46" i="10" s="1"/>
  <c r="J10" i="10"/>
  <c r="H10" i="10"/>
  <c r="I10" i="10" s="1"/>
  <c r="J45" i="10"/>
  <c r="H45" i="10"/>
  <c r="I45" i="10" s="1"/>
  <c r="J44" i="10"/>
  <c r="H44" i="10"/>
  <c r="I44" i="10" s="1"/>
  <c r="J43" i="10"/>
  <c r="H43" i="10"/>
  <c r="I43" i="10" s="1"/>
  <c r="J42" i="10"/>
  <c r="H42" i="10"/>
  <c r="I42" i="10" s="1"/>
  <c r="J41" i="10"/>
  <c r="H41" i="10"/>
  <c r="I41" i="10" s="1"/>
  <c r="J9" i="10"/>
  <c r="H9" i="10"/>
  <c r="I9" i="10" s="1"/>
  <c r="J40" i="10"/>
  <c r="H40" i="10"/>
  <c r="I40" i="10" s="1"/>
  <c r="J8" i="10"/>
  <c r="H8" i="10"/>
  <c r="I8" i="10" s="1"/>
  <c r="J39" i="10"/>
  <c r="H39" i="10"/>
  <c r="I39" i="10" s="1"/>
  <c r="J7" i="10"/>
  <c r="H7" i="10"/>
  <c r="I7" i="10" s="1"/>
  <c r="J38" i="10"/>
  <c r="H38" i="10"/>
  <c r="I38" i="10" s="1"/>
  <c r="J37" i="10"/>
  <c r="H37" i="10"/>
  <c r="I37" i="10" s="1"/>
  <c r="J36" i="10"/>
  <c r="H36" i="10"/>
  <c r="I36" i="10" s="1"/>
  <c r="J6" i="10"/>
  <c r="H6" i="10"/>
  <c r="I6" i="10" s="1"/>
  <c r="J35" i="10"/>
  <c r="H35" i="10"/>
  <c r="I35" i="10" s="1"/>
  <c r="J5" i="10"/>
  <c r="H5" i="10"/>
  <c r="I5" i="10" s="1"/>
  <c r="J34" i="10"/>
  <c r="H34" i="10"/>
  <c r="I34" i="10" s="1"/>
  <c r="J33" i="10"/>
  <c r="H33" i="10"/>
  <c r="I33" i="10" s="1"/>
  <c r="J32" i="10"/>
  <c r="H32" i="10"/>
  <c r="I32" i="10" s="1"/>
  <c r="J31" i="10"/>
  <c r="H31" i="10"/>
  <c r="I31" i="10" s="1"/>
  <c r="J30" i="10"/>
  <c r="H30" i="10"/>
  <c r="I30" i="10" s="1"/>
  <c r="J29" i="10"/>
  <c r="H29" i="10"/>
  <c r="I29" i="10" s="1"/>
  <c r="J28" i="10"/>
  <c r="H28" i="10"/>
  <c r="I28" i="10" s="1"/>
  <c r="J4" i="10"/>
  <c r="H4" i="10"/>
  <c r="I4" i="10" s="1"/>
  <c r="J27" i="10"/>
  <c r="H27" i="10"/>
  <c r="I27" i="10" s="1"/>
  <c r="J26" i="10"/>
  <c r="H26" i="10"/>
  <c r="I26" i="10" s="1"/>
  <c r="J25" i="10"/>
  <c r="H25" i="10"/>
  <c r="I25" i="10" s="1"/>
  <c r="J24" i="10"/>
  <c r="H24" i="10"/>
  <c r="I24" i="10" s="1"/>
  <c r="J23" i="10"/>
  <c r="H23" i="10"/>
  <c r="I23" i="10" s="1"/>
  <c r="J22" i="10"/>
  <c r="J57" i="10" s="1"/>
  <c r="I57" i="10" s="1"/>
  <c r="H22" i="10"/>
  <c r="I22" i="10" s="1"/>
  <c r="J3" i="10"/>
  <c r="H3" i="10"/>
  <c r="I3" i="10" s="1"/>
  <c r="J2" i="10"/>
  <c r="J20" i="10" s="1"/>
  <c r="I20" i="10" s="1"/>
  <c r="H2" i="10"/>
  <c r="I2" i="10" s="1"/>
  <c r="J40" i="9"/>
  <c r="H40" i="9"/>
  <c r="I40" i="9" s="1"/>
  <c r="J56" i="9"/>
  <c r="H56" i="9"/>
  <c r="I56" i="9" s="1"/>
  <c r="J59" i="9"/>
  <c r="H59" i="9"/>
  <c r="I59" i="9" s="1"/>
  <c r="J22" i="9"/>
  <c r="H22" i="9"/>
  <c r="I22" i="9" s="1"/>
  <c r="J39" i="9"/>
  <c r="H39" i="9"/>
  <c r="I39" i="9" s="1"/>
  <c r="J38" i="9"/>
  <c r="H38" i="9"/>
  <c r="I38" i="9" s="1"/>
  <c r="J41" i="9"/>
  <c r="H41" i="9"/>
  <c r="I41" i="9" s="1"/>
  <c r="J43" i="9"/>
  <c r="H43" i="9"/>
  <c r="I43" i="9" s="1"/>
  <c r="J53" i="9"/>
  <c r="H53" i="9"/>
  <c r="I53" i="9" s="1"/>
  <c r="J35" i="9"/>
  <c r="H35" i="9"/>
  <c r="I35" i="9" s="1"/>
  <c r="J2" i="9"/>
  <c r="H2" i="9"/>
  <c r="I2" i="9" s="1"/>
  <c r="J23" i="9"/>
  <c r="H23" i="9"/>
  <c r="I23" i="9" s="1"/>
  <c r="J8" i="9"/>
  <c r="H8" i="9"/>
  <c r="I8" i="9" s="1"/>
  <c r="J48" i="9"/>
  <c r="H48" i="9"/>
  <c r="I48" i="9" s="1"/>
  <c r="J33" i="9"/>
  <c r="H33" i="9"/>
  <c r="I33" i="9" s="1"/>
  <c r="J17" i="9"/>
  <c r="H17" i="9"/>
  <c r="I17" i="9" s="1"/>
  <c r="J15" i="9"/>
  <c r="H15" i="9"/>
  <c r="I15" i="9" s="1"/>
  <c r="J61" i="9"/>
  <c r="H61" i="9"/>
  <c r="I61" i="9" s="1"/>
  <c r="J4" i="9"/>
  <c r="H4" i="9"/>
  <c r="I4" i="9" s="1"/>
  <c r="J71" i="9"/>
  <c r="H71" i="9"/>
  <c r="I71" i="9" s="1"/>
  <c r="J54" i="9"/>
  <c r="H54" i="9"/>
  <c r="I54" i="9" s="1"/>
  <c r="J69" i="9"/>
  <c r="H69" i="9"/>
  <c r="I69" i="9" s="1"/>
  <c r="J55" i="9"/>
  <c r="H55" i="9"/>
  <c r="I55" i="9" s="1"/>
  <c r="J16" i="9"/>
  <c r="H16" i="9"/>
  <c r="I16" i="9" s="1"/>
  <c r="J64" i="9"/>
  <c r="H64" i="9"/>
  <c r="I64" i="9" s="1"/>
  <c r="J36" i="9"/>
  <c r="H36" i="9"/>
  <c r="I36" i="9" s="1"/>
  <c r="J14" i="9"/>
  <c r="H14" i="9"/>
  <c r="I14" i="9" s="1"/>
  <c r="J26" i="9"/>
  <c r="H26" i="9"/>
  <c r="I26" i="9" s="1"/>
  <c r="J58" i="9"/>
  <c r="H58" i="9"/>
  <c r="I58" i="9" s="1"/>
  <c r="J63" i="9"/>
  <c r="H63" i="9"/>
  <c r="I63" i="9" s="1"/>
  <c r="J10" i="9"/>
  <c r="H10" i="9"/>
  <c r="I10" i="9" s="1"/>
  <c r="J13" i="9"/>
  <c r="H13" i="9"/>
  <c r="I13" i="9" s="1"/>
  <c r="J57" i="9"/>
  <c r="H57" i="9"/>
  <c r="I57" i="9" s="1"/>
  <c r="J32" i="9"/>
  <c r="H32" i="9"/>
  <c r="I32" i="9" s="1"/>
  <c r="J60" i="9"/>
  <c r="H60" i="9"/>
  <c r="I60" i="9" s="1"/>
  <c r="J65" i="9"/>
  <c r="H65" i="9"/>
  <c r="I65" i="9" s="1"/>
  <c r="J20" i="9"/>
  <c r="H20" i="9"/>
  <c r="I20" i="9" s="1"/>
  <c r="J12" i="9"/>
  <c r="H12" i="9"/>
  <c r="I12" i="9" s="1"/>
  <c r="J18" i="9"/>
  <c r="H18" i="9"/>
  <c r="I18" i="9" s="1"/>
  <c r="J19" i="9"/>
  <c r="H19" i="9"/>
  <c r="I19" i="9" s="1"/>
  <c r="J21" i="9"/>
  <c r="H21" i="9"/>
  <c r="I21" i="9" s="1"/>
  <c r="J25" i="9"/>
  <c r="H25" i="9"/>
  <c r="I25" i="9" s="1"/>
  <c r="J49" i="9"/>
  <c r="H49" i="9"/>
  <c r="I49" i="9" s="1"/>
  <c r="J70" i="9"/>
  <c r="H70" i="9"/>
  <c r="I70" i="9" s="1"/>
  <c r="J62" i="9"/>
  <c r="H62" i="9"/>
  <c r="I62" i="9" s="1"/>
  <c r="J72" i="9"/>
  <c r="H72" i="9"/>
  <c r="I72" i="9" s="1"/>
  <c r="J5" i="9"/>
  <c r="H5" i="9"/>
  <c r="I5" i="9" s="1"/>
  <c r="J47" i="9"/>
  <c r="H47" i="9"/>
  <c r="I47" i="9" s="1"/>
  <c r="J11" i="9"/>
  <c r="H11" i="9"/>
  <c r="I11" i="9" s="1"/>
  <c r="J30" i="9"/>
  <c r="H30" i="9"/>
  <c r="I30" i="9" s="1"/>
  <c r="J68" i="9"/>
  <c r="H68" i="9"/>
  <c r="I68" i="9" s="1"/>
  <c r="J27" i="9"/>
  <c r="H27" i="9"/>
  <c r="I27" i="9" s="1"/>
  <c r="J50" i="9"/>
  <c r="H50" i="9"/>
  <c r="I50" i="9" s="1"/>
  <c r="J29" i="9"/>
  <c r="H29" i="9"/>
  <c r="I29" i="9" s="1"/>
  <c r="J51" i="9"/>
  <c r="H51" i="9"/>
  <c r="I51" i="9" s="1"/>
  <c r="J24" i="9"/>
  <c r="H24" i="9"/>
  <c r="I24" i="9" s="1"/>
  <c r="J44" i="9"/>
  <c r="H44" i="9"/>
  <c r="I44" i="9" s="1"/>
  <c r="J67" i="9"/>
  <c r="H67" i="9"/>
  <c r="I67" i="9" s="1"/>
  <c r="J66" i="9"/>
  <c r="H66" i="9"/>
  <c r="I66" i="9" s="1"/>
  <c r="J31" i="9"/>
  <c r="H31" i="9"/>
  <c r="I31" i="9" s="1"/>
  <c r="J28" i="9"/>
  <c r="H28" i="9"/>
  <c r="I28" i="9" s="1"/>
  <c r="J52" i="9"/>
  <c r="H52" i="9"/>
  <c r="I52" i="9" s="1"/>
  <c r="J42" i="9"/>
  <c r="H42" i="9"/>
  <c r="I42" i="9" s="1"/>
  <c r="J46" i="9"/>
  <c r="H46" i="9"/>
  <c r="I46" i="9" s="1"/>
  <c r="J45" i="9"/>
  <c r="H45" i="9"/>
  <c r="I45" i="9" s="1"/>
  <c r="J6" i="9"/>
  <c r="H6" i="9"/>
  <c r="I6" i="9" s="1"/>
  <c r="J37" i="9"/>
  <c r="H37" i="9"/>
  <c r="I37" i="9" s="1"/>
  <c r="J34" i="9"/>
  <c r="H34" i="9"/>
  <c r="I34" i="9" s="1"/>
  <c r="J7" i="9"/>
  <c r="H7" i="9"/>
  <c r="I7" i="9" s="1"/>
  <c r="J9" i="9"/>
  <c r="H9" i="9"/>
  <c r="I9" i="9" s="1"/>
  <c r="J3" i="9"/>
  <c r="H3" i="9"/>
  <c r="I3" i="9" s="1"/>
  <c r="J44" i="8"/>
  <c r="I44" i="8"/>
  <c r="H44" i="8"/>
  <c r="J5" i="8"/>
  <c r="H5" i="8"/>
  <c r="I5" i="8" s="1"/>
  <c r="J37" i="8"/>
  <c r="H37" i="8"/>
  <c r="I37" i="8" s="1"/>
  <c r="J18" i="8"/>
  <c r="H18" i="8"/>
  <c r="I18" i="8" s="1"/>
  <c r="J21" i="8"/>
  <c r="H21" i="8"/>
  <c r="I21" i="8" s="1"/>
  <c r="J22" i="8"/>
  <c r="H22" i="8"/>
  <c r="I22" i="8" s="1"/>
  <c r="J30" i="8"/>
  <c r="H30" i="8"/>
  <c r="I30" i="8" s="1"/>
  <c r="J29" i="8"/>
  <c r="H29" i="8"/>
  <c r="I29" i="8" s="1"/>
  <c r="J9" i="8"/>
  <c r="H9" i="8"/>
  <c r="I9" i="8" s="1"/>
  <c r="J7" i="8"/>
  <c r="H7" i="8"/>
  <c r="I7" i="8" s="1"/>
  <c r="J19" i="8"/>
  <c r="H19" i="8"/>
  <c r="I19" i="8" s="1"/>
  <c r="J4" i="8"/>
  <c r="H4" i="8"/>
  <c r="I4" i="8" s="1"/>
  <c r="J6" i="8"/>
  <c r="H6" i="8"/>
  <c r="I6" i="8" s="1"/>
  <c r="J12" i="8"/>
  <c r="H12" i="8"/>
  <c r="I12" i="8" s="1"/>
  <c r="J2" i="8"/>
  <c r="H2" i="8"/>
  <c r="I2" i="8" s="1"/>
  <c r="J23" i="8"/>
  <c r="H23" i="8"/>
  <c r="I23" i="8" s="1"/>
  <c r="J41" i="8"/>
  <c r="H41" i="8"/>
  <c r="I41" i="8" s="1"/>
  <c r="J36" i="8"/>
  <c r="H36" i="8"/>
  <c r="I36" i="8" s="1"/>
  <c r="J28" i="8"/>
  <c r="H28" i="8"/>
  <c r="I28" i="8" s="1"/>
  <c r="J31" i="8"/>
  <c r="H31" i="8"/>
  <c r="I31" i="8" s="1"/>
  <c r="J40" i="8"/>
  <c r="H40" i="8"/>
  <c r="I40" i="8" s="1"/>
  <c r="J35" i="8"/>
  <c r="H35" i="8"/>
  <c r="I35" i="8" s="1"/>
  <c r="J8" i="8"/>
  <c r="H8" i="8"/>
  <c r="I8" i="8" s="1"/>
  <c r="J11" i="8"/>
  <c r="H11" i="8"/>
  <c r="I11" i="8" s="1"/>
  <c r="J13" i="8"/>
  <c r="H13" i="8"/>
  <c r="I13" i="8" s="1"/>
  <c r="J10" i="8"/>
  <c r="H10" i="8"/>
  <c r="I10" i="8" s="1"/>
  <c r="J32" i="8"/>
  <c r="H32" i="8"/>
  <c r="I32" i="8" s="1"/>
  <c r="J3" i="8"/>
  <c r="H3" i="8"/>
  <c r="I3" i="8" s="1"/>
  <c r="J17" i="8"/>
  <c r="H17" i="8"/>
  <c r="I17" i="8" s="1"/>
  <c r="J20" i="8"/>
  <c r="H20" i="8"/>
  <c r="I20" i="8" s="1"/>
  <c r="J43" i="8"/>
  <c r="H43" i="8"/>
  <c r="I43" i="8" s="1"/>
  <c r="J39" i="8"/>
  <c r="H39" i="8"/>
  <c r="I39" i="8" s="1"/>
  <c r="J42" i="8"/>
  <c r="H42" i="8"/>
  <c r="I42" i="8" s="1"/>
  <c r="J27" i="8"/>
  <c r="H27" i="8"/>
  <c r="I27" i="8" s="1"/>
  <c r="J15" i="8"/>
  <c r="H15" i="8"/>
  <c r="I15" i="8" s="1"/>
  <c r="J14" i="8"/>
  <c r="H14" i="8"/>
  <c r="I14" i="8" s="1"/>
  <c r="J33" i="8"/>
  <c r="H33" i="8"/>
  <c r="I33" i="8" s="1"/>
  <c r="J25" i="8"/>
  <c r="H25" i="8"/>
  <c r="I25" i="8" s="1"/>
  <c r="J38" i="8"/>
  <c r="H38" i="8"/>
  <c r="I38" i="8" s="1"/>
  <c r="J24" i="8"/>
  <c r="H24" i="8"/>
  <c r="I24" i="8" s="1"/>
  <c r="J26" i="8"/>
  <c r="H26" i="8"/>
  <c r="I26" i="8" s="1"/>
  <c r="J16" i="8"/>
  <c r="H16" i="8"/>
  <c r="I16" i="8" s="1"/>
  <c r="J34" i="8"/>
  <c r="H34" i="8"/>
  <c r="I34" i="8" s="1"/>
  <c r="J45" i="8"/>
  <c r="H45" i="8"/>
  <c r="I45" i="8" s="1"/>
  <c r="J24" i="7" l="1"/>
  <c r="J48" i="7"/>
  <c r="J79" i="7"/>
  <c r="J88" i="7"/>
  <c r="J69" i="7"/>
  <c r="J51" i="7"/>
  <c r="J49" i="7"/>
  <c r="J71" i="7"/>
  <c r="J63" i="7"/>
  <c r="J81" i="7"/>
  <c r="J42" i="7"/>
  <c r="J61" i="7"/>
  <c r="J6" i="7"/>
  <c r="J87" i="7"/>
  <c r="J53" i="7"/>
  <c r="J66" i="7"/>
  <c r="J29" i="7"/>
  <c r="J85" i="7"/>
  <c r="J90" i="7"/>
  <c r="J36" i="7"/>
  <c r="J15" i="7"/>
  <c r="J7" i="7"/>
  <c r="J32" i="7"/>
  <c r="J45" i="7"/>
  <c r="J37" i="7"/>
  <c r="J47" i="7"/>
  <c r="J8" i="7"/>
  <c r="J26" i="7"/>
  <c r="J77" i="7"/>
  <c r="J74" i="7"/>
  <c r="J31" i="7"/>
  <c r="J11" i="7"/>
  <c r="J5" i="7"/>
  <c r="J54" i="7"/>
  <c r="J30" i="7"/>
  <c r="J19" i="7"/>
  <c r="J21" i="7"/>
  <c r="J18" i="7"/>
  <c r="J20" i="7"/>
  <c r="J86" i="7"/>
  <c r="J62" i="7"/>
  <c r="J43" i="7"/>
  <c r="J34" i="7"/>
  <c r="J10" i="7"/>
  <c r="J9" i="7"/>
  <c r="J13" i="7"/>
  <c r="J14" i="7"/>
  <c r="J2" i="7"/>
  <c r="J12" i="7"/>
  <c r="J23" i="7"/>
  <c r="J17" i="7"/>
  <c r="J22" i="7"/>
  <c r="J84" i="7"/>
  <c r="J40" i="7"/>
  <c r="J39" i="7"/>
  <c r="J44" i="7"/>
  <c r="J38" i="7"/>
  <c r="J35" i="7"/>
  <c r="J75" i="7"/>
  <c r="J65" i="7"/>
  <c r="J28" i="7"/>
  <c r="J60" i="7"/>
  <c r="J89" i="7"/>
  <c r="J4" i="7"/>
  <c r="J70" i="7"/>
  <c r="J41" i="7"/>
  <c r="J68" i="7"/>
  <c r="J82" i="7"/>
  <c r="J59" i="7"/>
  <c r="J46" i="7"/>
  <c r="J72" i="7"/>
  <c r="J83" i="7"/>
  <c r="J25" i="7"/>
  <c r="J3" i="7"/>
  <c r="J55" i="7"/>
  <c r="J76" i="7"/>
  <c r="J80" i="7"/>
  <c r="J27" i="7"/>
  <c r="J57" i="7"/>
  <c r="J52" i="7"/>
  <c r="J56" i="7"/>
  <c r="J78" i="7"/>
  <c r="J67" i="7"/>
  <c r="J16" i="7"/>
  <c r="J50" i="7"/>
  <c r="J33" i="7"/>
  <c r="J73" i="7"/>
  <c r="J58" i="7"/>
  <c r="J64" i="7"/>
  <c r="J3" i="4"/>
  <c r="J42" i="4"/>
  <c r="J10" i="4"/>
  <c r="J29" i="4"/>
  <c r="J26" i="4"/>
  <c r="J25" i="4"/>
  <c r="J18" i="4"/>
  <c r="J17" i="4"/>
  <c r="J38" i="4"/>
  <c r="J40" i="4"/>
  <c r="J28" i="4"/>
  <c r="J43" i="4"/>
  <c r="J41" i="4"/>
  <c r="J35" i="4"/>
  <c r="J45" i="4"/>
  <c r="J24" i="4"/>
  <c r="J6" i="4"/>
  <c r="J11" i="4"/>
  <c r="J19" i="4"/>
  <c r="J16" i="4"/>
  <c r="J7" i="4"/>
  <c r="J12" i="4"/>
  <c r="J39" i="4"/>
  <c r="J36" i="4"/>
  <c r="J34" i="4"/>
  <c r="J37" i="4"/>
  <c r="J15" i="4"/>
  <c r="J44" i="4"/>
  <c r="J30" i="4"/>
  <c r="J27" i="4"/>
  <c r="J4" i="4"/>
  <c r="J8" i="4"/>
  <c r="J5" i="4"/>
  <c r="J20" i="4"/>
  <c r="J32" i="4"/>
  <c r="J33" i="4"/>
  <c r="J14" i="4"/>
  <c r="J22" i="4"/>
  <c r="J9" i="4"/>
  <c r="J23" i="4"/>
  <c r="J21" i="4"/>
  <c r="J31" i="4"/>
  <c r="J13" i="4"/>
  <c r="J2" i="4"/>
  <c r="H66" i="6"/>
  <c r="I66" i="6" s="1"/>
  <c r="J34" i="6"/>
  <c r="J17" i="6"/>
  <c r="J14" i="6"/>
  <c r="J51" i="6"/>
  <c r="J33" i="6"/>
  <c r="J35" i="6"/>
  <c r="J32" i="6"/>
  <c r="J30" i="6"/>
  <c r="J20" i="6"/>
  <c r="J38" i="6"/>
  <c r="J71" i="6"/>
  <c r="J50" i="6"/>
  <c r="J65" i="6"/>
  <c r="J25" i="6"/>
  <c r="J40" i="6"/>
  <c r="J56" i="6"/>
  <c r="J58" i="6"/>
  <c r="J12" i="6"/>
  <c r="J69" i="6"/>
  <c r="J19" i="6"/>
  <c r="J4" i="6"/>
  <c r="J18" i="6"/>
  <c r="J57" i="6"/>
  <c r="J9" i="6"/>
  <c r="J37" i="6"/>
  <c r="J59" i="6"/>
  <c r="J47" i="6"/>
  <c r="J15" i="6"/>
  <c r="J11" i="6"/>
  <c r="J63" i="6"/>
  <c r="J60" i="6"/>
  <c r="J16" i="6"/>
  <c r="J42" i="6"/>
  <c r="J13" i="6"/>
  <c r="J8" i="6"/>
  <c r="J53" i="6"/>
  <c r="J61" i="6"/>
  <c r="J55" i="6"/>
  <c r="J54" i="6"/>
  <c r="J52" i="6"/>
  <c r="J48" i="6"/>
  <c r="J24" i="6"/>
  <c r="J3" i="6"/>
  <c r="J10" i="6"/>
  <c r="J2" i="6"/>
  <c r="J68" i="6"/>
  <c r="J26" i="6"/>
  <c r="J62" i="6"/>
  <c r="J43" i="6"/>
  <c r="J5" i="6"/>
  <c r="J46" i="6"/>
  <c r="J23" i="6"/>
  <c r="J44" i="6"/>
  <c r="J22" i="6"/>
  <c r="J49" i="6"/>
  <c r="J29" i="6"/>
  <c r="J7" i="6"/>
  <c r="J6" i="6"/>
  <c r="J41" i="6"/>
  <c r="J45" i="6"/>
  <c r="J21" i="6"/>
  <c r="J31" i="6"/>
  <c r="J27" i="6"/>
  <c r="J28" i="6"/>
  <c r="J67" i="6"/>
  <c r="J36" i="6"/>
  <c r="J64" i="6"/>
  <c r="J66" i="6"/>
  <c r="J39" i="6"/>
  <c r="J70" i="6"/>
  <c r="H24" i="7"/>
  <c r="I24" i="7" s="1"/>
  <c r="H48" i="7"/>
  <c r="I48" i="7" s="1"/>
  <c r="H79" i="7"/>
  <c r="I79" i="7" s="1"/>
  <c r="H88" i="7"/>
  <c r="I88" i="7" s="1"/>
  <c r="H69" i="7"/>
  <c r="I69" i="7" s="1"/>
  <c r="H51" i="7"/>
  <c r="I51" i="7" s="1"/>
  <c r="H49" i="7"/>
  <c r="I49" i="7" s="1"/>
  <c r="H71" i="7"/>
  <c r="I71" i="7" s="1"/>
  <c r="H63" i="7"/>
  <c r="I63" i="7" s="1"/>
  <c r="H81" i="7"/>
  <c r="I81" i="7" s="1"/>
  <c r="H42" i="7"/>
  <c r="I42" i="7" s="1"/>
  <c r="H61" i="7"/>
  <c r="I61" i="7" s="1"/>
  <c r="H6" i="7"/>
  <c r="I6" i="7" s="1"/>
  <c r="H87" i="7"/>
  <c r="I87" i="7" s="1"/>
  <c r="H53" i="7"/>
  <c r="I53" i="7" s="1"/>
  <c r="H66" i="7"/>
  <c r="I66" i="7" s="1"/>
  <c r="H29" i="7"/>
  <c r="I29" i="7" s="1"/>
  <c r="H85" i="7"/>
  <c r="I85" i="7" s="1"/>
  <c r="H90" i="7"/>
  <c r="I90" i="7" s="1"/>
  <c r="H36" i="7"/>
  <c r="I36" i="7" s="1"/>
  <c r="H15" i="7"/>
  <c r="I15" i="7" s="1"/>
  <c r="H7" i="7"/>
  <c r="I7" i="7" s="1"/>
  <c r="H32" i="7"/>
  <c r="I32" i="7" s="1"/>
  <c r="H45" i="7"/>
  <c r="I45" i="7" s="1"/>
  <c r="H37" i="7"/>
  <c r="I37" i="7" s="1"/>
  <c r="H47" i="7"/>
  <c r="I47" i="7" s="1"/>
  <c r="H8" i="7"/>
  <c r="I8" i="7" s="1"/>
  <c r="H26" i="7"/>
  <c r="I26" i="7" s="1"/>
  <c r="H77" i="7"/>
  <c r="I77" i="7" s="1"/>
  <c r="H74" i="7"/>
  <c r="I74" i="7" s="1"/>
  <c r="H31" i="7"/>
  <c r="I31" i="7" s="1"/>
  <c r="H11" i="7"/>
  <c r="I11" i="7" s="1"/>
  <c r="H5" i="7"/>
  <c r="I5" i="7" s="1"/>
  <c r="H54" i="7"/>
  <c r="I54" i="7" s="1"/>
  <c r="H30" i="7"/>
  <c r="I30" i="7" s="1"/>
  <c r="H19" i="7"/>
  <c r="I19" i="7" s="1"/>
  <c r="H21" i="7"/>
  <c r="I21" i="7" s="1"/>
  <c r="H18" i="7"/>
  <c r="I18" i="7" s="1"/>
  <c r="H20" i="7"/>
  <c r="I20" i="7" s="1"/>
  <c r="H86" i="7"/>
  <c r="I86" i="7" s="1"/>
  <c r="H62" i="7"/>
  <c r="I62" i="7" s="1"/>
  <c r="H43" i="7"/>
  <c r="I43" i="7" s="1"/>
  <c r="H34" i="7"/>
  <c r="I34" i="7" s="1"/>
  <c r="H10" i="7"/>
  <c r="I10" i="7" s="1"/>
  <c r="H9" i="7"/>
  <c r="I9" i="7" s="1"/>
  <c r="H13" i="7"/>
  <c r="I13" i="7" s="1"/>
  <c r="H14" i="7"/>
  <c r="I14" i="7" s="1"/>
  <c r="H2" i="7"/>
  <c r="I2" i="7" s="1"/>
  <c r="H12" i="7"/>
  <c r="I12" i="7" s="1"/>
  <c r="H23" i="7"/>
  <c r="I23" i="7" s="1"/>
  <c r="H17" i="7"/>
  <c r="I17" i="7" s="1"/>
  <c r="H22" i="7"/>
  <c r="I22" i="7" s="1"/>
  <c r="H84" i="7"/>
  <c r="I84" i="7" s="1"/>
  <c r="H40" i="7"/>
  <c r="I40" i="7" s="1"/>
  <c r="H39" i="7"/>
  <c r="I39" i="7" s="1"/>
  <c r="H44" i="7"/>
  <c r="I44" i="7" s="1"/>
  <c r="H38" i="7"/>
  <c r="I38" i="7" s="1"/>
  <c r="H35" i="7"/>
  <c r="I35" i="7" s="1"/>
  <c r="H75" i="7"/>
  <c r="I75" i="7" s="1"/>
  <c r="H65" i="7"/>
  <c r="I65" i="7" s="1"/>
  <c r="H28" i="7"/>
  <c r="I28" i="7" s="1"/>
  <c r="H60" i="7"/>
  <c r="I60" i="7" s="1"/>
  <c r="H89" i="7"/>
  <c r="I89" i="7" s="1"/>
  <c r="H4" i="7"/>
  <c r="I4" i="7" s="1"/>
  <c r="H70" i="7"/>
  <c r="I70" i="7" s="1"/>
  <c r="H41" i="7"/>
  <c r="I41" i="7" s="1"/>
  <c r="H68" i="7"/>
  <c r="I68" i="7" s="1"/>
  <c r="H82" i="7"/>
  <c r="I82" i="7" s="1"/>
  <c r="H59" i="7"/>
  <c r="I59" i="7" s="1"/>
  <c r="H46" i="7"/>
  <c r="I46" i="7" s="1"/>
  <c r="H72" i="7"/>
  <c r="I72" i="7" s="1"/>
  <c r="H83" i="7"/>
  <c r="I83" i="7" s="1"/>
  <c r="H25" i="7"/>
  <c r="I25" i="7" s="1"/>
  <c r="H3" i="7"/>
  <c r="I3" i="7" s="1"/>
  <c r="H55" i="7"/>
  <c r="I55" i="7" s="1"/>
  <c r="H76" i="7"/>
  <c r="I76" i="7" s="1"/>
  <c r="H80" i="7"/>
  <c r="I80" i="7" s="1"/>
  <c r="H27" i="7"/>
  <c r="I27" i="7" s="1"/>
  <c r="H57" i="7"/>
  <c r="I57" i="7" s="1"/>
  <c r="H52" i="7"/>
  <c r="I52" i="7" s="1"/>
  <c r="H56" i="7"/>
  <c r="I56" i="7" s="1"/>
  <c r="H78" i="7"/>
  <c r="I78" i="7" s="1"/>
  <c r="H67" i="7"/>
  <c r="I67" i="7" s="1"/>
  <c r="H16" i="7"/>
  <c r="I16" i="7" s="1"/>
  <c r="H50" i="7"/>
  <c r="I50" i="7" s="1"/>
  <c r="H33" i="7"/>
  <c r="I33" i="7" s="1"/>
  <c r="H73" i="7"/>
  <c r="I73" i="7" s="1"/>
  <c r="H58" i="7"/>
  <c r="I58" i="7" s="1"/>
  <c r="H64" i="7"/>
  <c r="I64" i="7" s="1"/>
  <c r="H34" i="6"/>
  <c r="I34" i="6" s="1"/>
  <c r="H17" i="6"/>
  <c r="I17" i="6" s="1"/>
  <c r="H14" i="6"/>
  <c r="I14" i="6" s="1"/>
  <c r="H51" i="6"/>
  <c r="I51" i="6" s="1"/>
  <c r="H33" i="6"/>
  <c r="I33" i="6" s="1"/>
  <c r="H35" i="6"/>
  <c r="I35" i="6" s="1"/>
  <c r="H32" i="6"/>
  <c r="I32" i="6" s="1"/>
  <c r="H30" i="6"/>
  <c r="I30" i="6" s="1"/>
  <c r="H20" i="6"/>
  <c r="I20" i="6" s="1"/>
  <c r="H38" i="6"/>
  <c r="I38" i="6" s="1"/>
  <c r="H71" i="6"/>
  <c r="I71" i="6" s="1"/>
  <c r="H50" i="6"/>
  <c r="I50" i="6" s="1"/>
  <c r="H65" i="6"/>
  <c r="I65" i="6" s="1"/>
  <c r="H25" i="6"/>
  <c r="I25" i="6" s="1"/>
  <c r="H40" i="6"/>
  <c r="I40" i="6" s="1"/>
  <c r="H56" i="6"/>
  <c r="I56" i="6" s="1"/>
  <c r="H58" i="6"/>
  <c r="I58" i="6" s="1"/>
  <c r="H12" i="6"/>
  <c r="I12" i="6" s="1"/>
  <c r="H69" i="6"/>
  <c r="I69" i="6" s="1"/>
  <c r="H19" i="6"/>
  <c r="I19" i="6" s="1"/>
  <c r="H4" i="6"/>
  <c r="I4" i="6" s="1"/>
  <c r="H18" i="6"/>
  <c r="I18" i="6" s="1"/>
  <c r="H57" i="6"/>
  <c r="I57" i="6" s="1"/>
  <c r="H9" i="6"/>
  <c r="I9" i="6" s="1"/>
  <c r="H37" i="6"/>
  <c r="I37" i="6" s="1"/>
  <c r="H59" i="6"/>
  <c r="I59" i="6" s="1"/>
  <c r="H47" i="6"/>
  <c r="I47" i="6" s="1"/>
  <c r="H15" i="6"/>
  <c r="I15" i="6" s="1"/>
  <c r="H11" i="6"/>
  <c r="I11" i="6" s="1"/>
  <c r="H63" i="6"/>
  <c r="I63" i="6" s="1"/>
  <c r="H60" i="6"/>
  <c r="I60" i="6" s="1"/>
  <c r="H16" i="6"/>
  <c r="I16" i="6" s="1"/>
  <c r="H42" i="6"/>
  <c r="I42" i="6" s="1"/>
  <c r="H13" i="6"/>
  <c r="I13" i="6" s="1"/>
  <c r="H8" i="6"/>
  <c r="I8" i="6" s="1"/>
  <c r="H53" i="6"/>
  <c r="I53" i="6" s="1"/>
  <c r="H61" i="6"/>
  <c r="I61" i="6" s="1"/>
  <c r="H55" i="6"/>
  <c r="I55" i="6" s="1"/>
  <c r="H54" i="6"/>
  <c r="I54" i="6" s="1"/>
  <c r="H52" i="6"/>
  <c r="I52" i="6" s="1"/>
  <c r="H48" i="6"/>
  <c r="I48" i="6" s="1"/>
  <c r="H24" i="6"/>
  <c r="I24" i="6" s="1"/>
  <c r="H3" i="6"/>
  <c r="I3" i="6" s="1"/>
  <c r="H10" i="6"/>
  <c r="I10" i="6" s="1"/>
  <c r="H2" i="6"/>
  <c r="I2" i="6" s="1"/>
  <c r="H68" i="6"/>
  <c r="I68" i="6" s="1"/>
  <c r="H26" i="6"/>
  <c r="I26" i="6" s="1"/>
  <c r="H62" i="6"/>
  <c r="I62" i="6" s="1"/>
  <c r="H43" i="6"/>
  <c r="I43" i="6" s="1"/>
  <c r="H5" i="6"/>
  <c r="I5" i="6" s="1"/>
  <c r="H46" i="6"/>
  <c r="I46" i="6" s="1"/>
  <c r="H23" i="6"/>
  <c r="I23" i="6" s="1"/>
  <c r="H44" i="6"/>
  <c r="I44" i="6" s="1"/>
  <c r="H22" i="6"/>
  <c r="I22" i="6" s="1"/>
  <c r="H49" i="6"/>
  <c r="I49" i="6" s="1"/>
  <c r="H29" i="6"/>
  <c r="I29" i="6" s="1"/>
  <c r="H7" i="6"/>
  <c r="I7" i="6" s="1"/>
  <c r="H6" i="6"/>
  <c r="I6" i="6" s="1"/>
  <c r="H41" i="6"/>
  <c r="I41" i="6" s="1"/>
  <c r="H45" i="6"/>
  <c r="I45" i="6" s="1"/>
  <c r="H21" i="6"/>
  <c r="I21" i="6" s="1"/>
  <c r="H31" i="6"/>
  <c r="I31" i="6" s="1"/>
  <c r="H27" i="6"/>
  <c r="I27" i="6" s="1"/>
  <c r="H28" i="6"/>
  <c r="I28" i="6" s="1"/>
  <c r="H67" i="6"/>
  <c r="I67" i="6" s="1"/>
  <c r="H36" i="6"/>
  <c r="I36" i="6" s="1"/>
  <c r="H39" i="6"/>
  <c r="I39" i="6" s="1"/>
  <c r="H64" i="6"/>
  <c r="I64" i="6" s="1"/>
  <c r="H70" i="6"/>
  <c r="I70" i="6" s="1"/>
  <c r="I91" i="7" l="1"/>
  <c r="J72" i="6"/>
  <c r="I72" i="6"/>
  <c r="J46" i="4"/>
  <c r="H3" i="4"/>
  <c r="I3" i="4" s="1"/>
  <c r="H42" i="4"/>
  <c r="I42" i="4" s="1"/>
  <c r="H10" i="4"/>
  <c r="I10" i="4" s="1"/>
  <c r="H29" i="4"/>
  <c r="I29" i="4" s="1"/>
  <c r="H26" i="4"/>
  <c r="I26" i="4" s="1"/>
  <c r="H25" i="4"/>
  <c r="I25" i="4" s="1"/>
  <c r="H18" i="4"/>
  <c r="I18" i="4" s="1"/>
  <c r="H17" i="4"/>
  <c r="I17" i="4" s="1"/>
  <c r="H38" i="4"/>
  <c r="I38" i="4" s="1"/>
  <c r="H40" i="4"/>
  <c r="I40" i="4" s="1"/>
  <c r="H28" i="4"/>
  <c r="I28" i="4" s="1"/>
  <c r="H43" i="4"/>
  <c r="I43" i="4" s="1"/>
  <c r="H41" i="4"/>
  <c r="I41" i="4" s="1"/>
  <c r="H35" i="4"/>
  <c r="I35" i="4" s="1"/>
  <c r="H45" i="4"/>
  <c r="I45" i="4" s="1"/>
  <c r="H24" i="4"/>
  <c r="I24" i="4" s="1"/>
  <c r="H6" i="4"/>
  <c r="I6" i="4" s="1"/>
  <c r="H11" i="4"/>
  <c r="I11" i="4" s="1"/>
  <c r="H19" i="4"/>
  <c r="I19" i="4" s="1"/>
  <c r="H16" i="4"/>
  <c r="I16" i="4" s="1"/>
  <c r="H7" i="4"/>
  <c r="I7" i="4" s="1"/>
  <c r="H12" i="4"/>
  <c r="I12" i="4" s="1"/>
  <c r="H39" i="4"/>
  <c r="I39" i="4" s="1"/>
  <c r="H36" i="4"/>
  <c r="I36" i="4" s="1"/>
  <c r="H34" i="4"/>
  <c r="I34" i="4" s="1"/>
  <c r="H37" i="4"/>
  <c r="I37" i="4" s="1"/>
  <c r="H15" i="4"/>
  <c r="I15" i="4" s="1"/>
  <c r="H44" i="4"/>
  <c r="I44" i="4" s="1"/>
  <c r="H30" i="4"/>
  <c r="I30" i="4" s="1"/>
  <c r="H27" i="4"/>
  <c r="I27" i="4" s="1"/>
  <c r="H4" i="4"/>
  <c r="I4" i="4" s="1"/>
  <c r="H8" i="4"/>
  <c r="I8" i="4" s="1"/>
  <c r="H5" i="4"/>
  <c r="I5" i="4" s="1"/>
  <c r="H20" i="4"/>
  <c r="I20" i="4" s="1"/>
  <c r="H32" i="4"/>
  <c r="I32" i="4" s="1"/>
  <c r="H33" i="4"/>
  <c r="I33" i="4" s="1"/>
  <c r="H14" i="4"/>
  <c r="I14" i="4" s="1"/>
  <c r="H22" i="4"/>
  <c r="I22" i="4" s="1"/>
  <c r="H9" i="4"/>
  <c r="I9" i="4" s="1"/>
  <c r="H23" i="4"/>
  <c r="I23" i="4" s="1"/>
  <c r="H21" i="4"/>
  <c r="I21" i="4" s="1"/>
  <c r="H31" i="4"/>
  <c r="I31" i="4" s="1"/>
  <c r="H13" i="4"/>
  <c r="I13" i="4" s="1"/>
  <c r="H2" i="4"/>
  <c r="I2" i="4" s="1"/>
  <c r="I46" i="4" l="1"/>
</calcChain>
</file>

<file path=xl/sharedStrings.xml><?xml version="1.0" encoding="utf-8"?>
<sst xmlns="http://schemas.openxmlformats.org/spreadsheetml/2006/main" count="2082" uniqueCount="79">
  <si>
    <t>Street</t>
  </si>
  <si>
    <t>Sidewalk</t>
  </si>
  <si>
    <t>85th Percentile</t>
  </si>
  <si>
    <t>Seconds</t>
  </si>
  <si>
    <t>MPH</t>
  </si>
  <si>
    <t>Feet Per Second</t>
  </si>
  <si>
    <t>Facing</t>
  </si>
  <si>
    <t>Cyclist Position</t>
  </si>
  <si>
    <t>Cyclist Direction</t>
  </si>
  <si>
    <t>Zone Length (Feet)</t>
  </si>
  <si>
    <t>Travel Lane</t>
  </si>
  <si>
    <t>Edgewater</t>
  </si>
  <si>
    <t>Bike Lane</t>
  </si>
  <si>
    <t>University</t>
  </si>
  <si>
    <t>Baxter</t>
  </si>
  <si>
    <t>With</t>
  </si>
  <si>
    <t>Number</t>
  </si>
  <si>
    <t>Compass Direction</t>
  </si>
  <si>
    <t>West</t>
  </si>
  <si>
    <t>East</t>
  </si>
  <si>
    <t>Avg. Factor</t>
  </si>
  <si>
    <t>Zone Length (Feet) (43, 24)</t>
  </si>
  <si>
    <t>S</t>
  </si>
  <si>
    <t>Winter Park</t>
  </si>
  <si>
    <t>South</t>
  </si>
  <si>
    <t>Carroll</t>
  </si>
  <si>
    <t>North</t>
  </si>
  <si>
    <t>Colonial</t>
  </si>
  <si>
    <t>e-bike</t>
  </si>
  <si>
    <t>Lee</t>
  </si>
  <si>
    <t>Columbia</t>
  </si>
  <si>
    <t>Speed Range</t>
  </si>
  <si>
    <t>6 to 8</t>
  </si>
  <si>
    <t>8 to 10</t>
  </si>
  <si>
    <t>10 to 12</t>
  </si>
  <si>
    <t>12 to 14</t>
  </si>
  <si>
    <t>14 to 16</t>
  </si>
  <si>
    <t>16 to 18</t>
  </si>
  <si>
    <t>18 to 20</t>
  </si>
  <si>
    <t>20 to 22</t>
  </si>
  <si>
    <t>22 to 24</t>
  </si>
  <si>
    <t>24 to 27</t>
  </si>
  <si>
    <t>Path/ Street</t>
  </si>
  <si>
    <t>Rinehart/CST</t>
  </si>
  <si>
    <t>Path</t>
  </si>
  <si>
    <t>West Orange/Park</t>
  </si>
  <si>
    <t>Daniels</t>
  </si>
  <si>
    <t>85th percentile</t>
  </si>
  <si>
    <t>BL 85th percentile</t>
  </si>
  <si>
    <t>Aloma</t>
  </si>
  <si>
    <t>Pleasant Hill</t>
  </si>
  <si>
    <t>Bicycle Lane</t>
  </si>
  <si>
    <t>Average (Mean)</t>
  </si>
  <si>
    <t>Maximum</t>
  </si>
  <si>
    <t>Minimum</t>
  </si>
  <si>
    <t>Bicyclist Position</t>
  </si>
  <si>
    <t>Miles Per Hour</t>
  </si>
  <si>
    <t>Range</t>
  </si>
  <si>
    <t>Travel Lane to Bike Lane % Increase</t>
  </si>
  <si>
    <t>Travel Lane to Sidewalk % Increase</t>
  </si>
  <si>
    <t>Bike Lane to Sidewalk % Increase</t>
  </si>
  <si>
    <t>Bicyclist Speeds</t>
  </si>
  <si>
    <t>Number of Bicyclists Measured</t>
  </si>
  <si>
    <t>85th</t>
  </si>
  <si>
    <t>Row Labels</t>
  </si>
  <si>
    <t>Grand Total</t>
  </si>
  <si>
    <t>Sum of MPH</t>
  </si>
  <si>
    <t>Sum of Avg. Factor</t>
  </si>
  <si>
    <t>Avg. Speed</t>
  </si>
  <si>
    <t>Hi-Conflict</t>
  </si>
  <si>
    <t>Low-Conflict</t>
  </si>
  <si>
    <t>25th Percentile</t>
  </si>
  <si>
    <t>Mean Average</t>
  </si>
  <si>
    <t>Spread: 85th to 25th Percentile</t>
  </si>
  <si>
    <t>Percent of Travel Lane</t>
  </si>
  <si>
    <t>Average Plus 50%</t>
  </si>
  <si>
    <t>Silver Star</t>
  </si>
  <si>
    <t>50th percentile</t>
  </si>
  <si>
    <t>Mean 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</si>
</sst>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sz val="11"/>
      <color rgb="FFFF0000"/>
      <name val="Franklin Gothic Book"/>
      <family val="2"/>
    </font>
    <font>
      <sz val="11"/>
      <name val="Franklin Gothic Book"/>
      <family val="2"/>
    </font>
    <font>
      <b/>
      <sz val="11"/>
      <color rgb="FFFF0000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/>
    </xf>
    <xf numFmtId="164" fontId="0" fillId="0" borderId="4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0345581802274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'TL Analysis'!$M$1</c:f>
              <c:strCache>
                <c:ptCount val="1"/>
                <c:pt idx="0">
                  <c:v>Number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'TL Analysis'!$L$2:$L$11</c:f>
              <c:strCache>
                <c:ptCount val="10"/>
                <c:pt idx="0">
                  <c:v>6 to 8</c:v>
                </c:pt>
                <c:pt idx="1">
                  <c:v>8 to 10</c:v>
                </c:pt>
                <c:pt idx="2">
                  <c:v>10 to 12</c:v>
                </c:pt>
                <c:pt idx="3">
                  <c:v>12 to 14</c:v>
                </c:pt>
                <c:pt idx="4">
                  <c:v>14 to 16</c:v>
                </c:pt>
                <c:pt idx="5">
                  <c:v>16 to 18</c:v>
                </c:pt>
                <c:pt idx="6">
                  <c:v>18 to 20</c:v>
                </c:pt>
                <c:pt idx="7">
                  <c:v>20 to 22</c:v>
                </c:pt>
                <c:pt idx="8">
                  <c:v>22 to 24</c:v>
                </c:pt>
                <c:pt idx="9">
                  <c:v>24 to 27</c:v>
                </c:pt>
              </c:strCache>
            </c:strRef>
          </c:cat>
          <c:val>
            <c:numRef>
              <c:f>'TL Analysis'!$M$2:$M$11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12</c:v>
                </c:pt>
                <c:pt idx="3">
                  <c:v>7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38-47C8-B08A-D2893E62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49160192"/>
        <c:axId val="-1949150944"/>
      </c:lineChart>
      <c:catAx>
        <c:axId val="-19491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9150944"/>
        <c:crosses val="autoZero"/>
        <c:auto val="1"/>
        <c:lblAlgn val="ctr"/>
        <c:lblOffset val="100"/>
        <c:noMultiLvlLbl val="0"/>
      </c:catAx>
      <c:valAx>
        <c:axId val="-194915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916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'BL Analysis'!$M$1</c:f>
              <c:strCache>
                <c:ptCount val="1"/>
                <c:pt idx="0">
                  <c:v>Number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'BL Analysis'!$L$2:$L$11</c:f>
              <c:strCache>
                <c:ptCount val="10"/>
                <c:pt idx="0">
                  <c:v>6 to 8</c:v>
                </c:pt>
                <c:pt idx="1">
                  <c:v>8 to 10</c:v>
                </c:pt>
                <c:pt idx="2">
                  <c:v>10 to 12</c:v>
                </c:pt>
                <c:pt idx="3">
                  <c:v>12 to 14</c:v>
                </c:pt>
                <c:pt idx="4">
                  <c:v>14 to 16</c:v>
                </c:pt>
                <c:pt idx="5">
                  <c:v>16 to 18</c:v>
                </c:pt>
                <c:pt idx="6">
                  <c:v>18 to 20</c:v>
                </c:pt>
                <c:pt idx="7">
                  <c:v>20 to 22</c:v>
                </c:pt>
                <c:pt idx="8">
                  <c:v>22 to 24</c:v>
                </c:pt>
                <c:pt idx="9">
                  <c:v>24 to 27</c:v>
                </c:pt>
              </c:strCache>
            </c:strRef>
          </c:cat>
          <c:val>
            <c:numRef>
              <c:f>'BL Analysis'!$M$2:$M$11</c:f>
              <c:numCache>
                <c:formatCode>General</c:formatCode>
                <c:ptCount val="10"/>
                <c:pt idx="0">
                  <c:v>5</c:v>
                </c:pt>
                <c:pt idx="1">
                  <c:v>18</c:v>
                </c:pt>
                <c:pt idx="2">
                  <c:v>24</c:v>
                </c:pt>
                <c:pt idx="3">
                  <c:v>7</c:v>
                </c:pt>
                <c:pt idx="4">
                  <c:v>5</c:v>
                </c:pt>
                <c:pt idx="5">
                  <c:v>9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0-40CA-BFFE-066F799A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49147680"/>
        <c:axId val="-1949146592"/>
      </c:lineChart>
      <c:catAx>
        <c:axId val="-194914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9146592"/>
        <c:crosses val="autoZero"/>
        <c:auto val="1"/>
        <c:lblAlgn val="ctr"/>
        <c:lblOffset val="100"/>
        <c:noMultiLvlLbl val="0"/>
      </c:catAx>
      <c:valAx>
        <c:axId val="-19491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914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190500</xdr:rowOff>
    </xdr:from>
    <xdr:to>
      <xdr:col>17</xdr:col>
      <xdr:colOff>457200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376237</xdr:colOff>
      <xdr:row>13</xdr:row>
      <xdr:rowOff>133350</xdr:rowOff>
    </xdr:from>
    <xdr:to>
      <xdr:col>16</xdr:col>
      <xdr:colOff>376237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hk Wilson" refreshedDate="44070.625982175923" createdVersion="5" refreshedVersion="5" minRefreshableVersion="3" recordCount="128" xr:uid="{00000000-000A-0000-FFFF-FFFF00000000}">
  <cacheSource type="worksheet">
    <worksheetSource ref="A1:J128" sheet="Path"/>
  </cacheSource>
  <cacheFields count="10">
    <cacheField name="Number" numFmtId="0">
      <sharedItems containsSemiMixedTypes="0" containsString="0" containsNumber="1" containsInteger="1" minValue="1" maxValue="128"/>
    </cacheField>
    <cacheField name="Path/ Street" numFmtId="0">
      <sharedItems count="5">
        <s v="West Orange/Park"/>
        <s v="Pleasant Hill"/>
        <s v="Rinehart/CST"/>
        <s v="Aloma"/>
        <s v="Daniels"/>
      </sharedItems>
    </cacheField>
    <cacheField name="Compass Direction" numFmtId="0">
      <sharedItems containsNonDate="0" containsString="0" containsBlank="1"/>
    </cacheField>
    <cacheField name="Cyclist Position" numFmtId="0">
      <sharedItems/>
    </cacheField>
    <cacheField name="Cyclist Direction" numFmtId="0">
      <sharedItems containsNonDate="0" containsString="0" containsBlank="1"/>
    </cacheField>
    <cacheField name="Zone Length (Feet)" numFmtId="0">
      <sharedItems containsSemiMixedTypes="0" containsString="0" containsNumber="1" containsInteger="1" minValue="25" maxValue="30"/>
    </cacheField>
    <cacheField name="Seconds" numFmtId="164">
      <sharedItems containsSemiMixedTypes="0" containsString="0" containsNumber="1" minValue="0.87" maxValue="4.05"/>
    </cacheField>
    <cacheField name="Feet Per Second" numFmtId="164">
      <sharedItems containsSemiMixedTypes="0" containsString="0" containsNumber="1" minValue="7.4074074074074074" maxValue="31.182795698924728"/>
    </cacheField>
    <cacheField name="MPH" numFmtId="164">
      <sharedItems containsSemiMixedTypes="0" containsString="0" containsNumber="1" minValue="5.0444444444444452" maxValue="21.235483870967741"/>
    </cacheField>
    <cacheField name="Avg. Facto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8">
  <r>
    <n v="31"/>
    <x v="0"/>
    <m/>
    <s v="Path"/>
    <m/>
    <n v="29"/>
    <n v="0.93"/>
    <n v="31.182795698924728"/>
    <n v="21.235483870967741"/>
    <n v="1"/>
  </r>
  <r>
    <n v="91"/>
    <x v="1"/>
    <m/>
    <s v="Path"/>
    <m/>
    <n v="25"/>
    <n v="0.87"/>
    <n v="28.735632183908045"/>
    <n v="19.568965517241381"/>
    <n v="1"/>
  </r>
  <r>
    <n v="89"/>
    <x v="1"/>
    <m/>
    <s v="Path"/>
    <m/>
    <n v="25"/>
    <n v="0.89"/>
    <n v="28.089887640449437"/>
    <n v="19.129213483146067"/>
    <n v="1"/>
  </r>
  <r>
    <n v="15"/>
    <x v="2"/>
    <m/>
    <s v="Path"/>
    <m/>
    <n v="30"/>
    <n v="1.08"/>
    <n v="27.777777777777775"/>
    <n v="18.916666666666668"/>
    <n v="1"/>
  </r>
  <r>
    <n v="86"/>
    <x v="3"/>
    <m/>
    <s v="Path"/>
    <m/>
    <n v="25"/>
    <n v="0.95"/>
    <n v="26.315789473684212"/>
    <n v="17.921052631578949"/>
    <n v="1"/>
  </r>
  <r>
    <n v="11"/>
    <x v="2"/>
    <m/>
    <s v="Path"/>
    <m/>
    <n v="30"/>
    <n v="1.19"/>
    <n v="25.210084033613448"/>
    <n v="17.168067226890759"/>
    <n v="1"/>
  </r>
  <r>
    <n v="63"/>
    <x v="3"/>
    <m/>
    <s v="Path"/>
    <m/>
    <n v="25"/>
    <n v="1"/>
    <n v="25"/>
    <n v="17.025000000000002"/>
    <n v="1"/>
  </r>
  <r>
    <n v="109"/>
    <x v="1"/>
    <m/>
    <s v="Path"/>
    <m/>
    <n v="25"/>
    <n v="1"/>
    <n v="25"/>
    <n v="17.025000000000002"/>
    <n v="1"/>
  </r>
  <r>
    <n v="44"/>
    <x v="0"/>
    <m/>
    <s v="Path"/>
    <m/>
    <n v="29"/>
    <n v="1.17"/>
    <n v="24.786324786324787"/>
    <n v="16.879487179487182"/>
    <n v="1"/>
  </r>
  <r>
    <n v="45"/>
    <x v="0"/>
    <m/>
    <s v="Path"/>
    <m/>
    <n v="29"/>
    <n v="1.17"/>
    <n v="24.786324786324787"/>
    <n v="16.879487179487182"/>
    <n v="1"/>
  </r>
  <r>
    <n v="87"/>
    <x v="3"/>
    <m/>
    <s v="Path"/>
    <m/>
    <n v="25"/>
    <n v="1.01"/>
    <n v="24.752475247524753"/>
    <n v="16.856435643564357"/>
    <n v="1"/>
  </r>
  <r>
    <n v="46"/>
    <x v="0"/>
    <m/>
    <s v="Path"/>
    <m/>
    <n v="29"/>
    <n v="1.18"/>
    <n v="24.576271186440678"/>
    <n v="16.736440677966105"/>
    <n v="1"/>
  </r>
  <r>
    <n v="1"/>
    <x v="2"/>
    <m/>
    <s v="Path"/>
    <m/>
    <n v="30"/>
    <n v="1.23"/>
    <n v="24.390243902439025"/>
    <n v="16.609756097560979"/>
    <n v="1"/>
  </r>
  <r>
    <n v="69"/>
    <x v="3"/>
    <m/>
    <s v="Path"/>
    <m/>
    <n v="25"/>
    <n v="1.03"/>
    <n v="24.271844660194173"/>
    <n v="16.529126213592232"/>
    <n v="1"/>
  </r>
  <r>
    <n v="71"/>
    <x v="3"/>
    <m/>
    <s v="Path"/>
    <m/>
    <n v="25"/>
    <n v="1.03"/>
    <n v="24.271844660194173"/>
    <n v="16.529126213592232"/>
    <n v="1"/>
  </r>
  <r>
    <n v="72"/>
    <x v="3"/>
    <m/>
    <s v="Path"/>
    <m/>
    <n v="25"/>
    <n v="1.03"/>
    <n v="24.271844660194173"/>
    <n v="16.529126213592232"/>
    <n v="1"/>
  </r>
  <r>
    <n v="73"/>
    <x v="3"/>
    <m/>
    <s v="Path"/>
    <m/>
    <n v="25"/>
    <n v="1.03"/>
    <n v="24.271844660194173"/>
    <n v="16.529126213592232"/>
    <n v="1"/>
  </r>
  <r>
    <n v="6"/>
    <x v="2"/>
    <m/>
    <s v="Path"/>
    <m/>
    <n v="30"/>
    <n v="1.25"/>
    <n v="24"/>
    <n v="16.344000000000001"/>
    <n v="1"/>
  </r>
  <r>
    <n v="16"/>
    <x v="2"/>
    <m/>
    <s v="Path"/>
    <m/>
    <n v="30"/>
    <n v="1.26"/>
    <n v="23.80952380952381"/>
    <n v="16.214285714285715"/>
    <n v="1"/>
  </r>
  <r>
    <n v="108"/>
    <x v="1"/>
    <m/>
    <s v="Path"/>
    <m/>
    <n v="25"/>
    <n v="1.05"/>
    <n v="23.80952380952381"/>
    <n v="16.214285714285715"/>
    <n v="1"/>
  </r>
  <r>
    <n v="90"/>
    <x v="1"/>
    <m/>
    <s v="Path"/>
    <m/>
    <n v="25"/>
    <n v="1.1000000000000001"/>
    <n v="22.727272727272727"/>
    <n v="15.477272727272728"/>
    <n v="1"/>
  </r>
  <r>
    <n v="2"/>
    <x v="2"/>
    <m/>
    <s v="Path"/>
    <m/>
    <n v="30"/>
    <n v="1.33"/>
    <n v="22.556390977443609"/>
    <n v="15.360902255639099"/>
    <n v="1"/>
  </r>
  <r>
    <n v="74"/>
    <x v="3"/>
    <m/>
    <s v="Path"/>
    <m/>
    <n v="25"/>
    <n v="1.1200000000000001"/>
    <n v="22.321428571428569"/>
    <n v="15.200892857142858"/>
    <n v="1"/>
  </r>
  <r>
    <n v="104"/>
    <x v="1"/>
    <m/>
    <s v="Path"/>
    <m/>
    <n v="25"/>
    <n v="1.1299999999999999"/>
    <n v="22.123893805309738"/>
    <n v="15.066371681415932"/>
    <n v="1"/>
  </r>
  <r>
    <n v="47"/>
    <x v="0"/>
    <m/>
    <s v="Path"/>
    <m/>
    <n v="29"/>
    <n v="1.32"/>
    <n v="21.969696969696969"/>
    <n v="14.961363636363638"/>
    <n v="1"/>
  </r>
  <r>
    <n v="7"/>
    <x v="2"/>
    <m/>
    <s v="Path"/>
    <m/>
    <n v="30"/>
    <n v="1.38"/>
    <n v="21.739130434782609"/>
    <n v="14.804347826086959"/>
    <n v="1"/>
  </r>
  <r>
    <n v="8"/>
    <x v="2"/>
    <m/>
    <s v="Path"/>
    <m/>
    <n v="30"/>
    <n v="1.38"/>
    <n v="21.739130434782609"/>
    <n v="14.804347826086959"/>
    <n v="1"/>
  </r>
  <r>
    <n v="14"/>
    <x v="2"/>
    <m/>
    <s v="Path"/>
    <m/>
    <n v="30"/>
    <n v="1.38"/>
    <n v="21.739130434782609"/>
    <n v="14.804347826086959"/>
    <n v="1"/>
  </r>
  <r>
    <n v="64"/>
    <x v="3"/>
    <m/>
    <s v="Path"/>
    <m/>
    <n v="25"/>
    <n v="1.1499999999999999"/>
    <n v="21.739130434782609"/>
    <n v="14.804347826086959"/>
    <n v="1"/>
  </r>
  <r>
    <n v="65"/>
    <x v="3"/>
    <m/>
    <s v="Path"/>
    <m/>
    <n v="25"/>
    <n v="1.1499999999999999"/>
    <n v="21.739130434782609"/>
    <n v="14.804347826086959"/>
    <n v="1"/>
  </r>
  <r>
    <n v="102"/>
    <x v="1"/>
    <m/>
    <s v="Path"/>
    <m/>
    <n v="25"/>
    <n v="1.1499999999999999"/>
    <n v="21.739130434782609"/>
    <n v="14.804347826086959"/>
    <n v="1"/>
  </r>
  <r>
    <n v="20"/>
    <x v="2"/>
    <m/>
    <s v="Path"/>
    <m/>
    <n v="30"/>
    <n v="1.39"/>
    <n v="21.582733812949641"/>
    <n v="14.697841726618707"/>
    <n v="1"/>
  </r>
  <r>
    <n v="75"/>
    <x v="3"/>
    <m/>
    <s v="Path"/>
    <m/>
    <n v="25"/>
    <n v="1.18"/>
    <n v="21.186440677966104"/>
    <n v="14.427966101694917"/>
    <n v="1"/>
  </r>
  <r>
    <n v="76"/>
    <x v="3"/>
    <m/>
    <s v="Path"/>
    <m/>
    <n v="25"/>
    <n v="1.18"/>
    <n v="21.186440677966104"/>
    <n v="14.427966101694917"/>
    <n v="1"/>
  </r>
  <r>
    <n v="54"/>
    <x v="4"/>
    <m/>
    <s v="Path"/>
    <m/>
    <n v="27"/>
    <n v="1.28"/>
    <n v="21.09375"/>
    <n v="14.36484375"/>
    <n v="1"/>
  </r>
  <r>
    <n v="53"/>
    <x v="4"/>
    <m/>
    <s v="Path"/>
    <m/>
    <n v="27"/>
    <n v="1.29"/>
    <n v="20.930232558139533"/>
    <n v="14.253488372093024"/>
    <n v="1"/>
  </r>
  <r>
    <n v="77"/>
    <x v="3"/>
    <m/>
    <s v="Path"/>
    <m/>
    <n v="25"/>
    <n v="1.21"/>
    <n v="20.66115702479339"/>
    <n v="14.0702479338843"/>
    <n v="1"/>
  </r>
  <r>
    <n v="79"/>
    <x v="3"/>
    <m/>
    <s v="Path"/>
    <m/>
    <n v="25"/>
    <n v="1.23"/>
    <n v="20.325203252032519"/>
    <n v="13.841463414634147"/>
    <n v="1"/>
  </r>
  <r>
    <n v="21"/>
    <x v="2"/>
    <m/>
    <s v="Path"/>
    <m/>
    <n v="30"/>
    <n v="1.48"/>
    <n v="20.27027027027027"/>
    <n v="13.804054054054054"/>
    <n v="1"/>
  </r>
  <r>
    <n v="62"/>
    <x v="3"/>
    <m/>
    <s v="Path"/>
    <m/>
    <n v="25"/>
    <n v="1.24"/>
    <n v="20.161290322580644"/>
    <n v="13.72983870967742"/>
    <n v="1"/>
  </r>
  <r>
    <n v="25"/>
    <x v="2"/>
    <m/>
    <s v="Path"/>
    <m/>
    <n v="30"/>
    <n v="1.49"/>
    <n v="20.134228187919462"/>
    <n v="13.711409395973154"/>
    <n v="1"/>
  </r>
  <r>
    <n v="60"/>
    <x v="4"/>
    <m/>
    <s v="Path"/>
    <m/>
    <n v="27"/>
    <n v="1.35"/>
    <n v="20"/>
    <n v="13.620000000000001"/>
    <n v="1"/>
  </r>
  <r>
    <n v="107"/>
    <x v="1"/>
    <m/>
    <s v="Path"/>
    <m/>
    <n v="25"/>
    <n v="1.25"/>
    <n v="20"/>
    <n v="13.620000000000001"/>
    <n v="1"/>
  </r>
  <r>
    <n v="12"/>
    <x v="2"/>
    <m/>
    <s v="Path"/>
    <m/>
    <n v="30"/>
    <n v="1.51"/>
    <n v="19.867549668874172"/>
    <n v="13.529801324503312"/>
    <n v="1"/>
  </r>
  <r>
    <n v="83"/>
    <x v="3"/>
    <m/>
    <s v="Path"/>
    <m/>
    <n v="25"/>
    <n v="1.26"/>
    <n v="19.841269841269842"/>
    <n v="13.511904761904763"/>
    <n v="1"/>
  </r>
  <r>
    <n v="24"/>
    <x v="2"/>
    <m/>
    <s v="Path"/>
    <m/>
    <n v="30"/>
    <n v="1.53"/>
    <n v="19.607843137254903"/>
    <n v="13.352941176470591"/>
    <n v="1"/>
  </r>
  <r>
    <n v="50"/>
    <x v="0"/>
    <m/>
    <s v="Path"/>
    <m/>
    <n v="29"/>
    <n v="1.5"/>
    <n v="19.333333333333332"/>
    <n v="13.166"/>
    <n v="1"/>
  </r>
  <r>
    <n v="96"/>
    <x v="1"/>
    <m/>
    <s v="Path"/>
    <m/>
    <n v="25"/>
    <n v="1.3"/>
    <n v="19.23076923076923"/>
    <n v="13.096153846153847"/>
    <n v="1"/>
  </r>
  <r>
    <n v="5"/>
    <x v="2"/>
    <m/>
    <s v="Path"/>
    <m/>
    <n v="30"/>
    <n v="1.57"/>
    <n v="19.108280254777068"/>
    <n v="13.012738853503183"/>
    <n v="1"/>
  </r>
  <r>
    <n v="55"/>
    <x v="4"/>
    <m/>
    <s v="Path"/>
    <m/>
    <n v="27"/>
    <n v="1.43"/>
    <n v="18.881118881118883"/>
    <n v="12.85804195804196"/>
    <n v="1"/>
  </r>
  <r>
    <n v="52"/>
    <x v="4"/>
    <m/>
    <s v="Path"/>
    <m/>
    <n v="27"/>
    <n v="1.44"/>
    <n v="18.75"/>
    <n v="12.768750000000001"/>
    <n v="1"/>
  </r>
  <r>
    <n v="59"/>
    <x v="4"/>
    <m/>
    <s v="Path"/>
    <m/>
    <n v="27"/>
    <n v="1.45"/>
    <n v="18.620689655172413"/>
    <n v="12.680689655172413"/>
    <n v="1"/>
  </r>
  <r>
    <n v="28"/>
    <x v="0"/>
    <m/>
    <s v="Path"/>
    <m/>
    <n v="29"/>
    <n v="1.56"/>
    <n v="18.589743589743588"/>
    <n v="12.659615384615384"/>
    <n v="1"/>
  </r>
  <r>
    <n v="78"/>
    <x v="3"/>
    <m/>
    <s v="Path"/>
    <m/>
    <n v="25"/>
    <n v="1.35"/>
    <n v="18.518518518518519"/>
    <n v="12.611111111111112"/>
    <n v="1"/>
  </r>
  <r>
    <n v="114"/>
    <x v="1"/>
    <m/>
    <s v="Path"/>
    <m/>
    <n v="25"/>
    <n v="1.35"/>
    <n v="18.518518518518519"/>
    <n v="12.611111111111112"/>
    <n v="1"/>
  </r>
  <r>
    <n v="85"/>
    <x v="3"/>
    <m/>
    <s v="Path"/>
    <m/>
    <n v="25"/>
    <n v="1.38"/>
    <n v="18.115942028985508"/>
    <n v="12.336956521739131"/>
    <n v="1"/>
  </r>
  <r>
    <n v="19"/>
    <x v="2"/>
    <m/>
    <s v="Path"/>
    <m/>
    <n v="30"/>
    <n v="1.66"/>
    <n v="18.072289156626507"/>
    <n v="12.307228915662652"/>
    <n v="1"/>
  </r>
  <r>
    <n v="57"/>
    <x v="4"/>
    <m/>
    <s v="Path"/>
    <m/>
    <n v="27"/>
    <n v="1.5"/>
    <n v="18"/>
    <n v="12.258000000000001"/>
    <n v="1"/>
  </r>
  <r>
    <n v="94"/>
    <x v="1"/>
    <m/>
    <s v="Path"/>
    <m/>
    <n v="25"/>
    <n v="1.4"/>
    <n v="17.857142857142858"/>
    <n v="12.160714285714286"/>
    <n v="1"/>
  </r>
  <r>
    <n v="110"/>
    <x v="1"/>
    <m/>
    <s v="Path"/>
    <m/>
    <n v="25"/>
    <n v="1.4"/>
    <n v="17.857142857142858"/>
    <n v="12.160714285714286"/>
    <n v="1"/>
  </r>
  <r>
    <n v="9"/>
    <x v="2"/>
    <m/>
    <s v="Path"/>
    <m/>
    <n v="30"/>
    <n v="1.76"/>
    <n v="17.045454545454547"/>
    <n v="11.607954545454547"/>
    <n v="1"/>
  </r>
  <r>
    <n v="128"/>
    <x v="1"/>
    <m/>
    <s v="Path"/>
    <m/>
    <n v="25"/>
    <n v="1.47"/>
    <n v="17.006802721088437"/>
    <n v="11.581632653061227"/>
    <n v="1"/>
  </r>
  <r>
    <n v="13"/>
    <x v="2"/>
    <m/>
    <s v="Path"/>
    <m/>
    <n v="30"/>
    <n v="1.77"/>
    <n v="16.949152542372882"/>
    <n v="11.542372881355934"/>
    <n v="1"/>
  </r>
  <r>
    <n v="10"/>
    <x v="2"/>
    <m/>
    <s v="Path"/>
    <m/>
    <n v="30"/>
    <n v="1.8"/>
    <n v="16.666666666666668"/>
    <n v="11.350000000000001"/>
    <n v="1"/>
  </r>
  <r>
    <n v="68"/>
    <x v="3"/>
    <m/>
    <s v="Path"/>
    <m/>
    <n v="25"/>
    <n v="1.53"/>
    <n v="16.33986928104575"/>
    <n v="11.127450980392156"/>
    <n v="1"/>
  </r>
  <r>
    <n v="66"/>
    <x v="3"/>
    <m/>
    <s v="Path"/>
    <m/>
    <n v="25"/>
    <n v="1.56"/>
    <n v="16.025641025641026"/>
    <n v="10.913461538461538"/>
    <n v="1"/>
  </r>
  <r>
    <n v="37"/>
    <x v="0"/>
    <m/>
    <s v="Path"/>
    <m/>
    <n v="29"/>
    <n v="1.83"/>
    <n v="15.846994535519125"/>
    <n v="10.791803278688525"/>
    <n v="1"/>
  </r>
  <r>
    <n v="17"/>
    <x v="2"/>
    <m/>
    <s v="Path"/>
    <m/>
    <n v="30"/>
    <n v="1.9"/>
    <n v="15.789473684210527"/>
    <n v="10.752631578947369"/>
    <n v="1"/>
  </r>
  <r>
    <n v="58"/>
    <x v="4"/>
    <m/>
    <s v="Path"/>
    <m/>
    <n v="27"/>
    <n v="1.74"/>
    <n v="15.517241379310345"/>
    <n v="10.567241379310346"/>
    <n v="1"/>
  </r>
  <r>
    <n v="49"/>
    <x v="0"/>
    <m/>
    <s v="Path"/>
    <m/>
    <n v="29"/>
    <n v="1.87"/>
    <n v="15.508021390374331"/>
    <n v="10.560962566844921"/>
    <n v="1"/>
  </r>
  <r>
    <n v="22"/>
    <x v="2"/>
    <m/>
    <s v="Path"/>
    <m/>
    <n v="30"/>
    <n v="1.94"/>
    <n v="15.463917525773196"/>
    <n v="10.530927835051548"/>
    <n v="1"/>
  </r>
  <r>
    <n v="82"/>
    <x v="3"/>
    <m/>
    <s v="Path"/>
    <m/>
    <n v="25"/>
    <n v="1.63"/>
    <n v="15.337423312883436"/>
    <n v="10.44478527607362"/>
    <n v="1"/>
  </r>
  <r>
    <n v="36"/>
    <x v="0"/>
    <m/>
    <s v="Path"/>
    <m/>
    <n v="29"/>
    <n v="1.9"/>
    <n v="15.263157894736842"/>
    <n v="10.39421052631579"/>
    <n v="1"/>
  </r>
  <r>
    <n v="51"/>
    <x v="4"/>
    <m/>
    <s v="Path"/>
    <m/>
    <n v="27"/>
    <n v="1.78"/>
    <n v="15.168539325842696"/>
    <n v="10.329775280898877"/>
    <n v="1"/>
  </r>
  <r>
    <n v="80"/>
    <x v="3"/>
    <m/>
    <s v="Path"/>
    <m/>
    <n v="25"/>
    <n v="1.65"/>
    <n v="15.151515151515152"/>
    <n v="10.31818181818182"/>
    <n v="1"/>
  </r>
  <r>
    <n v="67"/>
    <x v="3"/>
    <m/>
    <s v="Path"/>
    <m/>
    <n v="25"/>
    <n v="1.68"/>
    <n v="14.880952380952381"/>
    <n v="10.133928571428573"/>
    <n v="1"/>
  </r>
  <r>
    <n v="81"/>
    <x v="3"/>
    <m/>
    <s v="Path"/>
    <m/>
    <n v="25"/>
    <n v="1.68"/>
    <n v="14.880952380952381"/>
    <n v="10.133928571428573"/>
    <n v="1"/>
  </r>
  <r>
    <n v="35"/>
    <x v="0"/>
    <m/>
    <s v="Path"/>
    <m/>
    <n v="29"/>
    <n v="1.97"/>
    <n v="14.720812182741117"/>
    <n v="10.024873096446701"/>
    <n v="1"/>
  </r>
  <r>
    <n v="84"/>
    <x v="3"/>
    <m/>
    <s v="Path"/>
    <m/>
    <n v="25"/>
    <n v="1.72"/>
    <n v="14.534883720930234"/>
    <n v="9.8982558139534902"/>
    <n v="1"/>
  </r>
  <r>
    <n v="98"/>
    <x v="1"/>
    <m/>
    <s v="Path"/>
    <m/>
    <n v="25"/>
    <n v="1.72"/>
    <n v="14.534883720930234"/>
    <n v="9.8982558139534902"/>
    <n v="1"/>
  </r>
  <r>
    <n v="33"/>
    <x v="0"/>
    <m/>
    <s v="Path"/>
    <m/>
    <n v="29"/>
    <n v="2"/>
    <n v="14.5"/>
    <n v="9.8745000000000012"/>
    <n v="1"/>
  </r>
  <r>
    <n v="103"/>
    <x v="1"/>
    <m/>
    <s v="Path"/>
    <m/>
    <n v="25"/>
    <n v="1.77"/>
    <n v="14.124293785310734"/>
    <n v="9.6186440677966107"/>
    <n v="1"/>
  </r>
  <r>
    <n v="30"/>
    <x v="0"/>
    <m/>
    <s v="Path"/>
    <m/>
    <n v="29"/>
    <n v="2.0699999999999998"/>
    <n v="14.009661835748794"/>
    <n v="9.5405797101449288"/>
    <n v="1"/>
  </r>
  <r>
    <n v="99"/>
    <x v="1"/>
    <m/>
    <s v="Path"/>
    <m/>
    <n v="25"/>
    <n v="1.8"/>
    <n v="13.888888888888889"/>
    <n v="9.4583333333333339"/>
    <n v="1"/>
  </r>
  <r>
    <n v="124"/>
    <x v="1"/>
    <m/>
    <s v="Path"/>
    <m/>
    <n v="25"/>
    <n v="1.8"/>
    <n v="13.888888888888889"/>
    <n v="9.4583333333333339"/>
    <n v="1"/>
  </r>
  <r>
    <n v="48"/>
    <x v="0"/>
    <m/>
    <s v="Path"/>
    <m/>
    <n v="29"/>
    <n v="2.1"/>
    <n v="13.809523809523808"/>
    <n v="9.4042857142857148"/>
    <n v="1"/>
  </r>
  <r>
    <n v="41"/>
    <x v="0"/>
    <m/>
    <s v="Path"/>
    <m/>
    <n v="29"/>
    <n v="2.13"/>
    <n v="13.615023474178404"/>
    <n v="9.2718309859154946"/>
    <n v="1"/>
  </r>
  <r>
    <n v="93"/>
    <x v="1"/>
    <m/>
    <s v="Path"/>
    <m/>
    <n v="25"/>
    <n v="1.84"/>
    <n v="13.586956521739129"/>
    <n v="9.2527173913043477"/>
    <n v="1"/>
  </r>
  <r>
    <n v="127"/>
    <x v="1"/>
    <m/>
    <s v="Path"/>
    <m/>
    <n v="25"/>
    <n v="1.85"/>
    <n v="13.513513513513512"/>
    <n v="9.2027027027027017"/>
    <n v="1"/>
  </r>
  <r>
    <n v="61"/>
    <x v="4"/>
    <m/>
    <s v="Path"/>
    <m/>
    <n v="27"/>
    <n v="2"/>
    <n v="13.5"/>
    <n v="9.1935000000000002"/>
    <n v="1"/>
  </r>
  <r>
    <n v="43"/>
    <x v="0"/>
    <m/>
    <s v="Path"/>
    <m/>
    <n v="29"/>
    <n v="2.17"/>
    <n v="13.364055299539171"/>
    <n v="9.1009216589861754"/>
    <n v="1"/>
  </r>
  <r>
    <n v="113"/>
    <x v="1"/>
    <m/>
    <s v="Path"/>
    <m/>
    <n v="25"/>
    <n v="1.9"/>
    <n v="13.157894736842106"/>
    <n v="8.9605263157894743"/>
    <n v="1"/>
  </r>
  <r>
    <n v="118"/>
    <x v="1"/>
    <m/>
    <s v="Path"/>
    <m/>
    <n v="25"/>
    <n v="1.9"/>
    <n v="13.157894736842106"/>
    <n v="8.9605263157894743"/>
    <n v="1"/>
  </r>
  <r>
    <n v="18"/>
    <x v="2"/>
    <m/>
    <s v="Path"/>
    <m/>
    <n v="30"/>
    <n v="2.33"/>
    <n v="12.875536480686694"/>
    <n v="8.7682403433476388"/>
    <n v="1"/>
  </r>
  <r>
    <n v="56"/>
    <x v="4"/>
    <m/>
    <s v="Path"/>
    <m/>
    <n v="27"/>
    <n v="2.14"/>
    <n v="12.616822429906541"/>
    <n v="8.5920560747663561"/>
    <n v="1"/>
  </r>
  <r>
    <n v="27"/>
    <x v="0"/>
    <m/>
    <s v="Path"/>
    <m/>
    <n v="29"/>
    <n v="2.35"/>
    <n v="12.340425531914892"/>
    <n v="8.4038297872340415"/>
    <n v="1"/>
  </r>
  <r>
    <n v="70"/>
    <x v="3"/>
    <m/>
    <s v="Path"/>
    <m/>
    <n v="25"/>
    <n v="2.0499999999999998"/>
    <n v="12.195121951219512"/>
    <n v="8.3048780487804894"/>
    <n v="1"/>
  </r>
  <r>
    <n v="122"/>
    <x v="1"/>
    <m/>
    <s v="Path"/>
    <m/>
    <n v="25"/>
    <n v="2.0499999999999998"/>
    <n v="12.195121951219512"/>
    <n v="8.3048780487804894"/>
    <n v="1"/>
  </r>
  <r>
    <n v="105"/>
    <x v="1"/>
    <m/>
    <s v="Path"/>
    <m/>
    <n v="25"/>
    <n v="2.0699999999999998"/>
    <n v="12.077294685990339"/>
    <n v="8.2246376811594217"/>
    <n v="1"/>
  </r>
  <r>
    <n v="39"/>
    <x v="0"/>
    <m/>
    <s v="Path"/>
    <m/>
    <n v="29"/>
    <n v="2.48"/>
    <n v="11.693548387096774"/>
    <n v="7.9633064516129037"/>
    <n v="1"/>
  </r>
  <r>
    <n v="97"/>
    <x v="1"/>
    <m/>
    <s v="Path"/>
    <m/>
    <n v="25"/>
    <n v="2.15"/>
    <n v="11.627906976744187"/>
    <n v="7.9186046511627923"/>
    <n v="1"/>
  </r>
  <r>
    <n v="100"/>
    <x v="1"/>
    <m/>
    <s v="Path"/>
    <m/>
    <n v="25"/>
    <n v="2.15"/>
    <n v="11.627906976744187"/>
    <n v="7.9186046511627923"/>
    <n v="1"/>
  </r>
  <r>
    <n v="38"/>
    <x v="0"/>
    <m/>
    <s v="Path"/>
    <m/>
    <n v="29"/>
    <n v="2.5"/>
    <n v="11.6"/>
    <n v="7.8996000000000004"/>
    <n v="1"/>
  </r>
  <r>
    <n v="29"/>
    <x v="0"/>
    <m/>
    <s v="Path"/>
    <m/>
    <n v="29"/>
    <n v="2.54"/>
    <n v="11.417322834645669"/>
    <n v="7.7751968503937006"/>
    <n v="1"/>
  </r>
  <r>
    <n v="112"/>
    <x v="1"/>
    <m/>
    <s v="Path"/>
    <m/>
    <n v="25"/>
    <n v="2.19"/>
    <n v="11.415525114155251"/>
    <n v="7.7739726027397262"/>
    <n v="1"/>
  </r>
  <r>
    <n v="34"/>
    <x v="0"/>
    <m/>
    <s v="Path"/>
    <m/>
    <n v="29"/>
    <n v="2.5499999999999998"/>
    <n v="11.372549019607844"/>
    <n v="7.7447058823529424"/>
    <n v="1"/>
  </r>
  <r>
    <n v="101"/>
    <x v="1"/>
    <m/>
    <s v="Path"/>
    <m/>
    <n v="25"/>
    <n v="2.25"/>
    <n v="11.111111111111111"/>
    <n v="7.5666666666666673"/>
    <n v="1"/>
  </r>
  <r>
    <n v="125"/>
    <x v="1"/>
    <m/>
    <s v="Path"/>
    <m/>
    <n v="25"/>
    <n v="2.25"/>
    <n v="11.111111111111111"/>
    <n v="7.5666666666666673"/>
    <n v="1"/>
  </r>
  <r>
    <n v="126"/>
    <x v="1"/>
    <m/>
    <s v="Path"/>
    <m/>
    <n v="25"/>
    <n v="2.25"/>
    <n v="11.111111111111111"/>
    <n v="7.5666666666666673"/>
    <n v="1"/>
  </r>
  <r>
    <n v="123"/>
    <x v="1"/>
    <m/>
    <s v="Path"/>
    <m/>
    <n v="25"/>
    <n v="2.27"/>
    <n v="11.013215859030836"/>
    <n v="7.5"/>
    <n v="1"/>
  </r>
  <r>
    <n v="3"/>
    <x v="2"/>
    <m/>
    <s v="Path"/>
    <m/>
    <n v="30"/>
    <n v="2.79"/>
    <n v="10.75268817204301"/>
    <n v="7.32258064516129"/>
    <n v="1"/>
  </r>
  <r>
    <n v="32"/>
    <x v="0"/>
    <m/>
    <s v="Path"/>
    <m/>
    <n v="29"/>
    <n v="2.75"/>
    <n v="10.545454545454545"/>
    <n v="7.181454545454546"/>
    <n v="1"/>
  </r>
  <r>
    <n v="26"/>
    <x v="0"/>
    <m/>
    <s v="Path"/>
    <m/>
    <n v="29"/>
    <n v="2.8"/>
    <n v="10.357142857142858"/>
    <n v="7.0532142857142865"/>
    <n v="1"/>
  </r>
  <r>
    <n v="40"/>
    <x v="0"/>
    <m/>
    <s v="Path"/>
    <m/>
    <n v="29"/>
    <n v="2.82"/>
    <n v="10.283687943262413"/>
    <n v="7.0031914893617033"/>
    <n v="1"/>
  </r>
  <r>
    <n v="23"/>
    <x v="2"/>
    <m/>
    <s v="Path"/>
    <m/>
    <n v="30"/>
    <n v="3.04"/>
    <n v="9.8684210526315788"/>
    <n v="6.7203947368421053"/>
    <n v="1"/>
  </r>
  <r>
    <n v="92"/>
    <x v="1"/>
    <m/>
    <s v="Path"/>
    <m/>
    <n v="25"/>
    <n v="2.5499999999999998"/>
    <n v="9.8039215686274517"/>
    <n v="6.6764705882352953"/>
    <n v="1"/>
  </r>
  <r>
    <n v="88"/>
    <x v="1"/>
    <m/>
    <s v="Path"/>
    <m/>
    <n v="25"/>
    <n v="2.56"/>
    <n v="9.765625"/>
    <n v="6.6503906250000009"/>
    <n v="1"/>
  </r>
  <r>
    <n v="119"/>
    <x v="1"/>
    <m/>
    <s v="Path"/>
    <m/>
    <n v="25"/>
    <n v="2.56"/>
    <n v="9.765625"/>
    <n v="6.6503906250000009"/>
    <n v="1"/>
  </r>
  <r>
    <n v="42"/>
    <x v="0"/>
    <m/>
    <s v="Path"/>
    <m/>
    <n v="29"/>
    <n v="2.97"/>
    <n v="9.7643097643097629"/>
    <n v="6.6494949494949491"/>
    <n v="1"/>
  </r>
  <r>
    <n v="115"/>
    <x v="1"/>
    <m/>
    <s v="Path"/>
    <m/>
    <n v="25"/>
    <n v="2.63"/>
    <n v="9.5057034220532319"/>
    <n v="6.4733840304182513"/>
    <n v="1"/>
  </r>
  <r>
    <n v="95"/>
    <x v="1"/>
    <m/>
    <s v="Path"/>
    <m/>
    <n v="25"/>
    <n v="2.75"/>
    <n v="9.0909090909090917"/>
    <n v="6.1909090909090922"/>
    <n v="1"/>
  </r>
  <r>
    <n v="116"/>
    <x v="1"/>
    <m/>
    <s v="Path"/>
    <m/>
    <n v="25"/>
    <n v="2.8"/>
    <n v="8.9285714285714288"/>
    <n v="6.0803571428571432"/>
    <n v="1"/>
  </r>
  <r>
    <n v="111"/>
    <x v="1"/>
    <m/>
    <s v="Path"/>
    <m/>
    <n v="25"/>
    <n v="2.88"/>
    <n v="8.6805555555555554"/>
    <n v="5.9114583333333339"/>
    <n v="1"/>
  </r>
  <r>
    <n v="121"/>
    <x v="1"/>
    <m/>
    <s v="Path"/>
    <m/>
    <n v="25"/>
    <n v="3"/>
    <n v="8.3333333333333339"/>
    <n v="5.6750000000000007"/>
    <n v="1"/>
  </r>
  <r>
    <n v="120"/>
    <x v="1"/>
    <m/>
    <s v="Path"/>
    <m/>
    <n v="25"/>
    <n v="3.04"/>
    <n v="8.223684210526315"/>
    <n v="5.6003289473684212"/>
    <n v="1"/>
  </r>
  <r>
    <n v="117"/>
    <x v="1"/>
    <m/>
    <s v="Path"/>
    <m/>
    <n v="25"/>
    <n v="3.07"/>
    <n v="8.1433224755700326"/>
    <n v="5.5456026058631922"/>
    <n v="1"/>
  </r>
  <r>
    <n v="106"/>
    <x v="1"/>
    <m/>
    <s v="Path"/>
    <m/>
    <n v="25"/>
    <n v="3.29"/>
    <n v="7.598784194528875"/>
    <n v="5.1747720364741641"/>
    <n v="1"/>
  </r>
  <r>
    <n v="4"/>
    <x v="2"/>
    <m/>
    <s v="Path"/>
    <m/>
    <n v="30"/>
    <n v="4.05"/>
    <n v="7.4074074074074074"/>
    <n v="5.044444444444445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10"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PH" fld="8" baseField="0" baseItem="0"/>
    <dataField name="Sum of Avg. Factor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4"/>
  <sheetViews>
    <sheetView zoomScale="90" zoomScaleNormal="90"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K50" sqref="K50"/>
    </sheetView>
  </sheetViews>
  <sheetFormatPr baseColWidth="10" defaultColWidth="8.83203125" defaultRowHeight="14" x14ac:dyDescent="0.15"/>
  <cols>
    <col min="1" max="1" width="7" customWidth="1"/>
    <col min="3" max="3" width="8" style="8" customWidth="1"/>
    <col min="4" max="4" width="8.83203125" style="8"/>
    <col min="5" max="5" width="7.83203125" style="8" customWidth="1"/>
    <col min="6" max="6" width="8.83203125" style="6" customWidth="1"/>
    <col min="7" max="7" width="7.33203125" style="16" customWidth="1"/>
    <col min="8" max="8" width="8" style="12" customWidth="1"/>
    <col min="9" max="9" width="7.5" style="12" customWidth="1"/>
  </cols>
  <sheetData>
    <row r="1" spans="1:11" s="7" customFormat="1" ht="44.25" customHeight="1" x14ac:dyDescent="0.15">
      <c r="A1" s="4" t="s">
        <v>16</v>
      </c>
      <c r="B1" s="4" t="s">
        <v>0</v>
      </c>
      <c r="C1" s="4" t="s">
        <v>17</v>
      </c>
      <c r="D1" s="4" t="s">
        <v>7</v>
      </c>
      <c r="E1" s="4" t="s">
        <v>8</v>
      </c>
      <c r="F1" s="4" t="s">
        <v>9</v>
      </c>
      <c r="G1" s="14" t="s">
        <v>3</v>
      </c>
      <c r="H1" s="10" t="s">
        <v>5</v>
      </c>
      <c r="I1" s="10" t="s">
        <v>4</v>
      </c>
      <c r="J1" s="4" t="s">
        <v>20</v>
      </c>
    </row>
    <row r="2" spans="1:11" x14ac:dyDescent="0.15">
      <c r="A2" s="9">
        <v>1</v>
      </c>
      <c r="B2" s="3" t="s">
        <v>14</v>
      </c>
      <c r="C2" s="9" t="s">
        <v>18</v>
      </c>
      <c r="D2" s="9" t="s">
        <v>10</v>
      </c>
      <c r="E2" s="9" t="s">
        <v>15</v>
      </c>
      <c r="F2" s="5">
        <v>48</v>
      </c>
      <c r="G2" s="15">
        <v>1.24</v>
      </c>
      <c r="H2" s="11">
        <f t="shared" ref="H2:H45" si="0">F2/G2</f>
        <v>38.70967741935484</v>
      </c>
      <c r="I2" s="11">
        <f t="shared" ref="I2:I45" si="1">H2*0.681</f>
        <v>26.361290322580647</v>
      </c>
      <c r="J2" s="9">
        <f t="shared" ref="J2:J45" si="2">IF(G2&gt;0,1,0)</f>
        <v>1</v>
      </c>
    </row>
    <row r="3" spans="1:11" x14ac:dyDescent="0.15">
      <c r="A3" s="9">
        <v>44</v>
      </c>
      <c r="B3" s="3" t="s">
        <v>23</v>
      </c>
      <c r="C3" s="9" t="s">
        <v>24</v>
      </c>
      <c r="D3" s="9" t="s">
        <v>10</v>
      </c>
      <c r="E3" s="9" t="s">
        <v>15</v>
      </c>
      <c r="F3" s="5">
        <v>32</v>
      </c>
      <c r="G3" s="15">
        <v>0.92</v>
      </c>
      <c r="H3" s="11">
        <f t="shared" si="0"/>
        <v>34.782608695652172</v>
      </c>
      <c r="I3" s="11">
        <f t="shared" si="1"/>
        <v>23.68695652173913</v>
      </c>
      <c r="J3" s="9">
        <f t="shared" si="2"/>
        <v>1</v>
      </c>
    </row>
    <row r="4" spans="1:11" x14ac:dyDescent="0.15">
      <c r="A4" s="9">
        <v>14</v>
      </c>
      <c r="B4" s="3" t="s">
        <v>14</v>
      </c>
      <c r="C4" s="9" t="s">
        <v>18</v>
      </c>
      <c r="D4" s="9" t="s">
        <v>10</v>
      </c>
      <c r="E4" s="9" t="s">
        <v>15</v>
      </c>
      <c r="F4" s="5">
        <v>48</v>
      </c>
      <c r="G4" s="15">
        <v>1.53</v>
      </c>
      <c r="H4" s="11">
        <f t="shared" si="0"/>
        <v>31.372549019607842</v>
      </c>
      <c r="I4" s="11">
        <f t="shared" si="1"/>
        <v>21.364705882352943</v>
      </c>
      <c r="J4" s="9">
        <f t="shared" si="2"/>
        <v>1</v>
      </c>
    </row>
    <row r="5" spans="1:11" x14ac:dyDescent="0.15">
      <c r="A5" s="9">
        <v>12</v>
      </c>
      <c r="B5" s="3" t="s">
        <v>14</v>
      </c>
      <c r="C5" s="9" t="s">
        <v>18</v>
      </c>
      <c r="D5" s="9" t="s">
        <v>10</v>
      </c>
      <c r="E5" s="9" t="s">
        <v>15</v>
      </c>
      <c r="F5" s="5">
        <v>48</v>
      </c>
      <c r="G5" s="15">
        <v>1.54</v>
      </c>
      <c r="H5" s="11">
        <f t="shared" si="0"/>
        <v>31.168831168831169</v>
      </c>
      <c r="I5" s="11">
        <f t="shared" si="1"/>
        <v>21.225974025974029</v>
      </c>
      <c r="J5" s="9">
        <f t="shared" si="2"/>
        <v>1</v>
      </c>
    </row>
    <row r="6" spans="1:11" x14ac:dyDescent="0.15">
      <c r="A6" s="9">
        <v>28</v>
      </c>
      <c r="B6" s="3" t="s">
        <v>23</v>
      </c>
      <c r="C6" s="9" t="s">
        <v>26</v>
      </c>
      <c r="D6" s="9" t="s">
        <v>10</v>
      </c>
      <c r="E6" s="9" t="s">
        <v>15</v>
      </c>
      <c r="F6" s="5">
        <v>32</v>
      </c>
      <c r="G6" s="15">
        <v>1.1000000000000001</v>
      </c>
      <c r="H6" s="11">
        <f t="shared" si="0"/>
        <v>29.09090909090909</v>
      </c>
      <c r="I6" s="11">
        <f t="shared" si="1"/>
        <v>19.810909090909092</v>
      </c>
      <c r="J6" s="9">
        <f t="shared" si="2"/>
        <v>1</v>
      </c>
    </row>
    <row r="7" spans="1:11" x14ac:dyDescent="0.15">
      <c r="A7" s="9">
        <v>24</v>
      </c>
      <c r="B7" s="3" t="s">
        <v>23</v>
      </c>
      <c r="C7" s="9" t="s">
        <v>26</v>
      </c>
      <c r="D7" s="9" t="s">
        <v>10</v>
      </c>
      <c r="E7" s="9" t="s">
        <v>15</v>
      </c>
      <c r="F7" s="5">
        <v>32</v>
      </c>
      <c r="G7" s="15">
        <v>1.1299999999999999</v>
      </c>
      <c r="H7" s="11">
        <f t="shared" si="0"/>
        <v>28.318584070796462</v>
      </c>
      <c r="I7" s="11">
        <f t="shared" si="1"/>
        <v>19.28495575221239</v>
      </c>
      <c r="J7" s="9">
        <f t="shared" si="2"/>
        <v>1</v>
      </c>
    </row>
    <row r="8" spans="1:11" ht="15" thickBot="1" x14ac:dyDescent="0.2">
      <c r="A8" s="24">
        <v>13</v>
      </c>
      <c r="B8" s="25" t="s">
        <v>14</v>
      </c>
      <c r="C8" s="24" t="s">
        <v>18</v>
      </c>
      <c r="D8" s="24" t="s">
        <v>10</v>
      </c>
      <c r="E8" s="24" t="s">
        <v>15</v>
      </c>
      <c r="F8" s="26">
        <v>48</v>
      </c>
      <c r="G8" s="27">
        <v>1.72</v>
      </c>
      <c r="H8" s="28">
        <f t="shared" si="0"/>
        <v>27.906976744186046</v>
      </c>
      <c r="I8" s="28">
        <f t="shared" si="1"/>
        <v>19.004651162790697</v>
      </c>
      <c r="J8" s="24">
        <f t="shared" si="2"/>
        <v>1</v>
      </c>
    </row>
    <row r="9" spans="1:11" x14ac:dyDescent="0.15">
      <c r="A9" s="19">
        <v>6</v>
      </c>
      <c r="B9" s="20" t="s">
        <v>14</v>
      </c>
      <c r="C9" s="19" t="s">
        <v>18</v>
      </c>
      <c r="D9" s="19" t="s">
        <v>10</v>
      </c>
      <c r="E9" s="19" t="s">
        <v>15</v>
      </c>
      <c r="F9" s="21">
        <v>48</v>
      </c>
      <c r="G9" s="22">
        <v>1.78</v>
      </c>
      <c r="H9" s="23">
        <f t="shared" si="0"/>
        <v>26.966292134831459</v>
      </c>
      <c r="I9" s="31">
        <f t="shared" si="1"/>
        <v>18.364044943820225</v>
      </c>
      <c r="J9" s="19">
        <f t="shared" si="2"/>
        <v>1</v>
      </c>
      <c r="K9" s="29" t="s">
        <v>47</v>
      </c>
    </row>
    <row r="10" spans="1:11" x14ac:dyDescent="0.15">
      <c r="A10" s="9">
        <v>42</v>
      </c>
      <c r="B10" s="3" t="s">
        <v>23</v>
      </c>
      <c r="C10" s="9" t="s">
        <v>24</v>
      </c>
      <c r="D10" s="9" t="s">
        <v>10</v>
      </c>
      <c r="E10" s="9" t="s">
        <v>15</v>
      </c>
      <c r="F10" s="5">
        <v>32</v>
      </c>
      <c r="G10" s="15">
        <v>1.2</v>
      </c>
      <c r="H10" s="11">
        <f t="shared" si="0"/>
        <v>26.666666666666668</v>
      </c>
      <c r="I10" s="11">
        <f t="shared" si="1"/>
        <v>18.160000000000004</v>
      </c>
      <c r="J10" s="9">
        <f t="shared" si="2"/>
        <v>1</v>
      </c>
    </row>
    <row r="11" spans="1:11" x14ac:dyDescent="0.15">
      <c r="A11" s="9">
        <v>27</v>
      </c>
      <c r="B11" s="3" t="s">
        <v>23</v>
      </c>
      <c r="C11" s="9" t="s">
        <v>24</v>
      </c>
      <c r="D11" s="9" t="s">
        <v>10</v>
      </c>
      <c r="E11" s="9" t="s">
        <v>15</v>
      </c>
      <c r="F11" s="5">
        <v>32</v>
      </c>
      <c r="G11" s="15">
        <v>1.22</v>
      </c>
      <c r="H11" s="11">
        <f t="shared" si="0"/>
        <v>26.229508196721312</v>
      </c>
      <c r="I11" s="11">
        <f t="shared" si="1"/>
        <v>17.862295081967215</v>
      </c>
      <c r="J11" s="9">
        <f t="shared" si="2"/>
        <v>1</v>
      </c>
    </row>
    <row r="12" spans="1:11" x14ac:dyDescent="0.15">
      <c r="A12" s="9">
        <v>23</v>
      </c>
      <c r="B12" s="3" t="s">
        <v>23</v>
      </c>
      <c r="C12" s="9" t="s">
        <v>24</v>
      </c>
      <c r="D12" s="9" t="s">
        <v>10</v>
      </c>
      <c r="E12" s="9" t="s">
        <v>15</v>
      </c>
      <c r="F12" s="5">
        <v>32</v>
      </c>
      <c r="G12" s="15">
        <v>1.27</v>
      </c>
      <c r="H12" s="11">
        <f t="shared" si="0"/>
        <v>25.196850393700785</v>
      </c>
      <c r="I12" s="11">
        <f t="shared" si="1"/>
        <v>17.159055118110235</v>
      </c>
      <c r="J12" s="9">
        <f t="shared" si="2"/>
        <v>1</v>
      </c>
    </row>
    <row r="13" spans="1:11" x14ac:dyDescent="0.15">
      <c r="A13" s="9">
        <v>2</v>
      </c>
      <c r="B13" s="3" t="s">
        <v>14</v>
      </c>
      <c r="C13" s="9" t="s">
        <v>18</v>
      </c>
      <c r="D13" s="9" t="s">
        <v>10</v>
      </c>
      <c r="E13" s="9" t="s">
        <v>15</v>
      </c>
      <c r="F13" s="5">
        <v>48</v>
      </c>
      <c r="G13" s="15">
        <v>1.97</v>
      </c>
      <c r="H13" s="11">
        <f t="shared" si="0"/>
        <v>24.36548223350254</v>
      </c>
      <c r="I13" s="11">
        <f t="shared" si="1"/>
        <v>16.592893401015232</v>
      </c>
      <c r="J13" s="9">
        <f t="shared" si="2"/>
        <v>1</v>
      </c>
    </row>
    <row r="14" spans="1:11" x14ac:dyDescent="0.15">
      <c r="A14" s="9">
        <v>8</v>
      </c>
      <c r="B14" s="3" t="s">
        <v>14</v>
      </c>
      <c r="C14" s="9" t="s">
        <v>19</v>
      </c>
      <c r="D14" s="9" t="s">
        <v>10</v>
      </c>
      <c r="E14" s="9" t="s">
        <v>15</v>
      </c>
      <c r="F14" s="5">
        <v>25</v>
      </c>
      <c r="G14" s="15">
        <v>1.04</v>
      </c>
      <c r="H14" s="11">
        <f t="shared" si="0"/>
        <v>24.038461538461537</v>
      </c>
      <c r="I14" s="30">
        <f t="shared" si="1"/>
        <v>16.370192307692307</v>
      </c>
      <c r="J14" s="9">
        <f t="shared" si="2"/>
        <v>1</v>
      </c>
    </row>
    <row r="15" spans="1:11" x14ac:dyDescent="0.15">
      <c r="A15" s="9">
        <v>18</v>
      </c>
      <c r="B15" s="3" t="s">
        <v>25</v>
      </c>
      <c r="C15" s="9" t="s">
        <v>19</v>
      </c>
      <c r="D15" s="9" t="s">
        <v>10</v>
      </c>
      <c r="E15" s="9" t="s">
        <v>15</v>
      </c>
      <c r="F15" s="5">
        <v>24</v>
      </c>
      <c r="G15" s="15">
        <v>1.01</v>
      </c>
      <c r="H15" s="11">
        <f t="shared" si="0"/>
        <v>23.762376237623762</v>
      </c>
      <c r="I15" s="11">
        <f t="shared" si="1"/>
        <v>16.182178217821782</v>
      </c>
      <c r="J15" s="9">
        <f t="shared" si="2"/>
        <v>1</v>
      </c>
    </row>
    <row r="16" spans="1:11" x14ac:dyDescent="0.15">
      <c r="A16" s="9">
        <v>25</v>
      </c>
      <c r="B16" s="3" t="s">
        <v>23</v>
      </c>
      <c r="C16" s="9" t="s">
        <v>26</v>
      </c>
      <c r="D16" s="9" t="s">
        <v>10</v>
      </c>
      <c r="E16" s="9" t="s">
        <v>15</v>
      </c>
      <c r="F16" s="5">
        <v>32</v>
      </c>
      <c r="G16" s="15">
        <v>1.36</v>
      </c>
      <c r="H16" s="11">
        <f t="shared" si="0"/>
        <v>23.52941176470588</v>
      </c>
      <c r="I16" s="11">
        <f t="shared" si="1"/>
        <v>16.023529411764706</v>
      </c>
      <c r="J16" s="9">
        <f t="shared" si="2"/>
        <v>1</v>
      </c>
    </row>
    <row r="17" spans="1:11" x14ac:dyDescent="0.15">
      <c r="A17" s="9">
        <v>37</v>
      </c>
      <c r="B17" s="3" t="s">
        <v>25</v>
      </c>
      <c r="C17" s="9" t="s">
        <v>19</v>
      </c>
      <c r="D17" s="9" t="s">
        <v>10</v>
      </c>
      <c r="E17" s="9" t="s">
        <v>15</v>
      </c>
      <c r="F17" s="5">
        <v>24</v>
      </c>
      <c r="G17" s="15">
        <v>1.03</v>
      </c>
      <c r="H17" s="11">
        <f t="shared" si="0"/>
        <v>23.300970873786408</v>
      </c>
      <c r="I17" s="11">
        <f t="shared" si="1"/>
        <v>15.867961165048545</v>
      </c>
      <c r="J17" s="9">
        <f t="shared" si="2"/>
        <v>1</v>
      </c>
    </row>
    <row r="18" spans="1:11" x14ac:dyDescent="0.15">
      <c r="A18" s="9">
        <v>38</v>
      </c>
      <c r="B18" s="3" t="s">
        <v>25</v>
      </c>
      <c r="C18" s="9" t="s">
        <v>19</v>
      </c>
      <c r="D18" s="9" t="s">
        <v>10</v>
      </c>
      <c r="E18" s="9" t="s">
        <v>15</v>
      </c>
      <c r="F18" s="5">
        <v>24</v>
      </c>
      <c r="G18" s="15">
        <v>1.03</v>
      </c>
      <c r="H18" s="11">
        <f t="shared" si="0"/>
        <v>23.300970873786408</v>
      </c>
      <c r="I18" s="11">
        <f t="shared" si="1"/>
        <v>15.867961165048545</v>
      </c>
      <c r="J18" s="9">
        <f t="shared" si="2"/>
        <v>1</v>
      </c>
    </row>
    <row r="19" spans="1:11" x14ac:dyDescent="0.15">
      <c r="A19" s="9">
        <v>26</v>
      </c>
      <c r="B19" s="3" t="s">
        <v>23</v>
      </c>
      <c r="C19" s="9" t="s">
        <v>26</v>
      </c>
      <c r="D19" s="9" t="s">
        <v>10</v>
      </c>
      <c r="E19" s="9" t="s">
        <v>15</v>
      </c>
      <c r="F19" s="5">
        <v>32</v>
      </c>
      <c r="G19" s="15">
        <v>1.38</v>
      </c>
      <c r="H19" s="11">
        <f t="shared" si="0"/>
        <v>23.188405797101453</v>
      </c>
      <c r="I19" s="11">
        <f t="shared" si="1"/>
        <v>15.79130434782609</v>
      </c>
      <c r="J19" s="9">
        <f t="shared" si="2"/>
        <v>1</v>
      </c>
    </row>
    <row r="20" spans="1:11" x14ac:dyDescent="0.15">
      <c r="A20" s="9">
        <v>11</v>
      </c>
      <c r="B20" s="3" t="s">
        <v>14</v>
      </c>
      <c r="C20" s="9" t="s">
        <v>19</v>
      </c>
      <c r="D20" s="9" t="s">
        <v>10</v>
      </c>
      <c r="E20" s="9" t="s">
        <v>15</v>
      </c>
      <c r="F20" s="5">
        <v>25</v>
      </c>
      <c r="G20" s="15">
        <v>1.0900000000000001</v>
      </c>
      <c r="H20" s="11">
        <f t="shared" si="0"/>
        <v>22.935779816513758</v>
      </c>
      <c r="I20" s="11">
        <f t="shared" si="1"/>
        <v>15.61926605504587</v>
      </c>
      <c r="J20" s="9">
        <f t="shared" si="2"/>
        <v>1</v>
      </c>
      <c r="K20" s="29"/>
    </row>
    <row r="21" spans="1:11" x14ac:dyDescent="0.15">
      <c r="A21" s="9">
        <v>4</v>
      </c>
      <c r="B21" s="3" t="s">
        <v>14</v>
      </c>
      <c r="C21" s="9" t="s">
        <v>18</v>
      </c>
      <c r="D21" s="9" t="s">
        <v>10</v>
      </c>
      <c r="E21" s="9" t="s">
        <v>15</v>
      </c>
      <c r="F21" s="5">
        <v>48</v>
      </c>
      <c r="G21" s="15">
        <v>2.12</v>
      </c>
      <c r="H21" s="11">
        <f t="shared" si="0"/>
        <v>22.641509433962263</v>
      </c>
      <c r="I21" s="11">
        <f t="shared" si="1"/>
        <v>15.418867924528302</v>
      </c>
      <c r="J21" s="9">
        <f t="shared" si="2"/>
        <v>1</v>
      </c>
    </row>
    <row r="22" spans="1:11" x14ac:dyDescent="0.15">
      <c r="A22" s="9">
        <v>7</v>
      </c>
      <c r="B22" s="3" t="s">
        <v>14</v>
      </c>
      <c r="C22" s="9" t="s">
        <v>18</v>
      </c>
      <c r="D22" s="9" t="s">
        <v>10</v>
      </c>
      <c r="E22" s="9" t="s">
        <v>15</v>
      </c>
      <c r="F22" s="5">
        <v>48</v>
      </c>
      <c r="G22" s="15">
        <v>2.2000000000000002</v>
      </c>
      <c r="H22" s="11">
        <f t="shared" si="0"/>
        <v>21.818181818181817</v>
      </c>
      <c r="I22" s="11">
        <f t="shared" si="1"/>
        <v>14.858181818181817</v>
      </c>
      <c r="J22" s="9">
        <f t="shared" si="2"/>
        <v>1</v>
      </c>
    </row>
    <row r="23" spans="1:11" x14ac:dyDescent="0.15">
      <c r="A23" s="9">
        <v>5</v>
      </c>
      <c r="B23" s="3" t="s">
        <v>14</v>
      </c>
      <c r="C23" s="9" t="s">
        <v>18</v>
      </c>
      <c r="D23" s="9" t="s">
        <v>10</v>
      </c>
      <c r="E23" s="9" t="s">
        <v>15</v>
      </c>
      <c r="F23" s="5">
        <v>48</v>
      </c>
      <c r="G23" s="15">
        <v>2.27</v>
      </c>
      <c r="H23" s="11">
        <f t="shared" si="0"/>
        <v>21.145374449339208</v>
      </c>
      <c r="I23" s="11">
        <f t="shared" si="1"/>
        <v>14.400000000000002</v>
      </c>
      <c r="J23" s="9">
        <f t="shared" si="2"/>
        <v>1</v>
      </c>
    </row>
    <row r="24" spans="1:11" x14ac:dyDescent="0.15">
      <c r="A24" s="9">
        <v>29</v>
      </c>
      <c r="B24" s="3" t="s">
        <v>23</v>
      </c>
      <c r="C24" s="9" t="s">
        <v>26</v>
      </c>
      <c r="D24" s="9" t="s">
        <v>10</v>
      </c>
      <c r="E24" s="9" t="s">
        <v>15</v>
      </c>
      <c r="F24" s="5">
        <v>32</v>
      </c>
      <c r="G24" s="15">
        <v>1.66</v>
      </c>
      <c r="H24" s="11">
        <f t="shared" si="0"/>
        <v>19.277108433734941</v>
      </c>
      <c r="I24" s="11">
        <f t="shared" si="1"/>
        <v>13.127710843373496</v>
      </c>
      <c r="J24" s="9">
        <f t="shared" si="2"/>
        <v>1</v>
      </c>
    </row>
    <row r="25" spans="1:11" x14ac:dyDescent="0.15">
      <c r="A25" s="9">
        <v>39</v>
      </c>
      <c r="B25" s="3" t="s">
        <v>25</v>
      </c>
      <c r="C25" s="9" t="s">
        <v>19</v>
      </c>
      <c r="D25" s="9" t="s">
        <v>10</v>
      </c>
      <c r="E25" s="9" t="s">
        <v>15</v>
      </c>
      <c r="F25" s="5">
        <v>24</v>
      </c>
      <c r="G25" s="15">
        <v>1.25</v>
      </c>
      <c r="H25" s="11">
        <f t="shared" si="0"/>
        <v>19.2</v>
      </c>
      <c r="I25" s="11">
        <f t="shared" si="1"/>
        <v>13.075200000000001</v>
      </c>
      <c r="J25" s="9">
        <f t="shared" si="2"/>
        <v>1</v>
      </c>
    </row>
    <row r="26" spans="1:11" x14ac:dyDescent="0.15">
      <c r="A26" s="9">
        <v>40</v>
      </c>
      <c r="B26" s="3" t="s">
        <v>23</v>
      </c>
      <c r="C26" s="9" t="s">
        <v>26</v>
      </c>
      <c r="D26" s="9" t="s">
        <v>10</v>
      </c>
      <c r="E26" s="9" t="s">
        <v>15</v>
      </c>
      <c r="F26" s="5">
        <v>32</v>
      </c>
      <c r="G26" s="15">
        <v>1.7</v>
      </c>
      <c r="H26" s="11">
        <f t="shared" si="0"/>
        <v>18.823529411764707</v>
      </c>
      <c r="I26" s="11">
        <f t="shared" si="1"/>
        <v>12.818823529411766</v>
      </c>
      <c r="J26" s="9">
        <f t="shared" si="2"/>
        <v>1</v>
      </c>
    </row>
    <row r="27" spans="1:11" x14ac:dyDescent="0.15">
      <c r="A27" s="9">
        <v>15</v>
      </c>
      <c r="B27" s="3" t="s">
        <v>23</v>
      </c>
      <c r="C27" s="9" t="s">
        <v>24</v>
      </c>
      <c r="D27" s="9" t="s">
        <v>10</v>
      </c>
      <c r="E27" s="9" t="s">
        <v>15</v>
      </c>
      <c r="F27" s="5">
        <v>67</v>
      </c>
      <c r="G27" s="15">
        <v>3.59</v>
      </c>
      <c r="H27" s="11">
        <f t="shared" si="0"/>
        <v>18.662952646239557</v>
      </c>
      <c r="I27" s="11">
        <f t="shared" si="1"/>
        <v>12.709470752089139</v>
      </c>
      <c r="J27" s="9">
        <f t="shared" si="2"/>
        <v>1</v>
      </c>
    </row>
    <row r="28" spans="1:11" x14ac:dyDescent="0.15">
      <c r="A28" s="9">
        <v>34</v>
      </c>
      <c r="B28" s="3" t="s">
        <v>25</v>
      </c>
      <c r="C28" s="9" t="s">
        <v>18</v>
      </c>
      <c r="D28" s="9" t="s">
        <v>10</v>
      </c>
      <c r="E28" s="9" t="s">
        <v>15</v>
      </c>
      <c r="F28" s="5">
        <v>39</v>
      </c>
      <c r="G28" s="15">
        <v>2.1</v>
      </c>
      <c r="H28" s="11">
        <f t="shared" si="0"/>
        <v>18.571428571428569</v>
      </c>
      <c r="I28" s="11">
        <f t="shared" si="1"/>
        <v>12.647142857142857</v>
      </c>
      <c r="J28" s="9">
        <f t="shared" si="2"/>
        <v>1</v>
      </c>
    </row>
    <row r="29" spans="1:11" x14ac:dyDescent="0.15">
      <c r="A29" s="9">
        <v>41</v>
      </c>
      <c r="B29" s="3" t="s">
        <v>23</v>
      </c>
      <c r="C29" s="9" t="s">
        <v>24</v>
      </c>
      <c r="D29" s="9" t="s">
        <v>10</v>
      </c>
      <c r="E29" s="9" t="s">
        <v>15</v>
      </c>
      <c r="F29" s="5">
        <v>32</v>
      </c>
      <c r="G29" s="15">
        <v>1.74</v>
      </c>
      <c r="H29" s="11">
        <f t="shared" si="0"/>
        <v>18.390804597701148</v>
      </c>
      <c r="I29" s="11">
        <f t="shared" si="1"/>
        <v>12.524137931034483</v>
      </c>
      <c r="J29" s="9">
        <f t="shared" si="2"/>
        <v>1</v>
      </c>
    </row>
    <row r="30" spans="1:11" x14ac:dyDescent="0.15">
      <c r="A30" s="9">
        <v>16</v>
      </c>
      <c r="B30" s="3" t="s">
        <v>25</v>
      </c>
      <c r="C30" s="9" t="s">
        <v>19</v>
      </c>
      <c r="D30" s="9" t="s">
        <v>10</v>
      </c>
      <c r="E30" s="9" t="s">
        <v>15</v>
      </c>
      <c r="F30" s="5">
        <v>12</v>
      </c>
      <c r="G30" s="15">
        <v>0.68</v>
      </c>
      <c r="H30" s="11">
        <f t="shared" si="0"/>
        <v>17.647058823529409</v>
      </c>
      <c r="I30" s="11">
        <f t="shared" si="1"/>
        <v>12.017647058823529</v>
      </c>
      <c r="J30" s="9">
        <f t="shared" si="2"/>
        <v>1</v>
      </c>
      <c r="K30" s="29"/>
    </row>
    <row r="31" spans="1:11" x14ac:dyDescent="0.15">
      <c r="A31" s="9">
        <v>3</v>
      </c>
      <c r="B31" s="3" t="s">
        <v>14</v>
      </c>
      <c r="C31" s="9" t="s">
        <v>19</v>
      </c>
      <c r="D31" s="9" t="s">
        <v>10</v>
      </c>
      <c r="E31" s="9" t="s">
        <v>15</v>
      </c>
      <c r="F31" s="5">
        <v>25</v>
      </c>
      <c r="G31" s="15">
        <v>1.43</v>
      </c>
      <c r="H31" s="11">
        <f t="shared" si="0"/>
        <v>17.482517482517483</v>
      </c>
      <c r="I31" s="11">
        <f t="shared" si="1"/>
        <v>11.905594405594407</v>
      </c>
      <c r="J31" s="9">
        <f t="shared" si="2"/>
        <v>1</v>
      </c>
    </row>
    <row r="32" spans="1:11" x14ac:dyDescent="0.15">
      <c r="A32" s="9">
        <v>10</v>
      </c>
      <c r="B32" s="3" t="s">
        <v>14</v>
      </c>
      <c r="C32" s="9" t="s">
        <v>19</v>
      </c>
      <c r="D32" s="9" t="s">
        <v>10</v>
      </c>
      <c r="E32" s="9" t="s">
        <v>15</v>
      </c>
      <c r="F32" s="5">
        <v>25</v>
      </c>
      <c r="G32" s="15">
        <v>1.44</v>
      </c>
      <c r="H32" s="11">
        <f t="shared" si="0"/>
        <v>17.361111111111111</v>
      </c>
      <c r="I32" s="11">
        <f t="shared" si="1"/>
        <v>11.822916666666668</v>
      </c>
      <c r="J32" s="9">
        <f t="shared" si="2"/>
        <v>1</v>
      </c>
    </row>
    <row r="33" spans="1:11" x14ac:dyDescent="0.15">
      <c r="A33" s="9">
        <v>9</v>
      </c>
      <c r="B33" s="3" t="s">
        <v>14</v>
      </c>
      <c r="C33" s="9" t="s">
        <v>19</v>
      </c>
      <c r="D33" s="9" t="s">
        <v>10</v>
      </c>
      <c r="E33" s="9" t="s">
        <v>15</v>
      </c>
      <c r="F33" s="5">
        <v>25</v>
      </c>
      <c r="G33" s="15">
        <v>1.48</v>
      </c>
      <c r="H33" s="11">
        <f t="shared" si="0"/>
        <v>16.891891891891891</v>
      </c>
      <c r="I33" s="11">
        <f t="shared" si="1"/>
        <v>11.503378378378379</v>
      </c>
      <c r="J33" s="9">
        <f t="shared" si="2"/>
        <v>1</v>
      </c>
    </row>
    <row r="34" spans="1:11" x14ac:dyDescent="0.15">
      <c r="A34" s="9">
        <v>20</v>
      </c>
      <c r="B34" s="3" t="s">
        <v>25</v>
      </c>
      <c r="C34" s="9" t="s">
        <v>18</v>
      </c>
      <c r="D34" s="9" t="s">
        <v>10</v>
      </c>
      <c r="E34" s="9" t="s">
        <v>15</v>
      </c>
      <c r="F34" s="5">
        <v>39</v>
      </c>
      <c r="G34" s="15">
        <v>2.31</v>
      </c>
      <c r="H34" s="11">
        <f t="shared" si="0"/>
        <v>16.883116883116884</v>
      </c>
      <c r="I34" s="11">
        <f t="shared" si="1"/>
        <v>11.4974025974026</v>
      </c>
      <c r="J34" s="9">
        <f t="shared" si="2"/>
        <v>1</v>
      </c>
    </row>
    <row r="35" spans="1:11" x14ac:dyDescent="0.15">
      <c r="A35" s="9">
        <v>31</v>
      </c>
      <c r="B35" s="3" t="s">
        <v>29</v>
      </c>
      <c r="C35" s="9" t="s">
        <v>18</v>
      </c>
      <c r="D35" s="9" t="s">
        <v>10</v>
      </c>
      <c r="E35" s="9" t="s">
        <v>15</v>
      </c>
      <c r="F35" s="5">
        <v>47</v>
      </c>
      <c r="G35" s="15">
        <v>2.92</v>
      </c>
      <c r="H35" s="11">
        <f t="shared" si="0"/>
        <v>16.095890410958905</v>
      </c>
      <c r="I35" s="11">
        <f t="shared" si="1"/>
        <v>10.961301369863016</v>
      </c>
      <c r="J35" s="9">
        <f t="shared" si="2"/>
        <v>1</v>
      </c>
      <c r="K35" s="29"/>
    </row>
    <row r="36" spans="1:11" x14ac:dyDescent="0.15">
      <c r="A36" s="9">
        <v>21</v>
      </c>
      <c r="B36" s="3" t="s">
        <v>25</v>
      </c>
      <c r="C36" s="9" t="s">
        <v>18</v>
      </c>
      <c r="D36" s="9" t="s">
        <v>10</v>
      </c>
      <c r="E36" s="9" t="s">
        <v>15</v>
      </c>
      <c r="F36" s="5">
        <v>39</v>
      </c>
      <c r="G36" s="15">
        <v>2.46</v>
      </c>
      <c r="H36" s="11">
        <f t="shared" si="0"/>
        <v>15.853658536585366</v>
      </c>
      <c r="I36" s="11">
        <f t="shared" si="1"/>
        <v>10.796341463414635</v>
      </c>
      <c r="J36" s="9">
        <f t="shared" si="2"/>
        <v>1</v>
      </c>
    </row>
    <row r="37" spans="1:11" x14ac:dyDescent="0.15">
      <c r="A37" s="9">
        <v>19</v>
      </c>
      <c r="B37" s="3" t="s">
        <v>25</v>
      </c>
      <c r="C37" s="9" t="s">
        <v>19</v>
      </c>
      <c r="D37" s="9" t="s">
        <v>10</v>
      </c>
      <c r="E37" s="9" t="s">
        <v>15</v>
      </c>
      <c r="F37" s="5">
        <v>24</v>
      </c>
      <c r="G37" s="15">
        <v>1.54</v>
      </c>
      <c r="H37" s="11">
        <f t="shared" si="0"/>
        <v>15.584415584415584</v>
      </c>
      <c r="I37" s="11">
        <f t="shared" si="1"/>
        <v>10.612987012987015</v>
      </c>
      <c r="J37" s="9">
        <f t="shared" si="2"/>
        <v>1</v>
      </c>
    </row>
    <row r="38" spans="1:11" x14ac:dyDescent="0.15">
      <c r="A38" s="9">
        <v>36</v>
      </c>
      <c r="B38" s="3" t="s">
        <v>25</v>
      </c>
      <c r="C38" s="9" t="s">
        <v>18</v>
      </c>
      <c r="D38" s="9" t="s">
        <v>10</v>
      </c>
      <c r="E38" s="9" t="s">
        <v>15</v>
      </c>
      <c r="F38" s="5">
        <v>39</v>
      </c>
      <c r="G38" s="15">
        <v>2.52</v>
      </c>
      <c r="H38" s="11">
        <f t="shared" si="0"/>
        <v>15.476190476190476</v>
      </c>
      <c r="I38" s="11">
        <f t="shared" si="1"/>
        <v>10.539285714285715</v>
      </c>
      <c r="J38" s="9">
        <f t="shared" si="2"/>
        <v>1</v>
      </c>
    </row>
    <row r="39" spans="1:11" x14ac:dyDescent="0.15">
      <c r="A39" s="9">
        <v>22</v>
      </c>
      <c r="B39" s="3" t="s">
        <v>25</v>
      </c>
      <c r="C39" s="9" t="s">
        <v>19</v>
      </c>
      <c r="D39" s="9" t="s">
        <v>10</v>
      </c>
      <c r="E39" s="9" t="s">
        <v>15</v>
      </c>
      <c r="F39" s="5">
        <v>24</v>
      </c>
      <c r="G39" s="15">
        <v>1.57</v>
      </c>
      <c r="H39" s="11">
        <f t="shared" si="0"/>
        <v>15.286624203821656</v>
      </c>
      <c r="I39" s="11">
        <f t="shared" si="1"/>
        <v>10.410191082802548</v>
      </c>
      <c r="J39" s="9">
        <f t="shared" si="2"/>
        <v>1</v>
      </c>
    </row>
    <row r="40" spans="1:11" x14ac:dyDescent="0.15">
      <c r="A40" s="9">
        <v>35</v>
      </c>
      <c r="B40" s="3" t="s">
        <v>25</v>
      </c>
      <c r="C40" s="9" t="s">
        <v>19</v>
      </c>
      <c r="D40" s="9" t="s">
        <v>10</v>
      </c>
      <c r="E40" s="9" t="s">
        <v>15</v>
      </c>
      <c r="F40" s="5">
        <v>24</v>
      </c>
      <c r="G40" s="15">
        <v>1.58</v>
      </c>
      <c r="H40" s="11">
        <f t="shared" si="0"/>
        <v>15.189873417721518</v>
      </c>
      <c r="I40" s="11">
        <f t="shared" si="1"/>
        <v>10.344303797468354</v>
      </c>
      <c r="J40" s="9">
        <f t="shared" si="2"/>
        <v>1</v>
      </c>
    </row>
    <row r="41" spans="1:11" x14ac:dyDescent="0.15">
      <c r="A41" s="9">
        <v>32</v>
      </c>
      <c r="B41" s="3" t="s">
        <v>25</v>
      </c>
      <c r="C41" s="9" t="s">
        <v>18</v>
      </c>
      <c r="D41" s="9" t="s">
        <v>10</v>
      </c>
      <c r="E41" s="9" t="s">
        <v>15</v>
      </c>
      <c r="F41" s="5">
        <v>39</v>
      </c>
      <c r="G41" s="15">
        <v>2.6</v>
      </c>
      <c r="H41" s="11">
        <f t="shared" si="0"/>
        <v>15</v>
      </c>
      <c r="I41" s="11">
        <f t="shared" si="1"/>
        <v>10.215</v>
      </c>
      <c r="J41" s="9">
        <f t="shared" si="2"/>
        <v>1</v>
      </c>
    </row>
    <row r="42" spans="1:11" x14ac:dyDescent="0.15">
      <c r="A42" s="9">
        <v>43</v>
      </c>
      <c r="B42" s="3" t="s">
        <v>23</v>
      </c>
      <c r="C42" s="9" t="s">
        <v>24</v>
      </c>
      <c r="D42" s="9" t="s">
        <v>10</v>
      </c>
      <c r="E42" s="9" t="s">
        <v>15</v>
      </c>
      <c r="F42" s="5">
        <v>32</v>
      </c>
      <c r="G42" s="15">
        <v>2.15</v>
      </c>
      <c r="H42" s="11">
        <f t="shared" si="0"/>
        <v>14.883720930232558</v>
      </c>
      <c r="I42" s="11">
        <f t="shared" si="1"/>
        <v>10.135813953488373</v>
      </c>
      <c r="J42" s="9">
        <f t="shared" si="2"/>
        <v>1</v>
      </c>
    </row>
    <row r="43" spans="1:11" x14ac:dyDescent="0.15">
      <c r="A43" s="9">
        <v>33</v>
      </c>
      <c r="B43" s="3" t="s">
        <v>25</v>
      </c>
      <c r="C43" s="9" t="s">
        <v>19</v>
      </c>
      <c r="D43" s="9" t="s">
        <v>10</v>
      </c>
      <c r="E43" s="9" t="s">
        <v>15</v>
      </c>
      <c r="F43" s="5">
        <v>24</v>
      </c>
      <c r="G43" s="15">
        <v>1.64</v>
      </c>
      <c r="H43" s="11">
        <f t="shared" si="0"/>
        <v>14.634146341463415</v>
      </c>
      <c r="I43" s="11">
        <f t="shared" si="1"/>
        <v>9.9658536585365862</v>
      </c>
      <c r="J43" s="9">
        <f t="shared" si="2"/>
        <v>1</v>
      </c>
    </row>
    <row r="44" spans="1:11" x14ac:dyDescent="0.15">
      <c r="A44" s="9">
        <v>17</v>
      </c>
      <c r="B44" s="3" t="s">
        <v>25</v>
      </c>
      <c r="C44" s="9" t="s">
        <v>19</v>
      </c>
      <c r="D44" s="9" t="s">
        <v>10</v>
      </c>
      <c r="E44" s="9" t="s">
        <v>15</v>
      </c>
      <c r="F44" s="5">
        <v>12</v>
      </c>
      <c r="G44" s="15">
        <v>0.98</v>
      </c>
      <c r="H44" s="11">
        <f t="shared" si="0"/>
        <v>12.244897959183673</v>
      </c>
      <c r="I44" s="11">
        <f t="shared" si="1"/>
        <v>8.3387755102040817</v>
      </c>
      <c r="J44" s="9">
        <f t="shared" si="2"/>
        <v>1</v>
      </c>
    </row>
    <row r="45" spans="1:11" x14ac:dyDescent="0.15">
      <c r="A45" s="9">
        <v>30</v>
      </c>
      <c r="B45" s="3" t="s">
        <v>29</v>
      </c>
      <c r="C45" s="9" t="s">
        <v>18</v>
      </c>
      <c r="D45" s="9" t="s">
        <v>10</v>
      </c>
      <c r="E45" s="9" t="s">
        <v>15</v>
      </c>
      <c r="F45" s="5">
        <v>47</v>
      </c>
      <c r="G45" s="15">
        <v>4.93</v>
      </c>
      <c r="H45" s="11">
        <f t="shared" si="0"/>
        <v>9.5334685598377291</v>
      </c>
      <c r="I45" s="11">
        <f t="shared" si="1"/>
        <v>6.492292089249494</v>
      </c>
      <c r="J45" s="9">
        <f t="shared" si="2"/>
        <v>1</v>
      </c>
    </row>
    <row r="46" spans="1:11" x14ac:dyDescent="0.15">
      <c r="C46"/>
      <c r="D46"/>
      <c r="E46"/>
      <c r="F46"/>
      <c r="G46"/>
      <c r="H46"/>
      <c r="I46" s="9">
        <f>SUM(I2:I45)/J46</f>
        <v>14.539516917923793</v>
      </c>
      <c r="J46" s="9">
        <f>SUM(J2:J45)</f>
        <v>44</v>
      </c>
    </row>
    <row r="47" spans="1:11" x14ac:dyDescent="0.15">
      <c r="C47"/>
      <c r="D47"/>
      <c r="E47"/>
      <c r="F47"/>
      <c r="G47"/>
      <c r="H47"/>
      <c r="I47"/>
    </row>
    <row r="48" spans="1:11" x14ac:dyDescent="0.15">
      <c r="C48"/>
      <c r="D48"/>
      <c r="E48"/>
      <c r="F48"/>
      <c r="G48"/>
      <c r="H48"/>
      <c r="I48"/>
    </row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  <row r="82" customFormat="1" x14ac:dyDescent="0.15"/>
    <row r="83" customFormat="1" x14ac:dyDescent="0.15"/>
    <row r="84" customForma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  <row r="94" customFormat="1" x14ac:dyDescent="0.15"/>
    <row r="95" customFormat="1" x14ac:dyDescent="0.15"/>
    <row r="96" customFormat="1" x14ac:dyDescent="0.15"/>
    <row r="97" spans="3:9" x14ac:dyDescent="0.15">
      <c r="C97"/>
      <c r="D97"/>
      <c r="E97"/>
      <c r="F97"/>
      <c r="G97"/>
      <c r="H97"/>
      <c r="I97"/>
    </row>
    <row r="98" spans="3:9" x14ac:dyDescent="0.15">
      <c r="C98"/>
      <c r="D98"/>
      <c r="E98"/>
      <c r="F98"/>
      <c r="G98"/>
      <c r="H98"/>
      <c r="I98"/>
    </row>
    <row r="99" spans="3:9" x14ac:dyDescent="0.15">
      <c r="C99"/>
      <c r="D99"/>
      <c r="E99"/>
      <c r="F99"/>
      <c r="G99"/>
      <c r="H99"/>
      <c r="I99"/>
    </row>
    <row r="100" spans="3:9" x14ac:dyDescent="0.15">
      <c r="C100"/>
      <c r="D100"/>
      <c r="E100"/>
      <c r="F100"/>
      <c r="G100"/>
      <c r="H100"/>
      <c r="I100"/>
    </row>
    <row r="101" spans="3:9" x14ac:dyDescent="0.15">
      <c r="C101"/>
      <c r="D101"/>
      <c r="E101"/>
      <c r="F101"/>
      <c r="G101"/>
      <c r="H101"/>
      <c r="I101"/>
    </row>
    <row r="102" spans="3:9" x14ac:dyDescent="0.15">
      <c r="C102"/>
      <c r="D102"/>
      <c r="E102"/>
      <c r="F102"/>
      <c r="G102"/>
      <c r="H102"/>
      <c r="I102"/>
    </row>
    <row r="103" spans="3:9" x14ac:dyDescent="0.15">
      <c r="C103"/>
      <c r="D103"/>
      <c r="E103"/>
      <c r="F103"/>
      <c r="G103"/>
      <c r="H103"/>
      <c r="I103"/>
    </row>
    <row r="104" spans="3:9" x14ac:dyDescent="0.15">
      <c r="H104" s="18"/>
      <c r="I104" s="18"/>
    </row>
  </sheetData>
  <sortState xmlns:xlrd2="http://schemas.microsoft.com/office/spreadsheetml/2017/richdata2" ref="A2:J45">
    <sortCondition descending="1" ref="I2:I4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10"/>
  <sheetViews>
    <sheetView workbookViewId="0">
      <selection activeCell="H6" sqref="H6"/>
    </sheetView>
  </sheetViews>
  <sheetFormatPr baseColWidth="10" defaultColWidth="8.83203125" defaultRowHeight="14" x14ac:dyDescent="0.15"/>
  <sheetData>
    <row r="3" spans="1:8" s="1" customFormat="1" ht="75" x14ac:dyDescent="0.15">
      <c r="B3" s="2"/>
      <c r="C3" s="42" t="s">
        <v>71</v>
      </c>
      <c r="D3" s="42" t="s">
        <v>72</v>
      </c>
      <c r="E3" s="42" t="s">
        <v>2</v>
      </c>
      <c r="F3" s="42" t="s">
        <v>73</v>
      </c>
      <c r="G3" s="1" t="s">
        <v>74</v>
      </c>
      <c r="H3" s="1" t="s">
        <v>75</v>
      </c>
    </row>
    <row r="4" spans="1:8" x14ac:dyDescent="0.15">
      <c r="B4" s="3" t="s">
        <v>10</v>
      </c>
      <c r="C4" s="17">
        <v>11</v>
      </c>
      <c r="D4" s="17">
        <v>14.5</v>
      </c>
      <c r="E4" s="17">
        <v>18.399999999999999</v>
      </c>
      <c r="F4" s="17">
        <f>E4-C4</f>
        <v>7.3999999999999986</v>
      </c>
    </row>
    <row r="5" spans="1:8" x14ac:dyDescent="0.15">
      <c r="B5" s="3" t="s">
        <v>12</v>
      </c>
      <c r="C5" s="17">
        <v>9.4</v>
      </c>
      <c r="D5" s="17">
        <v>11.8</v>
      </c>
      <c r="E5" s="17">
        <v>15.7</v>
      </c>
      <c r="F5" s="17">
        <f t="shared" ref="F5:F7" si="0">E5-C5</f>
        <v>6.2999999999999989</v>
      </c>
      <c r="H5" s="41">
        <f>SUM(D5*0.5)+D5</f>
        <v>17.700000000000003</v>
      </c>
    </row>
    <row r="6" spans="1:8" x14ac:dyDescent="0.15">
      <c r="B6" s="3" t="s">
        <v>1</v>
      </c>
      <c r="C6" s="17">
        <v>7.5</v>
      </c>
      <c r="D6" s="17">
        <v>9.3000000000000007</v>
      </c>
      <c r="E6" s="17">
        <v>12.4</v>
      </c>
      <c r="F6" s="17">
        <f t="shared" si="0"/>
        <v>4.9000000000000004</v>
      </c>
      <c r="H6" s="41">
        <f>SUM(D6*0.5)+D6</f>
        <v>13.950000000000001</v>
      </c>
    </row>
    <row r="7" spans="1:8" x14ac:dyDescent="0.15">
      <c r="B7" s="33" t="s">
        <v>44</v>
      </c>
      <c r="C7" s="44">
        <v>8.1999999999999993</v>
      </c>
      <c r="D7" s="44">
        <v>11.6</v>
      </c>
      <c r="E7" s="44">
        <v>16.3</v>
      </c>
      <c r="F7" s="44">
        <f t="shared" si="0"/>
        <v>8.1000000000000014</v>
      </c>
    </row>
    <row r="8" spans="1:8" x14ac:dyDescent="0.15">
      <c r="A8" s="49" t="s">
        <v>74</v>
      </c>
      <c r="B8" s="43" t="s">
        <v>12</v>
      </c>
      <c r="C8" s="45">
        <f>C5/C4</f>
        <v>0.85454545454545461</v>
      </c>
      <c r="D8" s="45">
        <f t="shared" ref="D8:E8" si="1">D5/D4</f>
        <v>0.81379310344827593</v>
      </c>
      <c r="E8" s="45">
        <f t="shared" si="1"/>
        <v>0.85326086956521741</v>
      </c>
      <c r="F8" s="45">
        <f t="shared" ref="F8" si="2">F5/F4</f>
        <v>0.85135135135135132</v>
      </c>
    </row>
    <row r="9" spans="1:8" x14ac:dyDescent="0.15">
      <c r="A9" s="49"/>
      <c r="B9" s="43" t="s">
        <v>1</v>
      </c>
      <c r="C9" s="45">
        <f>C6/C4</f>
        <v>0.68181818181818177</v>
      </c>
      <c r="D9" s="45">
        <f t="shared" ref="D9:E9" si="3">D6/D4</f>
        <v>0.64137931034482765</v>
      </c>
      <c r="E9" s="45">
        <f t="shared" si="3"/>
        <v>0.67391304347826098</v>
      </c>
      <c r="F9" s="45">
        <f t="shared" ref="F9" si="4">F6/F4</f>
        <v>0.66216216216216228</v>
      </c>
    </row>
    <row r="10" spans="1:8" x14ac:dyDescent="0.15">
      <c r="A10" s="49"/>
      <c r="B10" s="43" t="s">
        <v>44</v>
      </c>
      <c r="C10" s="45">
        <f>C7/C4</f>
        <v>0.74545454545454537</v>
      </c>
      <c r="D10" s="45">
        <f t="shared" ref="D10:E10" si="5">D7/D4</f>
        <v>0.79999999999999993</v>
      </c>
      <c r="E10" s="45">
        <f t="shared" si="5"/>
        <v>0.88586956521739146</v>
      </c>
      <c r="F10" s="45">
        <f t="shared" ref="F10" si="6">F7/F4</f>
        <v>1.094594594594595</v>
      </c>
    </row>
  </sheetData>
  <mergeCells count="1">
    <mergeCell ref="A8:A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4" sqref="K4"/>
    </sheetView>
  </sheetViews>
  <sheetFormatPr baseColWidth="10" defaultColWidth="8.83203125" defaultRowHeight="14" x14ac:dyDescent="0.15"/>
  <cols>
    <col min="1" max="1" width="6.83203125" customWidth="1"/>
    <col min="3" max="3" width="7.5" style="8" customWidth="1"/>
    <col min="4" max="4" width="7.83203125" style="8" customWidth="1"/>
    <col min="5" max="5" width="7.5" style="8" customWidth="1"/>
    <col min="6" max="6" width="10" style="6" customWidth="1"/>
    <col min="7" max="7" width="7.5" style="12" customWidth="1"/>
    <col min="8" max="8" width="7.83203125" style="12" customWidth="1"/>
    <col min="9" max="9" width="8.83203125" style="12"/>
  </cols>
  <sheetData>
    <row r="1" spans="1:11" s="7" customFormat="1" ht="54" customHeight="1" x14ac:dyDescent="0.15">
      <c r="A1" s="4" t="s">
        <v>16</v>
      </c>
      <c r="B1" s="4" t="s">
        <v>0</v>
      </c>
      <c r="C1" s="4" t="s">
        <v>17</v>
      </c>
      <c r="D1" s="4" t="s">
        <v>7</v>
      </c>
      <c r="E1" s="4" t="s">
        <v>8</v>
      </c>
      <c r="F1" s="4" t="s">
        <v>21</v>
      </c>
      <c r="G1" s="10" t="s">
        <v>3</v>
      </c>
      <c r="H1" s="10" t="s">
        <v>5</v>
      </c>
      <c r="I1" s="10" t="s">
        <v>4</v>
      </c>
      <c r="J1" s="4" t="s">
        <v>20</v>
      </c>
    </row>
    <row r="2" spans="1:11" x14ac:dyDescent="0.15">
      <c r="A2" s="9">
        <v>26</v>
      </c>
      <c r="B2" s="3" t="s">
        <v>11</v>
      </c>
      <c r="C2" s="9"/>
      <c r="D2" s="9" t="s">
        <v>12</v>
      </c>
      <c r="E2" s="9"/>
      <c r="F2" s="5">
        <v>43</v>
      </c>
      <c r="G2" s="11">
        <v>1.38</v>
      </c>
      <c r="H2" s="11">
        <f t="shared" ref="H2:H33" si="0">F2/G2</f>
        <v>31.159420289855074</v>
      </c>
      <c r="I2" s="11">
        <f t="shared" ref="I2:I33" si="1">H2*0.681</f>
        <v>21.219565217391306</v>
      </c>
      <c r="J2" s="9">
        <f t="shared" ref="J2:J33" si="2">IF(G2&gt;0,1,0)</f>
        <v>1</v>
      </c>
    </row>
    <row r="3" spans="1:11" x14ac:dyDescent="0.15">
      <c r="A3" s="9">
        <v>28</v>
      </c>
      <c r="B3" s="3" t="s">
        <v>11</v>
      </c>
      <c r="C3" s="9"/>
      <c r="D3" s="9" t="s">
        <v>12</v>
      </c>
      <c r="E3" s="9"/>
      <c r="F3" s="5">
        <v>43</v>
      </c>
      <c r="G3" s="11">
        <v>1.5</v>
      </c>
      <c r="H3" s="11">
        <f t="shared" si="0"/>
        <v>28.666666666666668</v>
      </c>
      <c r="I3" s="11">
        <f t="shared" si="1"/>
        <v>19.522000000000002</v>
      </c>
      <c r="J3" s="9">
        <f t="shared" si="2"/>
        <v>1</v>
      </c>
    </row>
    <row r="4" spans="1:11" x14ac:dyDescent="0.15">
      <c r="A4" s="9">
        <v>50</v>
      </c>
      <c r="B4" s="3" t="s">
        <v>11</v>
      </c>
      <c r="C4" s="9"/>
      <c r="D4" s="9" t="s">
        <v>12</v>
      </c>
      <c r="E4" s="9"/>
      <c r="F4" s="5">
        <v>24</v>
      </c>
      <c r="G4" s="11">
        <v>0.92</v>
      </c>
      <c r="H4" s="11">
        <f t="shared" si="0"/>
        <v>26.086956521739129</v>
      </c>
      <c r="I4" s="11">
        <f t="shared" si="1"/>
        <v>17.765217391304347</v>
      </c>
      <c r="J4" s="9">
        <f t="shared" si="2"/>
        <v>1</v>
      </c>
      <c r="K4" s="29"/>
    </row>
    <row r="5" spans="1:11" x14ac:dyDescent="0.15">
      <c r="A5" s="9">
        <v>21</v>
      </c>
      <c r="B5" s="3" t="s">
        <v>11</v>
      </c>
      <c r="C5" s="9"/>
      <c r="D5" s="9" t="s">
        <v>12</v>
      </c>
      <c r="E5" s="9"/>
      <c r="F5" s="5">
        <v>24</v>
      </c>
      <c r="G5" s="11">
        <v>0.93</v>
      </c>
      <c r="H5" s="11">
        <f t="shared" si="0"/>
        <v>25.806451612903224</v>
      </c>
      <c r="I5" s="11">
        <f t="shared" si="1"/>
        <v>17.574193548387097</v>
      </c>
      <c r="J5" s="9">
        <f t="shared" si="2"/>
        <v>1</v>
      </c>
    </row>
    <row r="6" spans="1:11" x14ac:dyDescent="0.15">
      <c r="A6" s="9">
        <v>13</v>
      </c>
      <c r="B6" s="3" t="s">
        <v>11</v>
      </c>
      <c r="C6" s="9"/>
      <c r="D6" s="9" t="s">
        <v>12</v>
      </c>
      <c r="E6" s="9"/>
      <c r="F6" s="5">
        <v>24</v>
      </c>
      <c r="G6" s="11">
        <v>0.95</v>
      </c>
      <c r="H6" s="11">
        <f t="shared" si="0"/>
        <v>25.263157894736842</v>
      </c>
      <c r="I6" s="11">
        <f t="shared" si="1"/>
        <v>17.204210526315791</v>
      </c>
      <c r="J6" s="9">
        <f t="shared" si="2"/>
        <v>1</v>
      </c>
    </row>
    <row r="7" spans="1:11" x14ac:dyDescent="0.15">
      <c r="A7" s="9">
        <v>14</v>
      </c>
      <c r="B7" s="3" t="s">
        <v>11</v>
      </c>
      <c r="C7" s="9"/>
      <c r="D7" s="9" t="s">
        <v>12</v>
      </c>
      <c r="E7" s="9"/>
      <c r="F7" s="5">
        <v>24</v>
      </c>
      <c r="G7" s="11">
        <v>0.95</v>
      </c>
      <c r="H7" s="11">
        <f t="shared" si="0"/>
        <v>25.263157894736842</v>
      </c>
      <c r="I7" s="11">
        <f t="shared" si="1"/>
        <v>17.204210526315791</v>
      </c>
      <c r="J7" s="9">
        <f t="shared" si="2"/>
        <v>1</v>
      </c>
    </row>
    <row r="8" spans="1:11" x14ac:dyDescent="0.15">
      <c r="A8" s="9">
        <v>36</v>
      </c>
      <c r="B8" s="3" t="s">
        <v>11</v>
      </c>
      <c r="C8" s="9"/>
      <c r="D8" s="9" t="s">
        <v>12</v>
      </c>
      <c r="E8" s="9"/>
      <c r="F8" s="5">
        <v>24</v>
      </c>
      <c r="G8" s="11">
        <v>0.98</v>
      </c>
      <c r="H8" s="11">
        <f t="shared" si="0"/>
        <v>24.489795918367346</v>
      </c>
      <c r="I8" s="11">
        <f t="shared" si="1"/>
        <v>16.677551020408163</v>
      </c>
      <c r="J8" s="9">
        <f t="shared" si="2"/>
        <v>1</v>
      </c>
    </row>
    <row r="9" spans="1:11" x14ac:dyDescent="0.15">
      <c r="A9" s="9">
        <v>47</v>
      </c>
      <c r="B9" s="3" t="s">
        <v>11</v>
      </c>
      <c r="C9" s="9"/>
      <c r="D9" s="9" t="s">
        <v>12</v>
      </c>
      <c r="E9" s="9"/>
      <c r="F9" s="5">
        <v>43</v>
      </c>
      <c r="G9" s="11">
        <v>1.77</v>
      </c>
      <c r="H9" s="11">
        <f t="shared" si="0"/>
        <v>24.293785310734464</v>
      </c>
      <c r="I9" s="11">
        <f t="shared" si="1"/>
        <v>16.544067796610172</v>
      </c>
      <c r="J9" s="9">
        <f t="shared" si="2"/>
        <v>1</v>
      </c>
    </row>
    <row r="10" spans="1:11" x14ac:dyDescent="0.15">
      <c r="A10" s="9">
        <v>27</v>
      </c>
      <c r="B10" s="3" t="s">
        <v>11</v>
      </c>
      <c r="C10" s="9"/>
      <c r="D10" s="9" t="s">
        <v>12</v>
      </c>
      <c r="E10" s="9"/>
      <c r="F10" s="5">
        <v>24</v>
      </c>
      <c r="G10" s="11">
        <v>1</v>
      </c>
      <c r="H10" s="11">
        <f t="shared" si="0"/>
        <v>24</v>
      </c>
      <c r="I10" s="11">
        <f t="shared" si="1"/>
        <v>16.344000000000001</v>
      </c>
      <c r="J10" s="9">
        <f t="shared" si="2"/>
        <v>1</v>
      </c>
    </row>
    <row r="11" spans="1:11" x14ac:dyDescent="0.15">
      <c r="A11" s="9">
        <v>42</v>
      </c>
      <c r="B11" s="3" t="s">
        <v>11</v>
      </c>
      <c r="C11" s="9"/>
      <c r="D11" s="9" t="s">
        <v>12</v>
      </c>
      <c r="E11" s="9"/>
      <c r="F11" s="5">
        <v>24</v>
      </c>
      <c r="G11" s="11">
        <v>1</v>
      </c>
      <c r="H11" s="11">
        <f t="shared" si="0"/>
        <v>24</v>
      </c>
      <c r="I11" s="11">
        <f t="shared" si="1"/>
        <v>16.344000000000001</v>
      </c>
      <c r="J11" s="9">
        <f t="shared" si="2"/>
        <v>1</v>
      </c>
    </row>
    <row r="12" spans="1:11" ht="15" thickBot="1" x14ac:dyDescent="0.2">
      <c r="A12" s="24">
        <v>54</v>
      </c>
      <c r="B12" s="25" t="s">
        <v>27</v>
      </c>
      <c r="C12" s="24"/>
      <c r="D12" s="24" t="s">
        <v>12</v>
      </c>
      <c r="E12" s="24"/>
      <c r="F12" s="26">
        <v>35</v>
      </c>
      <c r="G12" s="28">
        <v>1.46</v>
      </c>
      <c r="H12" s="28">
        <f t="shared" si="0"/>
        <v>23.972602739726028</v>
      </c>
      <c r="I12" s="28">
        <f t="shared" si="1"/>
        <v>16.325342465753426</v>
      </c>
      <c r="J12" s="24">
        <f t="shared" si="2"/>
        <v>1</v>
      </c>
    </row>
    <row r="13" spans="1:11" x14ac:dyDescent="0.15">
      <c r="A13" s="19">
        <v>37</v>
      </c>
      <c r="B13" s="20" t="s">
        <v>11</v>
      </c>
      <c r="C13" s="19"/>
      <c r="D13" s="19" t="s">
        <v>12</v>
      </c>
      <c r="E13" s="19"/>
      <c r="F13" s="21">
        <v>24</v>
      </c>
      <c r="G13" s="23">
        <v>1.04</v>
      </c>
      <c r="H13" s="23">
        <f t="shared" si="0"/>
        <v>23.076923076923077</v>
      </c>
      <c r="I13" s="31">
        <f t="shared" si="1"/>
        <v>15.715384615384616</v>
      </c>
      <c r="J13" s="19">
        <f t="shared" si="2"/>
        <v>1</v>
      </c>
      <c r="K13" s="29" t="s">
        <v>48</v>
      </c>
    </row>
    <row r="14" spans="1:11" x14ac:dyDescent="0.15">
      <c r="A14" s="9">
        <v>69</v>
      </c>
      <c r="B14" s="3" t="s">
        <v>30</v>
      </c>
      <c r="C14" s="9" t="s">
        <v>18</v>
      </c>
      <c r="D14" s="9" t="s">
        <v>12</v>
      </c>
      <c r="E14" s="9"/>
      <c r="F14" s="5">
        <v>28</v>
      </c>
      <c r="G14" s="11">
        <v>1.26</v>
      </c>
      <c r="H14" s="11">
        <f t="shared" si="0"/>
        <v>22.222222222222221</v>
      </c>
      <c r="I14" s="11">
        <f t="shared" si="1"/>
        <v>15.133333333333335</v>
      </c>
      <c r="J14" s="9">
        <f t="shared" si="2"/>
        <v>1</v>
      </c>
    </row>
    <row r="15" spans="1:11" x14ac:dyDescent="0.15">
      <c r="A15" s="9">
        <v>43</v>
      </c>
      <c r="B15" s="3" t="s">
        <v>11</v>
      </c>
      <c r="C15" s="9"/>
      <c r="D15" s="9" t="s">
        <v>12</v>
      </c>
      <c r="E15" s="9"/>
      <c r="F15" s="5">
        <v>24</v>
      </c>
      <c r="G15" s="11">
        <v>1.0900000000000001</v>
      </c>
      <c r="H15" s="11">
        <f t="shared" si="0"/>
        <v>22.01834862385321</v>
      </c>
      <c r="I15" s="11">
        <f t="shared" si="1"/>
        <v>14.994495412844037</v>
      </c>
      <c r="J15" s="9">
        <f t="shared" si="2"/>
        <v>1</v>
      </c>
    </row>
    <row r="16" spans="1:11" x14ac:dyDescent="0.15">
      <c r="A16" s="9">
        <v>39</v>
      </c>
      <c r="B16" s="3" t="s">
        <v>11</v>
      </c>
      <c r="C16" s="9"/>
      <c r="D16" s="9" t="s">
        <v>12</v>
      </c>
      <c r="E16" s="9"/>
      <c r="F16" s="5">
        <v>43</v>
      </c>
      <c r="G16" s="11">
        <v>1.96</v>
      </c>
      <c r="H16" s="11">
        <f t="shared" si="0"/>
        <v>21.938775510204081</v>
      </c>
      <c r="I16" s="11">
        <f t="shared" si="1"/>
        <v>14.94030612244898</v>
      </c>
      <c r="J16" s="9">
        <f t="shared" si="2"/>
        <v>1</v>
      </c>
    </row>
    <row r="17" spans="1:11" x14ac:dyDescent="0.15">
      <c r="A17" s="9">
        <v>70</v>
      </c>
      <c r="B17" s="3" t="s">
        <v>30</v>
      </c>
      <c r="C17" s="9" t="s">
        <v>19</v>
      </c>
      <c r="D17" s="9" t="s">
        <v>12</v>
      </c>
      <c r="E17" s="9"/>
      <c r="F17" s="5">
        <v>30</v>
      </c>
      <c r="G17" s="11">
        <v>1.37</v>
      </c>
      <c r="H17" s="11">
        <f t="shared" si="0"/>
        <v>21.897810218978101</v>
      </c>
      <c r="I17" s="11">
        <f t="shared" si="1"/>
        <v>14.912408759124087</v>
      </c>
      <c r="J17" s="9">
        <f t="shared" si="2"/>
        <v>1</v>
      </c>
    </row>
    <row r="18" spans="1:11" x14ac:dyDescent="0.15">
      <c r="A18" s="9">
        <v>49</v>
      </c>
      <c r="B18" s="3" t="s">
        <v>11</v>
      </c>
      <c r="C18" s="9"/>
      <c r="D18" s="9" t="s">
        <v>12</v>
      </c>
      <c r="E18" s="9"/>
      <c r="F18" s="5">
        <v>43</v>
      </c>
      <c r="G18" s="11">
        <v>2.09</v>
      </c>
      <c r="H18" s="11">
        <f t="shared" si="0"/>
        <v>20.574162679425839</v>
      </c>
      <c r="I18" s="11">
        <f t="shared" si="1"/>
        <v>14.011004784688998</v>
      </c>
      <c r="J18" s="9">
        <f t="shared" si="2"/>
        <v>1</v>
      </c>
    </row>
    <row r="19" spans="1:11" x14ac:dyDescent="0.15">
      <c r="A19" s="9">
        <v>51</v>
      </c>
      <c r="B19" s="3" t="s">
        <v>27</v>
      </c>
      <c r="C19" s="9"/>
      <c r="D19" s="9" t="s">
        <v>12</v>
      </c>
      <c r="E19" s="9"/>
      <c r="F19" s="5">
        <v>35</v>
      </c>
      <c r="G19" s="11">
        <v>1.73</v>
      </c>
      <c r="H19" s="11">
        <f t="shared" si="0"/>
        <v>20.23121387283237</v>
      </c>
      <c r="I19" s="11">
        <f t="shared" si="1"/>
        <v>13.777456647398845</v>
      </c>
      <c r="J19" s="9">
        <f t="shared" si="2"/>
        <v>1</v>
      </c>
    </row>
    <row r="20" spans="1:11" x14ac:dyDescent="0.15">
      <c r="A20" s="9">
        <v>63</v>
      </c>
      <c r="B20" s="3" t="s">
        <v>30</v>
      </c>
      <c r="C20" s="9" t="s">
        <v>19</v>
      </c>
      <c r="D20" s="9" t="s">
        <v>12</v>
      </c>
      <c r="E20" s="9"/>
      <c r="F20" s="5">
        <v>30</v>
      </c>
      <c r="G20" s="11">
        <v>1.5</v>
      </c>
      <c r="H20" s="11">
        <f t="shared" si="0"/>
        <v>20</v>
      </c>
      <c r="I20" s="11">
        <f t="shared" si="1"/>
        <v>13.620000000000001</v>
      </c>
      <c r="J20" s="9">
        <f t="shared" si="2"/>
        <v>1</v>
      </c>
    </row>
    <row r="21" spans="1:11" x14ac:dyDescent="0.15">
      <c r="A21" s="9">
        <v>10</v>
      </c>
      <c r="B21" s="3" t="s">
        <v>11</v>
      </c>
      <c r="C21" s="9"/>
      <c r="D21" s="9" t="s">
        <v>12</v>
      </c>
      <c r="E21" s="9"/>
      <c r="F21" s="5">
        <v>43</v>
      </c>
      <c r="G21" s="11">
        <v>2.23</v>
      </c>
      <c r="H21" s="11">
        <f t="shared" si="0"/>
        <v>19.282511210762333</v>
      </c>
      <c r="I21" s="11">
        <f t="shared" si="1"/>
        <v>13.13139013452915</v>
      </c>
      <c r="J21" s="9">
        <f t="shared" si="2"/>
        <v>1</v>
      </c>
    </row>
    <row r="22" spans="1:11" x14ac:dyDescent="0.15">
      <c r="A22" s="9">
        <v>17</v>
      </c>
      <c r="B22" s="3" t="s">
        <v>11</v>
      </c>
      <c r="C22" s="9"/>
      <c r="D22" s="9" t="s">
        <v>12</v>
      </c>
      <c r="E22" s="9"/>
      <c r="F22" s="5">
        <v>24</v>
      </c>
      <c r="G22" s="11">
        <v>1.25</v>
      </c>
      <c r="H22" s="11">
        <f t="shared" si="0"/>
        <v>19.2</v>
      </c>
      <c r="I22" s="11">
        <f t="shared" si="1"/>
        <v>13.075200000000001</v>
      </c>
      <c r="J22" s="9">
        <f t="shared" si="2"/>
        <v>1</v>
      </c>
    </row>
    <row r="23" spans="1:11" x14ac:dyDescent="0.15">
      <c r="A23" s="9">
        <v>19</v>
      </c>
      <c r="B23" s="3" t="s">
        <v>11</v>
      </c>
      <c r="C23" s="9"/>
      <c r="D23" s="9" t="s">
        <v>12</v>
      </c>
      <c r="E23" s="9"/>
      <c r="F23" s="5">
        <v>43</v>
      </c>
      <c r="G23" s="11">
        <v>2.37</v>
      </c>
      <c r="H23" s="11">
        <f t="shared" si="0"/>
        <v>18.143459915611814</v>
      </c>
      <c r="I23" s="11">
        <f t="shared" si="1"/>
        <v>12.355696202531647</v>
      </c>
      <c r="J23" s="9">
        <f t="shared" si="2"/>
        <v>1</v>
      </c>
      <c r="K23" s="29"/>
    </row>
    <row r="24" spans="1:11" x14ac:dyDescent="0.15">
      <c r="A24" s="9">
        <v>29</v>
      </c>
      <c r="B24" s="3" t="s">
        <v>11</v>
      </c>
      <c r="C24" s="9"/>
      <c r="D24" s="9" t="s">
        <v>12</v>
      </c>
      <c r="E24" s="9"/>
      <c r="F24" s="5">
        <v>43</v>
      </c>
      <c r="G24" s="11">
        <v>2.4</v>
      </c>
      <c r="H24" s="11">
        <f t="shared" si="0"/>
        <v>17.916666666666668</v>
      </c>
      <c r="I24" s="11">
        <f t="shared" si="1"/>
        <v>12.201250000000002</v>
      </c>
      <c r="J24" s="9">
        <f t="shared" si="2"/>
        <v>1</v>
      </c>
    </row>
    <row r="25" spans="1:11" x14ac:dyDescent="0.15">
      <c r="A25" s="9">
        <v>58</v>
      </c>
      <c r="B25" s="3" t="s">
        <v>27</v>
      </c>
      <c r="C25" s="9"/>
      <c r="D25" s="9" t="s">
        <v>12</v>
      </c>
      <c r="E25" s="9"/>
      <c r="F25" s="5">
        <v>35</v>
      </c>
      <c r="G25" s="11">
        <v>2</v>
      </c>
      <c r="H25" s="11">
        <f t="shared" si="0"/>
        <v>17.5</v>
      </c>
      <c r="I25" s="11">
        <f t="shared" si="1"/>
        <v>11.9175</v>
      </c>
      <c r="J25" s="9">
        <f t="shared" si="2"/>
        <v>1</v>
      </c>
    </row>
    <row r="26" spans="1:11" x14ac:dyDescent="0.15">
      <c r="A26" s="9">
        <v>24</v>
      </c>
      <c r="B26" s="3" t="s">
        <v>11</v>
      </c>
      <c r="C26" s="9"/>
      <c r="D26" s="9" t="s">
        <v>12</v>
      </c>
      <c r="E26" s="9"/>
      <c r="F26" s="5">
        <v>24</v>
      </c>
      <c r="G26" s="11">
        <v>1.38</v>
      </c>
      <c r="H26" s="11">
        <f t="shared" si="0"/>
        <v>17.39130434782609</v>
      </c>
      <c r="I26" s="11">
        <f t="shared" si="1"/>
        <v>11.843478260869567</v>
      </c>
      <c r="J26" s="9">
        <f t="shared" si="2"/>
        <v>1</v>
      </c>
    </row>
    <row r="27" spans="1:11" x14ac:dyDescent="0.15">
      <c r="A27" s="9">
        <v>8</v>
      </c>
      <c r="B27" s="3" t="s">
        <v>11</v>
      </c>
      <c r="C27" s="9"/>
      <c r="D27" s="9" t="s">
        <v>12</v>
      </c>
      <c r="E27" s="9"/>
      <c r="F27" s="5">
        <v>24</v>
      </c>
      <c r="G27" s="11">
        <v>1.4</v>
      </c>
      <c r="H27" s="11">
        <f t="shared" si="0"/>
        <v>17.142857142857142</v>
      </c>
      <c r="I27" s="11">
        <f t="shared" si="1"/>
        <v>11.674285714285714</v>
      </c>
      <c r="J27" s="9">
        <f t="shared" si="2"/>
        <v>1</v>
      </c>
    </row>
    <row r="28" spans="1:11" x14ac:dyDescent="0.15">
      <c r="A28" s="9">
        <v>7</v>
      </c>
      <c r="B28" s="3" t="s">
        <v>11</v>
      </c>
      <c r="C28" s="9"/>
      <c r="D28" s="9" t="s">
        <v>12</v>
      </c>
      <c r="E28" s="9"/>
      <c r="F28" s="5">
        <v>24</v>
      </c>
      <c r="G28" s="11">
        <v>1.41</v>
      </c>
      <c r="H28" s="11">
        <f t="shared" si="0"/>
        <v>17.021276595744681</v>
      </c>
      <c r="I28" s="11">
        <f t="shared" si="1"/>
        <v>11.591489361702129</v>
      </c>
      <c r="J28" s="9">
        <f t="shared" si="2"/>
        <v>1</v>
      </c>
    </row>
    <row r="29" spans="1:11" x14ac:dyDescent="0.15">
      <c r="A29" s="9">
        <v>15</v>
      </c>
      <c r="B29" s="3" t="s">
        <v>11</v>
      </c>
      <c r="C29" s="9"/>
      <c r="D29" s="9" t="s">
        <v>12</v>
      </c>
      <c r="E29" s="9"/>
      <c r="F29" s="5">
        <v>43</v>
      </c>
      <c r="G29" s="11">
        <v>2.54</v>
      </c>
      <c r="H29" s="11">
        <f t="shared" si="0"/>
        <v>16.929133858267715</v>
      </c>
      <c r="I29" s="11">
        <f t="shared" si="1"/>
        <v>11.528740157480314</v>
      </c>
      <c r="J29" s="9">
        <f t="shared" si="2"/>
        <v>1</v>
      </c>
    </row>
    <row r="30" spans="1:11" x14ac:dyDescent="0.15">
      <c r="A30" s="9">
        <v>64</v>
      </c>
      <c r="B30" s="3" t="s">
        <v>30</v>
      </c>
      <c r="C30" s="9" t="s">
        <v>18</v>
      </c>
      <c r="D30" s="9" t="s">
        <v>12</v>
      </c>
      <c r="E30" s="9"/>
      <c r="F30" s="5">
        <v>28</v>
      </c>
      <c r="G30" s="11">
        <v>1.66</v>
      </c>
      <c r="H30" s="11">
        <f t="shared" si="0"/>
        <v>16.867469879518072</v>
      </c>
      <c r="I30" s="11">
        <f t="shared" si="1"/>
        <v>11.486746987951808</v>
      </c>
      <c r="J30" s="9">
        <f t="shared" si="2"/>
        <v>1</v>
      </c>
    </row>
    <row r="31" spans="1:11" x14ac:dyDescent="0.15">
      <c r="A31" s="9">
        <v>9</v>
      </c>
      <c r="B31" s="3" t="s">
        <v>11</v>
      </c>
      <c r="C31" s="9"/>
      <c r="D31" s="9" t="s">
        <v>12</v>
      </c>
      <c r="E31" s="9"/>
      <c r="F31" s="5">
        <v>24</v>
      </c>
      <c r="G31" s="11">
        <v>1.43</v>
      </c>
      <c r="H31" s="11">
        <f t="shared" si="0"/>
        <v>16.783216783216783</v>
      </c>
      <c r="I31" s="11">
        <f t="shared" si="1"/>
        <v>11.429370629370631</v>
      </c>
      <c r="J31" s="9">
        <f t="shared" si="2"/>
        <v>1</v>
      </c>
    </row>
    <row r="32" spans="1:11" x14ac:dyDescent="0.15">
      <c r="A32" s="9">
        <v>65</v>
      </c>
      <c r="B32" s="3" t="s">
        <v>30</v>
      </c>
      <c r="C32" s="9" t="s">
        <v>18</v>
      </c>
      <c r="D32" s="9" t="s">
        <v>12</v>
      </c>
      <c r="E32" s="9"/>
      <c r="F32" s="5">
        <v>28</v>
      </c>
      <c r="G32" s="11">
        <v>1.67</v>
      </c>
      <c r="H32" s="11">
        <f t="shared" si="0"/>
        <v>16.766467065868266</v>
      </c>
      <c r="I32" s="11">
        <f t="shared" si="1"/>
        <v>11.417964071856289</v>
      </c>
      <c r="J32" s="9">
        <f t="shared" si="2"/>
        <v>1</v>
      </c>
    </row>
    <row r="33" spans="1:10" x14ac:dyDescent="0.15">
      <c r="A33" s="9">
        <v>67</v>
      </c>
      <c r="B33" s="3" t="s">
        <v>30</v>
      </c>
      <c r="C33" s="9" t="s">
        <v>18</v>
      </c>
      <c r="D33" s="9" t="s">
        <v>12</v>
      </c>
      <c r="E33" s="9"/>
      <c r="F33" s="5">
        <v>28</v>
      </c>
      <c r="G33" s="11">
        <v>1.68</v>
      </c>
      <c r="H33" s="11">
        <f t="shared" si="0"/>
        <v>16.666666666666668</v>
      </c>
      <c r="I33" s="11">
        <f t="shared" si="1"/>
        <v>11.350000000000001</v>
      </c>
      <c r="J33" s="9">
        <f t="shared" si="2"/>
        <v>1</v>
      </c>
    </row>
    <row r="34" spans="1:10" x14ac:dyDescent="0.15">
      <c r="A34" s="9">
        <v>71</v>
      </c>
      <c r="B34" s="3" t="s">
        <v>30</v>
      </c>
      <c r="C34" s="9" t="s">
        <v>19</v>
      </c>
      <c r="D34" s="9" t="s">
        <v>12</v>
      </c>
      <c r="E34" s="9"/>
      <c r="F34" s="5">
        <v>30</v>
      </c>
      <c r="G34" s="11">
        <v>1.8</v>
      </c>
      <c r="H34" s="11">
        <f t="shared" ref="H34:H65" si="3">F34/G34</f>
        <v>16.666666666666668</v>
      </c>
      <c r="I34" s="11">
        <f t="shared" ref="I34:I65" si="4">H34*0.681</f>
        <v>11.350000000000001</v>
      </c>
      <c r="J34" s="9">
        <f t="shared" ref="J34:J65" si="5">IF(G34&gt;0,1,0)</f>
        <v>1</v>
      </c>
    </row>
    <row r="35" spans="1:10" x14ac:dyDescent="0.15">
      <c r="A35" s="9">
        <v>66</v>
      </c>
      <c r="B35" s="3" t="s">
        <v>30</v>
      </c>
      <c r="C35" s="9" t="s">
        <v>19</v>
      </c>
      <c r="D35" s="9" t="s">
        <v>12</v>
      </c>
      <c r="E35" s="9"/>
      <c r="F35" s="5">
        <v>30</v>
      </c>
      <c r="G35" s="11">
        <v>1.82</v>
      </c>
      <c r="H35" s="11">
        <f t="shared" si="3"/>
        <v>16.483516483516482</v>
      </c>
      <c r="I35" s="11">
        <f t="shared" si="4"/>
        <v>11.225274725274724</v>
      </c>
      <c r="J35" s="9">
        <f t="shared" si="5"/>
        <v>1</v>
      </c>
    </row>
    <row r="36" spans="1:10" x14ac:dyDescent="0.15">
      <c r="A36" s="9">
        <v>5</v>
      </c>
      <c r="B36" s="3" t="s">
        <v>11</v>
      </c>
      <c r="C36" s="9"/>
      <c r="D36" s="9" t="s">
        <v>12</v>
      </c>
      <c r="E36" s="9"/>
      <c r="F36" s="5">
        <v>24</v>
      </c>
      <c r="G36" s="11">
        <v>1.46</v>
      </c>
      <c r="H36" s="11">
        <f t="shared" si="3"/>
        <v>16.438356164383563</v>
      </c>
      <c r="I36" s="11">
        <f t="shared" si="4"/>
        <v>11.194520547945208</v>
      </c>
      <c r="J36" s="9">
        <f t="shared" si="5"/>
        <v>1</v>
      </c>
    </row>
    <row r="37" spans="1:10" x14ac:dyDescent="0.15">
      <c r="A37" s="9">
        <v>46</v>
      </c>
      <c r="B37" s="3" t="s">
        <v>11</v>
      </c>
      <c r="C37" s="9"/>
      <c r="D37" s="9" t="s">
        <v>12</v>
      </c>
      <c r="E37" s="9"/>
      <c r="F37" s="5">
        <v>43</v>
      </c>
      <c r="G37" s="11">
        <v>2.64</v>
      </c>
      <c r="H37" s="11">
        <f t="shared" si="3"/>
        <v>16.287878787878785</v>
      </c>
      <c r="I37" s="11">
        <f t="shared" si="4"/>
        <v>11.092045454545454</v>
      </c>
      <c r="J37" s="9">
        <f t="shared" si="5"/>
        <v>1</v>
      </c>
    </row>
    <row r="38" spans="1:10" x14ac:dyDescent="0.15">
      <c r="A38" s="9">
        <v>62</v>
      </c>
      <c r="B38" s="3" t="s">
        <v>27</v>
      </c>
      <c r="C38" s="9"/>
      <c r="D38" s="9" t="s">
        <v>12</v>
      </c>
      <c r="E38" s="9"/>
      <c r="F38" s="5">
        <v>35</v>
      </c>
      <c r="G38" s="11">
        <v>2.15</v>
      </c>
      <c r="H38" s="11">
        <f t="shared" si="3"/>
        <v>16.279069767441861</v>
      </c>
      <c r="I38" s="11">
        <f t="shared" si="4"/>
        <v>11.086046511627908</v>
      </c>
      <c r="J38" s="9">
        <f t="shared" si="5"/>
        <v>1</v>
      </c>
    </row>
    <row r="39" spans="1:10" x14ac:dyDescent="0.15">
      <c r="A39" s="9">
        <v>4</v>
      </c>
      <c r="B39" s="3" t="s">
        <v>11</v>
      </c>
      <c r="C39" s="9"/>
      <c r="D39" s="9" t="s">
        <v>12</v>
      </c>
      <c r="E39" s="9"/>
      <c r="F39" s="5">
        <v>24</v>
      </c>
      <c r="G39" s="11">
        <v>1.49</v>
      </c>
      <c r="H39" s="11">
        <f t="shared" si="3"/>
        <v>16.107382550335572</v>
      </c>
      <c r="I39" s="11">
        <f t="shared" si="4"/>
        <v>10.969127516778526</v>
      </c>
      <c r="J39" s="9">
        <f t="shared" si="5"/>
        <v>1</v>
      </c>
    </row>
    <row r="40" spans="1:10" x14ac:dyDescent="0.15">
      <c r="A40" s="9">
        <v>57</v>
      </c>
      <c r="B40" s="3" t="s">
        <v>27</v>
      </c>
      <c r="C40" s="9"/>
      <c r="D40" s="9" t="s">
        <v>12</v>
      </c>
      <c r="E40" s="9"/>
      <c r="F40" s="5">
        <v>35</v>
      </c>
      <c r="G40" s="11">
        <v>2.1800000000000002</v>
      </c>
      <c r="H40" s="11">
        <f t="shared" si="3"/>
        <v>16.055045871559631</v>
      </c>
      <c r="I40" s="11">
        <f t="shared" si="4"/>
        <v>10.93348623853211</v>
      </c>
      <c r="J40" s="9">
        <f t="shared" si="5"/>
        <v>1</v>
      </c>
    </row>
    <row r="41" spans="1:10" x14ac:dyDescent="0.15">
      <c r="A41" s="9">
        <v>12</v>
      </c>
      <c r="B41" s="3" t="s">
        <v>11</v>
      </c>
      <c r="C41" s="9"/>
      <c r="D41" s="9" t="s">
        <v>12</v>
      </c>
      <c r="E41" s="9"/>
      <c r="F41" s="5">
        <v>24</v>
      </c>
      <c r="G41" s="11">
        <v>1.5</v>
      </c>
      <c r="H41" s="11">
        <f t="shared" si="3"/>
        <v>16</v>
      </c>
      <c r="I41" s="30">
        <f t="shared" si="4"/>
        <v>10.896000000000001</v>
      </c>
      <c r="J41" s="9">
        <f t="shared" si="5"/>
        <v>1</v>
      </c>
    </row>
    <row r="42" spans="1:10" x14ac:dyDescent="0.15">
      <c r="A42" s="9">
        <v>38</v>
      </c>
      <c r="B42" s="3" t="s">
        <v>11</v>
      </c>
      <c r="C42" s="9"/>
      <c r="D42" s="9" t="s">
        <v>12</v>
      </c>
      <c r="E42" s="9"/>
      <c r="F42" s="5">
        <v>24</v>
      </c>
      <c r="G42" s="11">
        <v>1.5</v>
      </c>
      <c r="H42" s="11">
        <f t="shared" si="3"/>
        <v>16</v>
      </c>
      <c r="I42" s="11">
        <f t="shared" si="4"/>
        <v>10.896000000000001</v>
      </c>
      <c r="J42" s="9">
        <f t="shared" si="5"/>
        <v>1</v>
      </c>
    </row>
    <row r="43" spans="1:10" x14ac:dyDescent="0.15">
      <c r="A43" s="9">
        <v>22</v>
      </c>
      <c r="B43" s="3" t="s">
        <v>11</v>
      </c>
      <c r="C43" s="9"/>
      <c r="D43" s="9" t="s">
        <v>12</v>
      </c>
      <c r="E43" s="9"/>
      <c r="F43" s="5">
        <v>43</v>
      </c>
      <c r="G43" s="11">
        <v>2.73</v>
      </c>
      <c r="H43" s="11">
        <f t="shared" si="3"/>
        <v>15.750915750915752</v>
      </c>
      <c r="I43" s="11">
        <f t="shared" si="4"/>
        <v>10.726373626373627</v>
      </c>
      <c r="J43" s="9">
        <f t="shared" si="5"/>
        <v>1</v>
      </c>
    </row>
    <row r="44" spans="1:10" x14ac:dyDescent="0.15">
      <c r="A44" s="9">
        <v>18</v>
      </c>
      <c r="B44" s="3" t="s">
        <v>11</v>
      </c>
      <c r="C44" s="9"/>
      <c r="D44" s="9" t="s">
        <v>12</v>
      </c>
      <c r="E44" s="9"/>
      <c r="F44" s="5">
        <v>24</v>
      </c>
      <c r="G44" s="11">
        <v>1.56</v>
      </c>
      <c r="H44" s="11">
        <f t="shared" si="3"/>
        <v>15.384615384615383</v>
      </c>
      <c r="I44" s="11">
        <f t="shared" si="4"/>
        <v>10.476923076923077</v>
      </c>
      <c r="J44" s="9">
        <f t="shared" si="5"/>
        <v>1</v>
      </c>
    </row>
    <row r="45" spans="1:10" x14ac:dyDescent="0.15">
      <c r="A45" s="9">
        <v>11</v>
      </c>
      <c r="B45" s="3" t="s">
        <v>11</v>
      </c>
      <c r="C45" s="9"/>
      <c r="D45" s="9" t="s">
        <v>12</v>
      </c>
      <c r="E45" s="9"/>
      <c r="F45" s="5">
        <v>24</v>
      </c>
      <c r="G45" s="11">
        <v>1.57</v>
      </c>
      <c r="H45" s="11">
        <f t="shared" si="3"/>
        <v>15.286624203821656</v>
      </c>
      <c r="I45" s="11">
        <f t="shared" si="4"/>
        <v>10.410191082802548</v>
      </c>
      <c r="J45" s="9">
        <f t="shared" si="5"/>
        <v>1</v>
      </c>
    </row>
    <row r="46" spans="1:10" x14ac:dyDescent="0.15">
      <c r="A46" s="9">
        <v>20</v>
      </c>
      <c r="B46" s="3" t="s">
        <v>11</v>
      </c>
      <c r="C46" s="9"/>
      <c r="D46" s="9" t="s">
        <v>12</v>
      </c>
      <c r="E46" s="9"/>
      <c r="F46" s="5">
        <v>43</v>
      </c>
      <c r="G46" s="11">
        <v>2.82</v>
      </c>
      <c r="H46" s="11">
        <f t="shared" si="3"/>
        <v>15.24822695035461</v>
      </c>
      <c r="I46" s="11">
        <f t="shared" si="4"/>
        <v>10.38404255319149</v>
      </c>
      <c r="J46" s="9">
        <f t="shared" si="5"/>
        <v>1</v>
      </c>
    </row>
    <row r="47" spans="1:10" x14ac:dyDescent="0.15">
      <c r="A47" s="9">
        <v>44</v>
      </c>
      <c r="B47" s="3" t="s">
        <v>11</v>
      </c>
      <c r="C47" s="9"/>
      <c r="D47" s="9" t="s">
        <v>12</v>
      </c>
      <c r="E47" s="9"/>
      <c r="F47" s="5">
        <v>43</v>
      </c>
      <c r="G47" s="11">
        <v>2.84</v>
      </c>
      <c r="H47" s="11">
        <f t="shared" si="3"/>
        <v>15.140845070422536</v>
      </c>
      <c r="I47" s="11">
        <f t="shared" si="4"/>
        <v>10.310915492957747</v>
      </c>
      <c r="J47" s="9">
        <f t="shared" si="5"/>
        <v>1</v>
      </c>
    </row>
    <row r="48" spans="1:10" x14ac:dyDescent="0.15">
      <c r="A48" s="9">
        <v>30</v>
      </c>
      <c r="B48" s="3" t="s">
        <v>11</v>
      </c>
      <c r="C48" s="9"/>
      <c r="D48" s="9" t="s">
        <v>12</v>
      </c>
      <c r="E48" s="9"/>
      <c r="F48" s="5">
        <v>43</v>
      </c>
      <c r="G48" s="11">
        <v>2.87</v>
      </c>
      <c r="H48" s="11">
        <f t="shared" si="3"/>
        <v>14.982578397212542</v>
      </c>
      <c r="I48" s="11">
        <f t="shared" si="4"/>
        <v>10.203135888501741</v>
      </c>
      <c r="J48" s="9">
        <f t="shared" si="5"/>
        <v>1</v>
      </c>
    </row>
    <row r="49" spans="1:10" x14ac:dyDescent="0.15">
      <c r="A49" s="9">
        <v>16</v>
      </c>
      <c r="B49" s="3" t="s">
        <v>11</v>
      </c>
      <c r="C49" s="9"/>
      <c r="D49" s="9" t="s">
        <v>12</v>
      </c>
      <c r="E49" s="9"/>
      <c r="F49" s="5">
        <v>24</v>
      </c>
      <c r="G49" s="11">
        <v>1.65</v>
      </c>
      <c r="H49" s="11">
        <f t="shared" si="3"/>
        <v>14.545454545454547</v>
      </c>
      <c r="I49" s="11">
        <f t="shared" si="4"/>
        <v>9.9054545454545462</v>
      </c>
      <c r="J49" s="9">
        <f t="shared" si="5"/>
        <v>1</v>
      </c>
    </row>
    <row r="50" spans="1:10" x14ac:dyDescent="0.15">
      <c r="A50" s="9">
        <v>60</v>
      </c>
      <c r="B50" s="3" t="s">
        <v>27</v>
      </c>
      <c r="C50" s="9"/>
      <c r="D50" s="9" t="s">
        <v>12</v>
      </c>
      <c r="E50" s="9"/>
      <c r="F50" s="5">
        <v>35</v>
      </c>
      <c r="G50" s="11">
        <v>2.42</v>
      </c>
      <c r="H50" s="11">
        <f t="shared" si="3"/>
        <v>14.462809917355372</v>
      </c>
      <c r="I50" s="11">
        <f t="shared" si="4"/>
        <v>9.8491735537190088</v>
      </c>
      <c r="J50" s="9">
        <f t="shared" si="5"/>
        <v>1</v>
      </c>
    </row>
    <row r="51" spans="1:10" x14ac:dyDescent="0.15">
      <c r="A51" s="9">
        <v>68</v>
      </c>
      <c r="B51" s="3" t="s">
        <v>30</v>
      </c>
      <c r="C51" s="9" t="s">
        <v>18</v>
      </c>
      <c r="D51" s="9" t="s">
        <v>12</v>
      </c>
      <c r="E51" s="9"/>
      <c r="F51" s="5">
        <v>28</v>
      </c>
      <c r="G51" s="11">
        <v>1.98</v>
      </c>
      <c r="H51" s="11">
        <f t="shared" si="3"/>
        <v>14.141414141414142</v>
      </c>
      <c r="I51" s="11">
        <f t="shared" si="4"/>
        <v>9.6303030303030308</v>
      </c>
      <c r="J51" s="9">
        <f t="shared" si="5"/>
        <v>1</v>
      </c>
    </row>
    <row r="52" spans="1:10" x14ac:dyDescent="0.15">
      <c r="A52" s="9">
        <v>31</v>
      </c>
      <c r="B52" s="3" t="s">
        <v>11</v>
      </c>
      <c r="C52" s="9"/>
      <c r="D52" s="9" t="s">
        <v>12</v>
      </c>
      <c r="E52" s="9"/>
      <c r="F52" s="5">
        <v>43</v>
      </c>
      <c r="G52" s="11">
        <v>3.08</v>
      </c>
      <c r="H52" s="11">
        <f t="shared" si="3"/>
        <v>13.961038961038961</v>
      </c>
      <c r="I52" s="11">
        <f t="shared" si="4"/>
        <v>9.5074675324675333</v>
      </c>
      <c r="J52" s="9">
        <f t="shared" si="5"/>
        <v>1</v>
      </c>
    </row>
    <row r="53" spans="1:10" x14ac:dyDescent="0.15">
      <c r="A53" s="9">
        <v>35</v>
      </c>
      <c r="B53" s="3" t="s">
        <v>11</v>
      </c>
      <c r="C53" s="9"/>
      <c r="D53" s="9" t="s">
        <v>12</v>
      </c>
      <c r="E53" s="9"/>
      <c r="F53" s="5">
        <v>24</v>
      </c>
      <c r="G53" s="11">
        <v>1.72</v>
      </c>
      <c r="H53" s="11">
        <f t="shared" si="3"/>
        <v>13.953488372093023</v>
      </c>
      <c r="I53" s="11">
        <f t="shared" si="4"/>
        <v>9.5023255813953487</v>
      </c>
      <c r="J53" s="9">
        <f t="shared" si="5"/>
        <v>1</v>
      </c>
    </row>
    <row r="54" spans="1:10" x14ac:dyDescent="0.15">
      <c r="A54" s="9">
        <v>32</v>
      </c>
      <c r="B54" s="3" t="s">
        <v>11</v>
      </c>
      <c r="C54" s="9"/>
      <c r="D54" s="9" t="s">
        <v>12</v>
      </c>
      <c r="E54" s="9"/>
      <c r="F54" s="5">
        <v>24</v>
      </c>
      <c r="G54" s="11">
        <v>1.73</v>
      </c>
      <c r="H54" s="11">
        <f t="shared" si="3"/>
        <v>13.872832369942197</v>
      </c>
      <c r="I54" s="11">
        <f t="shared" si="4"/>
        <v>9.4473988439306371</v>
      </c>
      <c r="J54" s="9">
        <f t="shared" si="5"/>
        <v>1</v>
      </c>
    </row>
    <row r="55" spans="1:10" x14ac:dyDescent="0.15">
      <c r="A55" s="9">
        <v>33</v>
      </c>
      <c r="B55" s="3" t="s">
        <v>11</v>
      </c>
      <c r="C55" s="9"/>
      <c r="D55" s="9" t="s">
        <v>12</v>
      </c>
      <c r="E55" s="9"/>
      <c r="F55" s="5">
        <v>24</v>
      </c>
      <c r="G55" s="11">
        <v>1.74</v>
      </c>
      <c r="H55" s="11">
        <f t="shared" si="3"/>
        <v>13.793103448275863</v>
      </c>
      <c r="I55" s="11">
        <f t="shared" si="4"/>
        <v>9.3931034482758626</v>
      </c>
      <c r="J55" s="9">
        <f t="shared" si="5"/>
        <v>1</v>
      </c>
    </row>
    <row r="56" spans="1:10" x14ac:dyDescent="0.15">
      <c r="A56" s="9">
        <v>56</v>
      </c>
      <c r="B56" s="3" t="s">
        <v>27</v>
      </c>
      <c r="C56" s="9"/>
      <c r="D56" s="9" t="s">
        <v>12</v>
      </c>
      <c r="E56" s="9"/>
      <c r="F56" s="5">
        <v>35</v>
      </c>
      <c r="G56" s="11">
        <v>2.56</v>
      </c>
      <c r="H56" s="11">
        <f t="shared" si="3"/>
        <v>13.671875</v>
      </c>
      <c r="I56" s="11">
        <f t="shared" si="4"/>
        <v>9.310546875</v>
      </c>
      <c r="J56" s="9">
        <f t="shared" si="5"/>
        <v>1</v>
      </c>
    </row>
    <row r="57" spans="1:10" x14ac:dyDescent="0.15">
      <c r="A57" s="9">
        <v>48</v>
      </c>
      <c r="B57" s="3" t="s">
        <v>11</v>
      </c>
      <c r="C57" s="9"/>
      <c r="D57" s="9" t="s">
        <v>12</v>
      </c>
      <c r="E57" s="9"/>
      <c r="F57" s="5">
        <v>43</v>
      </c>
      <c r="G57" s="11">
        <v>3.18</v>
      </c>
      <c r="H57" s="11">
        <f t="shared" si="3"/>
        <v>13.522012578616351</v>
      </c>
      <c r="I57" s="11">
        <f t="shared" si="4"/>
        <v>9.2084905660377352</v>
      </c>
      <c r="J57" s="9">
        <f t="shared" si="5"/>
        <v>1</v>
      </c>
    </row>
    <row r="58" spans="1:10" x14ac:dyDescent="0.15">
      <c r="A58" s="9">
        <v>55</v>
      </c>
      <c r="B58" s="3" t="s">
        <v>27</v>
      </c>
      <c r="C58" s="9"/>
      <c r="D58" s="9" t="s">
        <v>12</v>
      </c>
      <c r="E58" s="9"/>
      <c r="F58" s="5">
        <v>35</v>
      </c>
      <c r="G58" s="11">
        <v>2.6</v>
      </c>
      <c r="H58" s="11">
        <f t="shared" si="3"/>
        <v>13.461538461538462</v>
      </c>
      <c r="I58" s="11">
        <f t="shared" si="4"/>
        <v>9.167307692307693</v>
      </c>
      <c r="J58" s="9">
        <f t="shared" si="5"/>
        <v>1</v>
      </c>
    </row>
    <row r="59" spans="1:10" x14ac:dyDescent="0.15">
      <c r="A59" s="9">
        <v>45</v>
      </c>
      <c r="B59" s="3" t="s">
        <v>11</v>
      </c>
      <c r="C59" s="9"/>
      <c r="D59" s="9" t="s">
        <v>12</v>
      </c>
      <c r="E59" s="9"/>
      <c r="F59" s="5">
        <v>24</v>
      </c>
      <c r="G59" s="11">
        <v>1.8</v>
      </c>
      <c r="H59" s="11">
        <f t="shared" si="3"/>
        <v>13.333333333333332</v>
      </c>
      <c r="I59" s="11">
        <f t="shared" si="4"/>
        <v>9.08</v>
      </c>
      <c r="J59" s="9">
        <f t="shared" si="5"/>
        <v>1</v>
      </c>
    </row>
    <row r="60" spans="1:10" x14ac:dyDescent="0.15">
      <c r="A60" s="9">
        <v>40</v>
      </c>
      <c r="B60" s="3" t="s">
        <v>11</v>
      </c>
      <c r="C60" s="9"/>
      <c r="D60" s="9" t="s">
        <v>12</v>
      </c>
      <c r="E60" s="9"/>
      <c r="F60" s="5">
        <v>43</v>
      </c>
      <c r="G60" s="11">
        <v>3.26</v>
      </c>
      <c r="H60" s="11">
        <f t="shared" si="3"/>
        <v>13.190184049079756</v>
      </c>
      <c r="I60" s="11">
        <f t="shared" si="4"/>
        <v>8.9825153374233135</v>
      </c>
      <c r="J60" s="9">
        <f t="shared" si="5"/>
        <v>1</v>
      </c>
    </row>
    <row r="61" spans="1:10" x14ac:dyDescent="0.15">
      <c r="A61" s="9">
        <v>34</v>
      </c>
      <c r="B61" s="3" t="s">
        <v>11</v>
      </c>
      <c r="C61" s="9"/>
      <c r="D61" s="9" t="s">
        <v>12</v>
      </c>
      <c r="E61" s="9"/>
      <c r="F61" s="5">
        <v>24</v>
      </c>
      <c r="G61" s="11">
        <v>1.84</v>
      </c>
      <c r="H61" s="11">
        <f t="shared" si="3"/>
        <v>13.043478260869565</v>
      </c>
      <c r="I61" s="11">
        <f t="shared" si="4"/>
        <v>8.8826086956521735</v>
      </c>
      <c r="J61" s="9">
        <f t="shared" si="5"/>
        <v>1</v>
      </c>
    </row>
    <row r="62" spans="1:10" x14ac:dyDescent="0.15">
      <c r="A62" s="9">
        <v>23</v>
      </c>
      <c r="B62" s="3" t="s">
        <v>11</v>
      </c>
      <c r="C62" s="9"/>
      <c r="D62" s="9" t="s">
        <v>12</v>
      </c>
      <c r="E62" s="9"/>
      <c r="F62" s="5">
        <v>43</v>
      </c>
      <c r="G62" s="11">
        <v>3.42</v>
      </c>
      <c r="H62" s="11">
        <f t="shared" si="3"/>
        <v>12.573099415204679</v>
      </c>
      <c r="I62" s="11">
        <f t="shared" si="4"/>
        <v>8.5622807017543874</v>
      </c>
      <c r="J62" s="9">
        <f t="shared" si="5"/>
        <v>1</v>
      </c>
    </row>
    <row r="63" spans="1:10" x14ac:dyDescent="0.15">
      <c r="A63" s="9">
        <v>41</v>
      </c>
      <c r="B63" s="3" t="s">
        <v>11</v>
      </c>
      <c r="C63" s="9"/>
      <c r="D63" s="9" t="s">
        <v>12</v>
      </c>
      <c r="E63" s="9"/>
      <c r="F63" s="5">
        <v>43</v>
      </c>
      <c r="G63" s="11">
        <v>3.49</v>
      </c>
      <c r="H63" s="11">
        <f t="shared" si="3"/>
        <v>12.320916905444125</v>
      </c>
      <c r="I63" s="11">
        <f t="shared" si="4"/>
        <v>8.3905444126074507</v>
      </c>
      <c r="J63" s="9">
        <f t="shared" si="5"/>
        <v>1</v>
      </c>
    </row>
    <row r="64" spans="1:10" x14ac:dyDescent="0.15">
      <c r="A64" s="9">
        <v>2</v>
      </c>
      <c r="B64" s="3" t="s">
        <v>11</v>
      </c>
      <c r="C64" s="9"/>
      <c r="D64" s="9" t="s">
        <v>12</v>
      </c>
      <c r="E64" s="9"/>
      <c r="F64" s="5">
        <v>24</v>
      </c>
      <c r="G64" s="11">
        <v>2</v>
      </c>
      <c r="H64" s="11">
        <f t="shared" si="3"/>
        <v>12</v>
      </c>
      <c r="I64" s="11">
        <f t="shared" si="4"/>
        <v>8.1720000000000006</v>
      </c>
      <c r="J64" s="9">
        <f t="shared" si="5"/>
        <v>1</v>
      </c>
    </row>
    <row r="65" spans="1:10" x14ac:dyDescent="0.15">
      <c r="A65" s="9">
        <v>59</v>
      </c>
      <c r="B65" s="3" t="s">
        <v>27</v>
      </c>
      <c r="C65" s="9"/>
      <c r="D65" s="9" t="s">
        <v>12</v>
      </c>
      <c r="E65" s="9"/>
      <c r="F65" s="5">
        <v>35</v>
      </c>
      <c r="G65" s="11">
        <v>2.92</v>
      </c>
      <c r="H65" s="11">
        <f t="shared" si="3"/>
        <v>11.986301369863014</v>
      </c>
      <c r="I65" s="11">
        <f t="shared" si="4"/>
        <v>8.162671232876713</v>
      </c>
      <c r="J65" s="9">
        <f t="shared" si="5"/>
        <v>1</v>
      </c>
    </row>
    <row r="66" spans="1:10" x14ac:dyDescent="0.15">
      <c r="A66" s="9">
        <v>3</v>
      </c>
      <c r="B66" s="3" t="s">
        <v>11</v>
      </c>
      <c r="C66" s="9"/>
      <c r="D66" s="9" t="s">
        <v>12</v>
      </c>
      <c r="E66" s="9"/>
      <c r="F66" s="5">
        <v>24</v>
      </c>
      <c r="G66" s="11">
        <v>2.0099999999999998</v>
      </c>
      <c r="H66" s="11">
        <f t="shared" ref="H66:H71" si="6">F66/G66</f>
        <v>11.940298507462687</v>
      </c>
      <c r="I66" s="11">
        <f t="shared" ref="I66:I71" si="7">H66*0.681</f>
        <v>8.1313432835820905</v>
      </c>
      <c r="J66" s="9">
        <f t="shared" ref="J66:J71" si="8">IF(G66&gt;0,1,0)</f>
        <v>1</v>
      </c>
    </row>
    <row r="67" spans="1:10" x14ac:dyDescent="0.15">
      <c r="A67" s="9">
        <v>6</v>
      </c>
      <c r="B67" s="3" t="s">
        <v>11</v>
      </c>
      <c r="C67" s="9"/>
      <c r="D67" s="9" t="s">
        <v>12</v>
      </c>
      <c r="E67" s="9"/>
      <c r="F67" s="5">
        <v>24</v>
      </c>
      <c r="G67" s="11">
        <v>2.0699999999999998</v>
      </c>
      <c r="H67" s="11">
        <f t="shared" si="6"/>
        <v>11.594202898550726</v>
      </c>
      <c r="I67" s="11">
        <f t="shared" si="7"/>
        <v>7.895652173913045</v>
      </c>
      <c r="J67" s="9">
        <f t="shared" si="8"/>
        <v>1</v>
      </c>
    </row>
    <row r="68" spans="1:10" x14ac:dyDescent="0.15">
      <c r="A68" s="9">
        <v>25</v>
      </c>
      <c r="B68" s="3" t="s">
        <v>11</v>
      </c>
      <c r="C68" s="9"/>
      <c r="D68" s="9" t="s">
        <v>12</v>
      </c>
      <c r="E68" s="9"/>
      <c r="F68" s="5">
        <v>43</v>
      </c>
      <c r="G68" s="11">
        <v>3.88</v>
      </c>
      <c r="H68" s="11">
        <f t="shared" si="6"/>
        <v>11.082474226804123</v>
      </c>
      <c r="I68" s="11">
        <f t="shared" si="7"/>
        <v>7.5471649484536085</v>
      </c>
      <c r="J68" s="9">
        <f t="shared" si="8"/>
        <v>1</v>
      </c>
    </row>
    <row r="69" spans="1:10" x14ac:dyDescent="0.15">
      <c r="A69" s="9">
        <v>53</v>
      </c>
      <c r="B69" s="3" t="s">
        <v>27</v>
      </c>
      <c r="C69" s="9"/>
      <c r="D69" s="9" t="s">
        <v>12</v>
      </c>
      <c r="E69" s="9"/>
      <c r="F69" s="5">
        <v>35</v>
      </c>
      <c r="G69" s="11">
        <v>3.33</v>
      </c>
      <c r="H69" s="11">
        <f t="shared" si="6"/>
        <v>10.51051051051051</v>
      </c>
      <c r="I69" s="11">
        <f t="shared" si="7"/>
        <v>7.1576576576576585</v>
      </c>
      <c r="J69" s="9">
        <f t="shared" si="8"/>
        <v>1</v>
      </c>
    </row>
    <row r="70" spans="1:10" x14ac:dyDescent="0.15">
      <c r="A70" s="9">
        <v>1</v>
      </c>
      <c r="B70" s="3" t="s">
        <v>11</v>
      </c>
      <c r="C70" s="9" t="s">
        <v>22</v>
      </c>
      <c r="D70" s="9" t="s">
        <v>12</v>
      </c>
      <c r="E70" s="9" t="s">
        <v>15</v>
      </c>
      <c r="F70" s="5">
        <v>24</v>
      </c>
      <c r="G70" s="11">
        <v>2.68</v>
      </c>
      <c r="H70" s="11">
        <f t="shared" si="6"/>
        <v>8.9552238805970141</v>
      </c>
      <c r="I70" s="11">
        <f t="shared" si="7"/>
        <v>6.098507462686567</v>
      </c>
      <c r="J70" s="9">
        <f t="shared" si="8"/>
        <v>1</v>
      </c>
    </row>
    <row r="71" spans="1:10" x14ac:dyDescent="0.15">
      <c r="A71" s="9">
        <v>61</v>
      </c>
      <c r="B71" s="3" t="s">
        <v>27</v>
      </c>
      <c r="C71" s="9"/>
      <c r="D71" s="9" t="s">
        <v>12</v>
      </c>
      <c r="E71" s="9"/>
      <c r="F71" s="5">
        <v>35</v>
      </c>
      <c r="G71" s="11">
        <v>4.1100000000000003</v>
      </c>
      <c r="H71" s="11">
        <f t="shared" si="6"/>
        <v>8.5158150851581507</v>
      </c>
      <c r="I71" s="11">
        <f t="shared" si="7"/>
        <v>5.7992700729927007</v>
      </c>
      <c r="J71" s="9">
        <f t="shared" si="8"/>
        <v>1</v>
      </c>
    </row>
    <row r="72" spans="1:10" x14ac:dyDescent="0.15">
      <c r="I72" s="17">
        <f>SUM(I2:I71)/J72</f>
        <v>11.782424715031878</v>
      </c>
      <c r="J72" s="9">
        <f>SUM(J2:J71)</f>
        <v>70</v>
      </c>
    </row>
  </sheetData>
  <sortState xmlns:xlrd2="http://schemas.microsoft.com/office/spreadsheetml/2017/richdata2" ref="A2:J71">
    <sortCondition descending="1" ref="I2:I7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2"/>
  <sheetViews>
    <sheetView workbookViewId="0">
      <selection activeCell="H7" sqref="H7"/>
    </sheetView>
  </sheetViews>
  <sheetFormatPr baseColWidth="10" defaultColWidth="8.83203125" defaultRowHeight="14" x14ac:dyDescent="0.15"/>
  <cols>
    <col min="1" max="1" width="11" customWidth="1"/>
    <col min="6" max="6" width="7.5" customWidth="1"/>
    <col min="7" max="7" width="10" customWidth="1"/>
  </cols>
  <sheetData>
    <row r="2" spans="1:7" x14ac:dyDescent="0.15">
      <c r="B2" s="55" t="s">
        <v>61</v>
      </c>
      <c r="C2" s="55"/>
      <c r="D2" s="55"/>
      <c r="E2" s="55"/>
      <c r="F2" s="55"/>
      <c r="G2" s="56" t="s">
        <v>62</v>
      </c>
    </row>
    <row r="3" spans="1:7" s="36" customFormat="1" ht="51.75" customHeight="1" x14ac:dyDescent="0.15">
      <c r="A3" s="53" t="s">
        <v>55</v>
      </c>
      <c r="B3" s="13" t="s">
        <v>52</v>
      </c>
      <c r="C3" s="13" t="s">
        <v>2</v>
      </c>
      <c r="D3" s="13" t="s">
        <v>53</v>
      </c>
      <c r="E3" s="13" t="s">
        <v>54</v>
      </c>
      <c r="F3" s="13" t="s">
        <v>57</v>
      </c>
      <c r="G3" s="57"/>
    </row>
    <row r="4" spans="1:7" s="36" customFormat="1" x14ac:dyDescent="0.15">
      <c r="A4" s="54"/>
      <c r="B4" s="50" t="s">
        <v>56</v>
      </c>
      <c r="C4" s="51"/>
      <c r="D4" s="51"/>
      <c r="E4" s="51"/>
      <c r="F4" s="52"/>
      <c r="G4" s="57"/>
    </row>
    <row r="5" spans="1:7" s="36" customFormat="1" ht="15" x14ac:dyDescent="0.15">
      <c r="A5" s="37" t="s">
        <v>10</v>
      </c>
      <c r="B5" s="4">
        <v>14.5</v>
      </c>
      <c r="C5" s="4">
        <v>18.399999999999999</v>
      </c>
      <c r="D5" s="4">
        <v>26.4</v>
      </c>
      <c r="E5" s="4">
        <v>9.5</v>
      </c>
      <c r="F5" s="4">
        <f>D5-E5</f>
        <v>16.899999999999999</v>
      </c>
      <c r="G5" s="4">
        <v>44</v>
      </c>
    </row>
    <row r="6" spans="1:7" x14ac:dyDescent="0.15">
      <c r="A6" s="3" t="s">
        <v>51</v>
      </c>
      <c r="B6" s="9">
        <v>11.8</v>
      </c>
      <c r="C6" s="9">
        <v>15.7</v>
      </c>
      <c r="D6" s="9">
        <v>21.2</v>
      </c>
      <c r="E6" s="9">
        <v>5.8</v>
      </c>
      <c r="F6" s="4">
        <f t="shared" ref="F6:F7" si="0">D6-E6</f>
        <v>15.399999999999999</v>
      </c>
      <c r="G6" s="9">
        <v>70</v>
      </c>
    </row>
    <row r="7" spans="1:7" x14ac:dyDescent="0.15">
      <c r="A7" s="3" t="s">
        <v>1</v>
      </c>
      <c r="B7" s="9">
        <v>9.3000000000000007</v>
      </c>
      <c r="C7" s="9">
        <v>12.4</v>
      </c>
      <c r="D7" s="9">
        <v>17.100000000000001</v>
      </c>
      <c r="E7" s="9">
        <v>4.5999999999999996</v>
      </c>
      <c r="F7" s="4">
        <f t="shared" si="0"/>
        <v>12.500000000000002</v>
      </c>
      <c r="G7" s="9">
        <v>89</v>
      </c>
    </row>
    <row r="10" spans="1:7" ht="60" x14ac:dyDescent="0.15">
      <c r="A10" s="2" t="s">
        <v>58</v>
      </c>
      <c r="B10" s="38">
        <f>SUM(B5-B6)/B6</f>
        <v>0.22881355932203382</v>
      </c>
      <c r="C10" s="38">
        <f t="shared" ref="C10:F10" si="1">SUM(C5-C6)/C6</f>
        <v>0.17197452229299359</v>
      </c>
      <c r="D10" s="38">
        <f t="shared" si="1"/>
        <v>0.2452830188679245</v>
      </c>
      <c r="E10" s="38">
        <f t="shared" si="1"/>
        <v>0.63793103448275867</v>
      </c>
      <c r="F10" s="38">
        <f t="shared" si="1"/>
        <v>9.7402597402597407E-2</v>
      </c>
    </row>
    <row r="11" spans="1:7" ht="45" x14ac:dyDescent="0.15">
      <c r="A11" s="2" t="s">
        <v>59</v>
      </c>
      <c r="B11" s="38">
        <f>SUM(B5-B7)/B7</f>
        <v>0.5591397849462364</v>
      </c>
      <c r="C11" s="38">
        <f t="shared" ref="C11:F11" si="2">SUM(C5-C7)/C7</f>
        <v>0.48387096774193533</v>
      </c>
      <c r="D11" s="38">
        <f t="shared" si="2"/>
        <v>0.54385964912280682</v>
      </c>
      <c r="E11" s="38">
        <f t="shared" si="2"/>
        <v>1.0652173913043479</v>
      </c>
      <c r="F11" s="38">
        <f t="shared" si="2"/>
        <v>0.3519999999999997</v>
      </c>
    </row>
    <row r="12" spans="1:7" ht="45" x14ac:dyDescent="0.15">
      <c r="A12" s="2" t="s">
        <v>60</v>
      </c>
      <c r="B12" s="38">
        <f>SUM(B6-B7)/B7</f>
        <v>0.26881720430107525</v>
      </c>
      <c r="C12" s="38">
        <f t="shared" ref="C12:F12" si="3">SUM(C6-C7)/C7</f>
        <v>0.26612903225806445</v>
      </c>
      <c r="D12" s="38">
        <f t="shared" si="3"/>
        <v>0.23976608187134488</v>
      </c>
      <c r="E12" s="38">
        <f t="shared" si="3"/>
        <v>0.26086956521739135</v>
      </c>
      <c r="F12" s="38">
        <f t="shared" si="3"/>
        <v>0.23199999999999971</v>
      </c>
    </row>
  </sheetData>
  <mergeCells count="4">
    <mergeCell ref="B4:F4"/>
    <mergeCell ref="A3:A4"/>
    <mergeCell ref="B2:F2"/>
    <mergeCell ref="G2:G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4" sqref="K4"/>
    </sheetView>
  </sheetViews>
  <sheetFormatPr baseColWidth="10" defaultColWidth="8.83203125" defaultRowHeight="14" x14ac:dyDescent="0.15"/>
  <cols>
    <col min="1" max="1" width="7" customWidth="1"/>
    <col min="4" max="5" width="8.83203125" style="8"/>
    <col min="6" max="6" width="9.83203125" style="6" customWidth="1"/>
    <col min="7" max="9" width="8.83203125" style="12"/>
  </cols>
  <sheetData>
    <row r="1" spans="1:11" s="7" customFormat="1" ht="54" customHeight="1" x14ac:dyDescent="0.15">
      <c r="A1" s="4" t="s">
        <v>16</v>
      </c>
      <c r="B1" s="4" t="s">
        <v>0</v>
      </c>
      <c r="C1" s="4" t="s">
        <v>17</v>
      </c>
      <c r="D1" s="4" t="s">
        <v>7</v>
      </c>
      <c r="E1" s="4" t="s">
        <v>8</v>
      </c>
      <c r="F1" s="4" t="s">
        <v>9</v>
      </c>
      <c r="G1" s="10" t="s">
        <v>3</v>
      </c>
      <c r="H1" s="10" t="s">
        <v>5</v>
      </c>
      <c r="I1" s="10" t="s">
        <v>4</v>
      </c>
      <c r="J1" s="4" t="s">
        <v>20</v>
      </c>
    </row>
    <row r="2" spans="1:11" x14ac:dyDescent="0.15">
      <c r="A2" s="9">
        <v>42</v>
      </c>
      <c r="B2" s="3" t="s">
        <v>13</v>
      </c>
      <c r="C2" s="3" t="s">
        <v>19</v>
      </c>
      <c r="D2" s="9" t="s">
        <v>1</v>
      </c>
      <c r="E2" s="9" t="s">
        <v>6</v>
      </c>
      <c r="F2" s="5">
        <v>55</v>
      </c>
      <c r="G2" s="11">
        <v>2.19</v>
      </c>
      <c r="H2" s="11">
        <f t="shared" ref="H2:H33" si="0">F2/G2</f>
        <v>25.114155251141554</v>
      </c>
      <c r="I2" s="11">
        <f t="shared" ref="I2:I33" si="1">H2*0.681</f>
        <v>17.102739726027398</v>
      </c>
      <c r="J2" s="9">
        <f t="shared" ref="J2:J33" si="2">IF(G2&gt;0,1,0)</f>
        <v>1</v>
      </c>
    </row>
    <row r="3" spans="1:11" x14ac:dyDescent="0.15">
      <c r="A3" s="9">
        <v>16</v>
      </c>
      <c r="B3" s="3" t="s">
        <v>13</v>
      </c>
      <c r="C3" s="3" t="s">
        <v>18</v>
      </c>
      <c r="D3" s="9" t="s">
        <v>1</v>
      </c>
      <c r="E3" s="9" t="s">
        <v>15</v>
      </c>
      <c r="F3" s="5">
        <v>55</v>
      </c>
      <c r="G3" s="11">
        <v>2.25</v>
      </c>
      <c r="H3" s="11">
        <f t="shared" si="0"/>
        <v>24.444444444444443</v>
      </c>
      <c r="I3" s="11">
        <f t="shared" si="1"/>
        <v>16.646666666666668</v>
      </c>
      <c r="J3" s="9">
        <f t="shared" si="2"/>
        <v>1</v>
      </c>
    </row>
    <row r="4" spans="1:11" x14ac:dyDescent="0.15">
      <c r="A4" s="9">
        <v>26</v>
      </c>
      <c r="B4" s="3" t="s">
        <v>13</v>
      </c>
      <c r="C4" s="3" t="s">
        <v>18</v>
      </c>
      <c r="D4" s="9" t="s">
        <v>1</v>
      </c>
      <c r="E4" s="9" t="s">
        <v>15</v>
      </c>
      <c r="F4" s="5">
        <v>55</v>
      </c>
      <c r="G4" s="11">
        <v>2.54</v>
      </c>
      <c r="H4" s="11">
        <f t="shared" si="0"/>
        <v>21.653543307086615</v>
      </c>
      <c r="I4" s="11">
        <f t="shared" si="1"/>
        <v>14.746062992125985</v>
      </c>
      <c r="J4" s="9">
        <f t="shared" si="2"/>
        <v>1</v>
      </c>
      <c r="K4" s="29"/>
    </row>
    <row r="5" spans="1:11" x14ac:dyDescent="0.15">
      <c r="A5" s="9">
        <v>57</v>
      </c>
      <c r="B5" s="3" t="s">
        <v>13</v>
      </c>
      <c r="C5" s="3" t="s">
        <v>18</v>
      </c>
      <c r="D5" s="9" t="s">
        <v>1</v>
      </c>
      <c r="E5" s="9" t="s">
        <v>15</v>
      </c>
      <c r="F5" s="5">
        <v>55</v>
      </c>
      <c r="G5" s="11">
        <v>2.54</v>
      </c>
      <c r="H5" s="11">
        <f t="shared" si="0"/>
        <v>21.653543307086615</v>
      </c>
      <c r="I5" s="11">
        <f t="shared" si="1"/>
        <v>14.746062992125985</v>
      </c>
      <c r="J5" s="9">
        <f t="shared" si="2"/>
        <v>1</v>
      </c>
    </row>
    <row r="6" spans="1:11" x14ac:dyDescent="0.15">
      <c r="A6" s="9">
        <v>77</v>
      </c>
      <c r="B6" s="3" t="s">
        <v>13</v>
      </c>
      <c r="C6" s="3" t="s">
        <v>18</v>
      </c>
      <c r="D6" s="9" t="s">
        <v>1</v>
      </c>
      <c r="E6" s="9" t="s">
        <v>15</v>
      </c>
      <c r="F6" s="5">
        <v>55</v>
      </c>
      <c r="G6" s="11">
        <v>2.69</v>
      </c>
      <c r="H6" s="11">
        <f t="shared" si="0"/>
        <v>20.446096654275092</v>
      </c>
      <c r="I6" s="11">
        <f t="shared" si="1"/>
        <v>13.923791821561338</v>
      </c>
      <c r="J6" s="9">
        <f t="shared" si="2"/>
        <v>1</v>
      </c>
    </row>
    <row r="7" spans="1:11" x14ac:dyDescent="0.15">
      <c r="A7" s="9">
        <v>68</v>
      </c>
      <c r="B7" s="3" t="s">
        <v>13</v>
      </c>
      <c r="C7" s="3" t="s">
        <v>18</v>
      </c>
      <c r="D7" s="9" t="s">
        <v>1</v>
      </c>
      <c r="E7" s="9" t="s">
        <v>15</v>
      </c>
      <c r="F7" s="5">
        <v>55</v>
      </c>
      <c r="G7" s="11">
        <v>2.72</v>
      </c>
      <c r="H7" s="11">
        <f t="shared" si="0"/>
        <v>20.220588235294116</v>
      </c>
      <c r="I7" s="11">
        <f t="shared" si="1"/>
        <v>13.770220588235293</v>
      </c>
      <c r="J7" s="9">
        <f t="shared" si="2"/>
        <v>1</v>
      </c>
    </row>
    <row r="8" spans="1:11" x14ac:dyDescent="0.15">
      <c r="A8" s="9">
        <v>63</v>
      </c>
      <c r="B8" s="3" t="s">
        <v>13</v>
      </c>
      <c r="C8" s="3" t="s">
        <v>18</v>
      </c>
      <c r="D8" s="9" t="s">
        <v>1</v>
      </c>
      <c r="E8" s="9" t="s">
        <v>15</v>
      </c>
      <c r="F8" s="5">
        <v>55</v>
      </c>
      <c r="G8" s="11">
        <v>2.74</v>
      </c>
      <c r="H8" s="11">
        <f t="shared" si="0"/>
        <v>20.072992700729927</v>
      </c>
      <c r="I8" s="11">
        <f t="shared" si="1"/>
        <v>13.66970802919708</v>
      </c>
      <c r="J8" s="9">
        <f t="shared" si="2"/>
        <v>1</v>
      </c>
    </row>
    <row r="9" spans="1:11" x14ac:dyDescent="0.15">
      <c r="A9" s="9">
        <v>45</v>
      </c>
      <c r="B9" s="3" t="s">
        <v>13</v>
      </c>
      <c r="C9" s="3" t="s">
        <v>19</v>
      </c>
      <c r="D9" s="9" t="s">
        <v>1</v>
      </c>
      <c r="E9" s="9" t="s">
        <v>6</v>
      </c>
      <c r="F9" s="5">
        <v>55</v>
      </c>
      <c r="G9" s="11">
        <v>2.79</v>
      </c>
      <c r="H9" s="11">
        <f t="shared" si="0"/>
        <v>19.713261648745519</v>
      </c>
      <c r="I9" s="11">
        <f t="shared" si="1"/>
        <v>13.4247311827957</v>
      </c>
      <c r="J9" s="9">
        <f t="shared" si="2"/>
        <v>1</v>
      </c>
    </row>
    <row r="10" spans="1:11" x14ac:dyDescent="0.15">
      <c r="A10" s="9">
        <v>46</v>
      </c>
      <c r="B10" s="3" t="s">
        <v>13</v>
      </c>
      <c r="C10" s="3" t="s">
        <v>19</v>
      </c>
      <c r="D10" s="9" t="s">
        <v>1</v>
      </c>
      <c r="E10" s="9" t="s">
        <v>6</v>
      </c>
      <c r="F10" s="5">
        <v>55</v>
      </c>
      <c r="G10" s="11">
        <v>2.79</v>
      </c>
      <c r="H10" s="11">
        <f t="shared" si="0"/>
        <v>19.713261648745519</v>
      </c>
      <c r="I10" s="11">
        <f t="shared" si="1"/>
        <v>13.4247311827957</v>
      </c>
      <c r="J10" s="9">
        <f t="shared" si="2"/>
        <v>1</v>
      </c>
    </row>
    <row r="11" spans="1:11" x14ac:dyDescent="0.15">
      <c r="A11" s="9">
        <v>58</v>
      </c>
      <c r="B11" s="3" t="s">
        <v>13</v>
      </c>
      <c r="C11" s="3" t="s">
        <v>18</v>
      </c>
      <c r="D11" s="9" t="s">
        <v>1</v>
      </c>
      <c r="E11" s="9" t="s">
        <v>15</v>
      </c>
      <c r="F11" s="5">
        <v>55</v>
      </c>
      <c r="G11" s="11">
        <v>2.82</v>
      </c>
      <c r="H11" s="11">
        <f t="shared" si="0"/>
        <v>19.50354609929078</v>
      </c>
      <c r="I11" s="11">
        <f t="shared" si="1"/>
        <v>13.281914893617023</v>
      </c>
      <c r="J11" s="9">
        <f t="shared" si="2"/>
        <v>1</v>
      </c>
    </row>
    <row r="12" spans="1:11" x14ac:dyDescent="0.15">
      <c r="A12" s="9">
        <v>41</v>
      </c>
      <c r="B12" s="3" t="s">
        <v>13</v>
      </c>
      <c r="C12" s="3" t="s">
        <v>19</v>
      </c>
      <c r="D12" s="9" t="s">
        <v>1</v>
      </c>
      <c r="E12" s="9" t="s">
        <v>6</v>
      </c>
      <c r="F12" s="5">
        <v>55</v>
      </c>
      <c r="G12" s="11">
        <v>2.92</v>
      </c>
      <c r="H12" s="11">
        <f t="shared" si="0"/>
        <v>18.835616438356166</v>
      </c>
      <c r="I12" s="11">
        <f t="shared" si="1"/>
        <v>12.827054794520549</v>
      </c>
      <c r="J12" s="9">
        <f t="shared" si="2"/>
        <v>1</v>
      </c>
    </row>
    <row r="13" spans="1:11" x14ac:dyDescent="0.15">
      <c r="A13" s="9">
        <v>44</v>
      </c>
      <c r="B13" s="3" t="s">
        <v>13</v>
      </c>
      <c r="C13" s="3" t="s">
        <v>18</v>
      </c>
      <c r="D13" s="9" t="s">
        <v>1</v>
      </c>
      <c r="E13" s="9" t="s">
        <v>15</v>
      </c>
      <c r="F13" s="5">
        <v>55</v>
      </c>
      <c r="G13" s="11">
        <v>2.94</v>
      </c>
      <c r="H13" s="11">
        <f t="shared" si="0"/>
        <v>18.707482993197278</v>
      </c>
      <c r="I13" s="11">
        <f t="shared" si="1"/>
        <v>12.739795918367347</v>
      </c>
      <c r="J13" s="9">
        <f t="shared" si="2"/>
        <v>1</v>
      </c>
    </row>
    <row r="14" spans="1:11" ht="15" thickBot="1" x14ac:dyDescent="0.2">
      <c r="A14" s="24">
        <v>43</v>
      </c>
      <c r="B14" s="25" t="s">
        <v>13</v>
      </c>
      <c r="C14" s="25" t="s">
        <v>19</v>
      </c>
      <c r="D14" s="24" t="s">
        <v>1</v>
      </c>
      <c r="E14" s="24" t="s">
        <v>6</v>
      </c>
      <c r="F14" s="26">
        <v>55</v>
      </c>
      <c r="G14" s="28">
        <v>2.96</v>
      </c>
      <c r="H14" s="28">
        <f t="shared" si="0"/>
        <v>18.581081081081081</v>
      </c>
      <c r="I14" s="28">
        <f t="shared" si="1"/>
        <v>12.653716216216218</v>
      </c>
      <c r="J14" s="24">
        <f t="shared" si="2"/>
        <v>1</v>
      </c>
    </row>
    <row r="15" spans="1:11" x14ac:dyDescent="0.15">
      <c r="A15" s="19">
        <v>69</v>
      </c>
      <c r="B15" s="20" t="s">
        <v>13</v>
      </c>
      <c r="C15" s="20" t="s">
        <v>18</v>
      </c>
      <c r="D15" s="19" t="s">
        <v>1</v>
      </c>
      <c r="E15" s="19" t="s">
        <v>15</v>
      </c>
      <c r="F15" s="21">
        <v>55</v>
      </c>
      <c r="G15" s="23">
        <v>3.03</v>
      </c>
      <c r="H15" s="23">
        <f t="shared" si="0"/>
        <v>18.151815181518153</v>
      </c>
      <c r="I15" s="31">
        <f t="shared" si="1"/>
        <v>12.361386138613863</v>
      </c>
      <c r="J15" s="19">
        <f t="shared" si="2"/>
        <v>1</v>
      </c>
      <c r="K15" s="29" t="s">
        <v>47</v>
      </c>
    </row>
    <row r="16" spans="1:11" x14ac:dyDescent="0.15">
      <c r="A16" s="9">
        <v>6</v>
      </c>
      <c r="B16" s="3" t="s">
        <v>13</v>
      </c>
      <c r="C16" s="3" t="s">
        <v>18</v>
      </c>
      <c r="D16" s="9" t="s">
        <v>1</v>
      </c>
      <c r="E16" s="9" t="s">
        <v>15</v>
      </c>
      <c r="F16" s="5">
        <v>55</v>
      </c>
      <c r="G16" s="11">
        <v>3.15</v>
      </c>
      <c r="H16" s="11">
        <f t="shared" si="0"/>
        <v>17.460317460317462</v>
      </c>
      <c r="I16" s="11">
        <f t="shared" si="1"/>
        <v>11.890476190476193</v>
      </c>
      <c r="J16" s="9">
        <f t="shared" si="2"/>
        <v>1</v>
      </c>
    </row>
    <row r="17" spans="1:10" x14ac:dyDescent="0.15">
      <c r="A17" s="9">
        <v>39</v>
      </c>
      <c r="B17" s="3" t="s">
        <v>13</v>
      </c>
      <c r="C17" s="3" t="s">
        <v>18</v>
      </c>
      <c r="D17" s="9" t="s">
        <v>1</v>
      </c>
      <c r="E17" s="9" t="s">
        <v>15</v>
      </c>
      <c r="F17" s="5">
        <v>55</v>
      </c>
      <c r="G17" s="11">
        <v>3.15</v>
      </c>
      <c r="H17" s="11">
        <f t="shared" si="0"/>
        <v>17.460317460317462</v>
      </c>
      <c r="I17" s="11">
        <f t="shared" si="1"/>
        <v>11.890476190476193</v>
      </c>
      <c r="J17" s="9">
        <f t="shared" si="2"/>
        <v>1</v>
      </c>
    </row>
    <row r="18" spans="1:10" x14ac:dyDescent="0.15">
      <c r="A18" s="9">
        <v>52</v>
      </c>
      <c r="B18" s="3" t="s">
        <v>13</v>
      </c>
      <c r="C18" s="3" t="s">
        <v>18</v>
      </c>
      <c r="D18" s="9" t="s">
        <v>1</v>
      </c>
      <c r="E18" s="9" t="s">
        <v>15</v>
      </c>
      <c r="F18" s="5">
        <v>55</v>
      </c>
      <c r="G18" s="11">
        <v>3.19</v>
      </c>
      <c r="H18" s="11">
        <f t="shared" si="0"/>
        <v>17.241379310344829</v>
      </c>
      <c r="I18" s="11">
        <f t="shared" si="1"/>
        <v>11.741379310344829</v>
      </c>
      <c r="J18" s="9">
        <f t="shared" si="2"/>
        <v>1</v>
      </c>
    </row>
    <row r="19" spans="1:10" x14ac:dyDescent="0.15">
      <c r="A19" s="9">
        <v>54</v>
      </c>
      <c r="B19" s="3" t="s">
        <v>13</v>
      </c>
      <c r="C19" s="3" t="s">
        <v>18</v>
      </c>
      <c r="D19" s="9" t="s">
        <v>1</v>
      </c>
      <c r="E19" s="9" t="s">
        <v>15</v>
      </c>
      <c r="F19" s="5">
        <v>55</v>
      </c>
      <c r="G19" s="11">
        <v>3.2</v>
      </c>
      <c r="H19" s="11">
        <f t="shared" si="0"/>
        <v>17.1875</v>
      </c>
      <c r="I19" s="11">
        <f t="shared" si="1"/>
        <v>11.7046875</v>
      </c>
      <c r="J19" s="9">
        <f t="shared" si="2"/>
        <v>1</v>
      </c>
    </row>
    <row r="20" spans="1:10" x14ac:dyDescent="0.15">
      <c r="A20" s="9">
        <v>51</v>
      </c>
      <c r="B20" s="3" t="s">
        <v>13</v>
      </c>
      <c r="C20" s="3" t="s">
        <v>19</v>
      </c>
      <c r="D20" s="9" t="s">
        <v>1</v>
      </c>
      <c r="E20" s="9" t="s">
        <v>6</v>
      </c>
      <c r="F20" s="5">
        <v>55</v>
      </c>
      <c r="G20" s="11">
        <v>3.22</v>
      </c>
      <c r="H20" s="11">
        <f t="shared" si="0"/>
        <v>17.080745341614907</v>
      </c>
      <c r="I20" s="11">
        <f t="shared" si="1"/>
        <v>11.631987577639753</v>
      </c>
      <c r="J20" s="9">
        <f t="shared" si="2"/>
        <v>1</v>
      </c>
    </row>
    <row r="21" spans="1:10" x14ac:dyDescent="0.15">
      <c r="A21" s="9">
        <v>53</v>
      </c>
      <c r="B21" s="3" t="s">
        <v>13</v>
      </c>
      <c r="C21" s="3" t="s">
        <v>18</v>
      </c>
      <c r="D21" s="9" t="s">
        <v>1</v>
      </c>
      <c r="E21" s="9" t="s">
        <v>15</v>
      </c>
      <c r="F21" s="5">
        <v>55</v>
      </c>
      <c r="G21" s="11">
        <v>3.29</v>
      </c>
      <c r="H21" s="11">
        <f t="shared" si="0"/>
        <v>16.717325227963524</v>
      </c>
      <c r="I21" s="11">
        <f t="shared" si="1"/>
        <v>11.384498480243161</v>
      </c>
      <c r="J21" s="9">
        <f t="shared" si="2"/>
        <v>1</v>
      </c>
    </row>
    <row r="22" spans="1:10" x14ac:dyDescent="0.15">
      <c r="A22" s="9">
        <v>38</v>
      </c>
      <c r="B22" s="3" t="s">
        <v>13</v>
      </c>
      <c r="C22" s="3" t="s">
        <v>18</v>
      </c>
      <c r="D22" s="9" t="s">
        <v>1</v>
      </c>
      <c r="E22" s="9" t="s">
        <v>15</v>
      </c>
      <c r="F22" s="5">
        <v>55</v>
      </c>
      <c r="G22" s="11">
        <v>3.37</v>
      </c>
      <c r="H22" s="11">
        <f t="shared" si="0"/>
        <v>16.320474777448069</v>
      </c>
      <c r="I22" s="11">
        <f t="shared" si="1"/>
        <v>11.114243323442135</v>
      </c>
      <c r="J22" s="9">
        <f t="shared" si="2"/>
        <v>1</v>
      </c>
    </row>
    <row r="23" spans="1:10" x14ac:dyDescent="0.15">
      <c r="A23" s="9">
        <v>40</v>
      </c>
      <c r="B23" s="3" t="s">
        <v>13</v>
      </c>
      <c r="C23" s="3" t="s">
        <v>18</v>
      </c>
      <c r="D23" s="9" t="s">
        <v>1</v>
      </c>
      <c r="E23" s="9" t="s">
        <v>15</v>
      </c>
      <c r="F23" s="5">
        <v>55</v>
      </c>
      <c r="G23" s="11">
        <v>3.39</v>
      </c>
      <c r="H23" s="11">
        <f t="shared" si="0"/>
        <v>16.224188790560472</v>
      </c>
      <c r="I23" s="11">
        <f t="shared" si="1"/>
        <v>11.048672566371682</v>
      </c>
      <c r="J23" s="9">
        <f t="shared" si="2"/>
        <v>1</v>
      </c>
    </row>
    <row r="24" spans="1:10" x14ac:dyDescent="0.15">
      <c r="A24" s="9">
        <v>89</v>
      </c>
      <c r="B24" s="3" t="s">
        <v>27</v>
      </c>
      <c r="C24" s="3" t="s">
        <v>18</v>
      </c>
      <c r="D24" s="9" t="s">
        <v>1</v>
      </c>
      <c r="E24" s="9" t="s">
        <v>6</v>
      </c>
      <c r="F24" s="5">
        <v>30</v>
      </c>
      <c r="G24" s="11">
        <v>1.85</v>
      </c>
      <c r="H24" s="11">
        <f t="shared" si="0"/>
        <v>16.216216216216214</v>
      </c>
      <c r="I24" s="11">
        <f t="shared" si="1"/>
        <v>11.043243243243243</v>
      </c>
      <c r="J24" s="9">
        <f t="shared" si="2"/>
        <v>1</v>
      </c>
    </row>
    <row r="25" spans="1:10" x14ac:dyDescent="0.15">
      <c r="A25" s="9">
        <v>17</v>
      </c>
      <c r="B25" s="3" t="s">
        <v>13</v>
      </c>
      <c r="C25" s="3" t="s">
        <v>19</v>
      </c>
      <c r="D25" s="9" t="s">
        <v>1</v>
      </c>
      <c r="E25" s="9" t="s">
        <v>6</v>
      </c>
      <c r="F25" s="5">
        <v>55</v>
      </c>
      <c r="G25" s="11">
        <v>3.45</v>
      </c>
      <c r="H25" s="11">
        <f t="shared" si="0"/>
        <v>15.942028985507246</v>
      </c>
      <c r="I25" s="11">
        <f t="shared" si="1"/>
        <v>10.856521739130436</v>
      </c>
      <c r="J25" s="9">
        <f t="shared" si="2"/>
        <v>1</v>
      </c>
    </row>
    <row r="26" spans="1:10" x14ac:dyDescent="0.15">
      <c r="A26" s="9">
        <v>62</v>
      </c>
      <c r="B26" s="3" t="s">
        <v>13</v>
      </c>
      <c r="C26" s="3" t="s">
        <v>19</v>
      </c>
      <c r="D26" s="9" t="s">
        <v>1</v>
      </c>
      <c r="E26" s="9" t="s">
        <v>6</v>
      </c>
      <c r="F26" s="5">
        <v>55</v>
      </c>
      <c r="G26" s="11">
        <v>3.49</v>
      </c>
      <c r="H26" s="11">
        <f t="shared" si="0"/>
        <v>15.759312320916905</v>
      </c>
      <c r="I26" s="11">
        <f t="shared" si="1"/>
        <v>10.732091690544413</v>
      </c>
      <c r="J26" s="9">
        <f t="shared" si="2"/>
        <v>1</v>
      </c>
    </row>
    <row r="27" spans="1:10" x14ac:dyDescent="0.15">
      <c r="A27" s="9">
        <v>12</v>
      </c>
      <c r="B27" s="3" t="s">
        <v>13</v>
      </c>
      <c r="C27" s="3" t="s">
        <v>18</v>
      </c>
      <c r="D27" s="9" t="s">
        <v>1</v>
      </c>
      <c r="E27" s="9" t="s">
        <v>15</v>
      </c>
      <c r="F27" s="5">
        <v>55</v>
      </c>
      <c r="G27" s="11">
        <v>3.5</v>
      </c>
      <c r="H27" s="11">
        <f t="shared" si="0"/>
        <v>15.714285714285714</v>
      </c>
      <c r="I27" s="11">
        <f t="shared" si="1"/>
        <v>10.701428571428572</v>
      </c>
      <c r="J27" s="9">
        <f t="shared" si="2"/>
        <v>1</v>
      </c>
    </row>
    <row r="28" spans="1:10" x14ac:dyDescent="0.15">
      <c r="A28" s="9">
        <v>29</v>
      </c>
      <c r="B28" s="3" t="s">
        <v>13</v>
      </c>
      <c r="C28" s="3" t="s">
        <v>18</v>
      </c>
      <c r="D28" s="9" t="s">
        <v>1</v>
      </c>
      <c r="E28" s="9" t="s">
        <v>15</v>
      </c>
      <c r="F28" s="5">
        <v>55</v>
      </c>
      <c r="G28" s="11">
        <v>3.5</v>
      </c>
      <c r="H28" s="11">
        <f t="shared" si="0"/>
        <v>15.714285714285714</v>
      </c>
      <c r="I28" s="11">
        <f t="shared" si="1"/>
        <v>10.701428571428572</v>
      </c>
      <c r="J28" s="9">
        <f t="shared" si="2"/>
        <v>1</v>
      </c>
    </row>
    <row r="29" spans="1:10" x14ac:dyDescent="0.15">
      <c r="A29" s="9">
        <v>73</v>
      </c>
      <c r="B29" s="3" t="s">
        <v>13</v>
      </c>
      <c r="C29" s="3" t="s">
        <v>19</v>
      </c>
      <c r="D29" s="9" t="s">
        <v>1</v>
      </c>
      <c r="E29" s="9" t="s">
        <v>6</v>
      </c>
      <c r="F29" s="5">
        <v>55</v>
      </c>
      <c r="G29" s="11">
        <v>3.65</v>
      </c>
      <c r="H29" s="11">
        <f t="shared" si="0"/>
        <v>15.068493150684931</v>
      </c>
      <c r="I29" s="11">
        <f t="shared" si="1"/>
        <v>10.261643835616439</v>
      </c>
      <c r="J29" s="9">
        <f t="shared" si="2"/>
        <v>1</v>
      </c>
    </row>
    <row r="30" spans="1:10" x14ac:dyDescent="0.15">
      <c r="A30" s="9">
        <v>55</v>
      </c>
      <c r="B30" s="3" t="s">
        <v>13</v>
      </c>
      <c r="C30" s="3" t="s">
        <v>18</v>
      </c>
      <c r="D30" s="9" t="s">
        <v>1</v>
      </c>
      <c r="E30" s="9" t="s">
        <v>15</v>
      </c>
      <c r="F30" s="5">
        <v>55</v>
      </c>
      <c r="G30" s="11">
        <v>3.66</v>
      </c>
      <c r="H30" s="11">
        <f t="shared" si="0"/>
        <v>15.027322404371585</v>
      </c>
      <c r="I30" s="11">
        <f t="shared" si="1"/>
        <v>10.233606557377049</v>
      </c>
      <c r="J30" s="9">
        <f t="shared" si="2"/>
        <v>1</v>
      </c>
    </row>
    <row r="31" spans="1:10" x14ac:dyDescent="0.15">
      <c r="A31" s="9">
        <v>59</v>
      </c>
      <c r="B31" s="3" t="s">
        <v>13</v>
      </c>
      <c r="C31" s="3" t="s">
        <v>19</v>
      </c>
      <c r="D31" s="9" t="s">
        <v>1</v>
      </c>
      <c r="E31" s="9" t="s">
        <v>6</v>
      </c>
      <c r="F31" s="5">
        <v>55</v>
      </c>
      <c r="G31" s="11">
        <v>3.7</v>
      </c>
      <c r="H31" s="11">
        <f t="shared" si="0"/>
        <v>14.864864864864865</v>
      </c>
      <c r="I31" s="11">
        <f t="shared" si="1"/>
        <v>10.122972972972974</v>
      </c>
      <c r="J31" s="9">
        <f t="shared" si="2"/>
        <v>1</v>
      </c>
    </row>
    <row r="32" spans="1:10" x14ac:dyDescent="0.15">
      <c r="A32" s="9">
        <v>67</v>
      </c>
      <c r="B32" s="3" t="s">
        <v>13</v>
      </c>
      <c r="C32" s="3" t="s">
        <v>18</v>
      </c>
      <c r="D32" s="9" t="s">
        <v>1</v>
      </c>
      <c r="E32" s="9" t="s">
        <v>15</v>
      </c>
      <c r="F32" s="5">
        <v>55</v>
      </c>
      <c r="G32" s="11">
        <v>3.74</v>
      </c>
      <c r="H32" s="11">
        <f t="shared" si="0"/>
        <v>14.705882352941176</v>
      </c>
      <c r="I32" s="11">
        <f t="shared" si="1"/>
        <v>10.014705882352942</v>
      </c>
      <c r="J32" s="9">
        <f t="shared" si="2"/>
        <v>1</v>
      </c>
    </row>
    <row r="33" spans="1:10" x14ac:dyDescent="0.15">
      <c r="A33" s="9">
        <v>4</v>
      </c>
      <c r="B33" s="3" t="s">
        <v>13</v>
      </c>
      <c r="C33" s="3" t="s">
        <v>18</v>
      </c>
      <c r="D33" s="9" t="s">
        <v>1</v>
      </c>
      <c r="E33" s="9" t="s">
        <v>15</v>
      </c>
      <c r="F33" s="5">
        <v>55</v>
      </c>
      <c r="G33" s="11">
        <v>3.77</v>
      </c>
      <c r="H33" s="11">
        <f t="shared" si="0"/>
        <v>14.588859416445624</v>
      </c>
      <c r="I33" s="11">
        <f t="shared" si="1"/>
        <v>9.9350132625994707</v>
      </c>
      <c r="J33" s="9">
        <f t="shared" si="2"/>
        <v>1</v>
      </c>
    </row>
    <row r="34" spans="1:10" x14ac:dyDescent="0.15">
      <c r="A34" s="9">
        <v>47</v>
      </c>
      <c r="B34" s="3" t="s">
        <v>13</v>
      </c>
      <c r="C34" s="3" t="s">
        <v>18</v>
      </c>
      <c r="D34" s="9" t="s">
        <v>1</v>
      </c>
      <c r="E34" s="9" t="s">
        <v>15</v>
      </c>
      <c r="F34" s="5">
        <v>55</v>
      </c>
      <c r="G34" s="11">
        <v>3.77</v>
      </c>
      <c r="H34" s="11">
        <f t="shared" ref="H34:H65" si="3">F34/G34</f>
        <v>14.588859416445624</v>
      </c>
      <c r="I34" s="11">
        <f t="shared" ref="I34:I65" si="4">H34*0.681</f>
        <v>9.9350132625994707</v>
      </c>
      <c r="J34" s="9">
        <f t="shared" ref="J34:J65" si="5">IF(G34&gt;0,1,0)</f>
        <v>1</v>
      </c>
    </row>
    <row r="35" spans="1:10" x14ac:dyDescent="0.15">
      <c r="A35" s="9">
        <v>32</v>
      </c>
      <c r="B35" s="3" t="s">
        <v>13</v>
      </c>
      <c r="C35" s="3" t="s">
        <v>18</v>
      </c>
      <c r="D35" s="9" t="s">
        <v>1</v>
      </c>
      <c r="E35" s="9" t="s">
        <v>15</v>
      </c>
      <c r="F35" s="5">
        <v>55</v>
      </c>
      <c r="G35" s="11">
        <v>3.89</v>
      </c>
      <c r="H35" s="11">
        <f t="shared" si="3"/>
        <v>14.138817480719794</v>
      </c>
      <c r="I35" s="11">
        <f t="shared" si="4"/>
        <v>9.6285347043701801</v>
      </c>
      <c r="J35" s="9">
        <f t="shared" si="5"/>
        <v>1</v>
      </c>
    </row>
    <row r="36" spans="1:10" x14ac:dyDescent="0.15">
      <c r="A36" s="9">
        <v>70</v>
      </c>
      <c r="B36" s="3" t="s">
        <v>13</v>
      </c>
      <c r="C36" s="3" t="s">
        <v>18</v>
      </c>
      <c r="D36" s="9" t="s">
        <v>1</v>
      </c>
      <c r="E36" s="9" t="s">
        <v>15</v>
      </c>
      <c r="F36" s="5">
        <v>55</v>
      </c>
      <c r="G36" s="11">
        <v>3.93</v>
      </c>
      <c r="H36" s="11">
        <f t="shared" si="3"/>
        <v>13.994910941475826</v>
      </c>
      <c r="I36" s="11">
        <f t="shared" si="4"/>
        <v>9.5305343511450378</v>
      </c>
      <c r="J36" s="9">
        <f t="shared" si="5"/>
        <v>1</v>
      </c>
    </row>
    <row r="37" spans="1:10" x14ac:dyDescent="0.15">
      <c r="A37" s="9">
        <v>65</v>
      </c>
      <c r="B37" s="3" t="s">
        <v>13</v>
      </c>
      <c r="C37" s="3" t="s">
        <v>19</v>
      </c>
      <c r="D37" s="9" t="s">
        <v>1</v>
      </c>
      <c r="E37" s="9" t="s">
        <v>6</v>
      </c>
      <c r="F37" s="5">
        <v>55</v>
      </c>
      <c r="G37" s="11">
        <v>3.98</v>
      </c>
      <c r="H37" s="11">
        <f t="shared" si="3"/>
        <v>13.819095477386934</v>
      </c>
      <c r="I37" s="11">
        <f t="shared" si="4"/>
        <v>9.4108040201005032</v>
      </c>
      <c r="J37" s="9">
        <f t="shared" si="5"/>
        <v>1</v>
      </c>
    </row>
    <row r="38" spans="1:10" x14ac:dyDescent="0.15">
      <c r="A38" s="9">
        <v>33</v>
      </c>
      <c r="B38" s="3" t="s">
        <v>13</v>
      </c>
      <c r="C38" s="3" t="s">
        <v>19</v>
      </c>
      <c r="D38" s="9" t="s">
        <v>1</v>
      </c>
      <c r="E38" s="9" t="s">
        <v>6</v>
      </c>
      <c r="F38" s="5">
        <v>55</v>
      </c>
      <c r="G38" s="11">
        <v>4</v>
      </c>
      <c r="H38" s="11">
        <f t="shared" si="3"/>
        <v>13.75</v>
      </c>
      <c r="I38" s="11">
        <f t="shared" si="4"/>
        <v>9.3637500000000014</v>
      </c>
      <c r="J38" s="9">
        <f t="shared" si="5"/>
        <v>1</v>
      </c>
    </row>
    <row r="39" spans="1:10" x14ac:dyDescent="0.15">
      <c r="A39" s="9">
        <v>35</v>
      </c>
      <c r="B39" s="3" t="s">
        <v>13</v>
      </c>
      <c r="C39" s="3" t="s">
        <v>19</v>
      </c>
      <c r="D39" s="9" t="s">
        <v>1</v>
      </c>
      <c r="E39" s="9" t="s">
        <v>6</v>
      </c>
      <c r="F39" s="5">
        <v>55</v>
      </c>
      <c r="G39" s="11">
        <v>4</v>
      </c>
      <c r="H39" s="11">
        <f t="shared" si="3"/>
        <v>13.75</v>
      </c>
      <c r="I39" s="11">
        <f t="shared" si="4"/>
        <v>9.3637500000000014</v>
      </c>
      <c r="J39" s="9">
        <f t="shared" si="5"/>
        <v>1</v>
      </c>
    </row>
    <row r="40" spans="1:10" x14ac:dyDescent="0.15">
      <c r="A40" s="9">
        <v>36</v>
      </c>
      <c r="B40" s="3" t="s">
        <v>13</v>
      </c>
      <c r="C40" s="3" t="s">
        <v>19</v>
      </c>
      <c r="D40" s="9" t="s">
        <v>1</v>
      </c>
      <c r="E40" s="9" t="s">
        <v>6</v>
      </c>
      <c r="F40" s="5">
        <v>55</v>
      </c>
      <c r="G40" s="11">
        <v>4.04</v>
      </c>
      <c r="H40" s="11">
        <f t="shared" si="3"/>
        <v>13.613861386138614</v>
      </c>
      <c r="I40" s="11">
        <f t="shared" si="4"/>
        <v>9.2710396039603964</v>
      </c>
      <c r="J40" s="9">
        <f t="shared" si="5"/>
        <v>1</v>
      </c>
    </row>
    <row r="41" spans="1:10" x14ac:dyDescent="0.15">
      <c r="A41" s="9">
        <v>24</v>
      </c>
      <c r="B41" s="3" t="s">
        <v>13</v>
      </c>
      <c r="C41" s="3" t="s">
        <v>18</v>
      </c>
      <c r="D41" s="9" t="s">
        <v>1</v>
      </c>
      <c r="E41" s="9" t="s">
        <v>15</v>
      </c>
      <c r="F41" s="5">
        <v>55</v>
      </c>
      <c r="G41" s="11">
        <v>4.05</v>
      </c>
      <c r="H41" s="11">
        <f t="shared" si="3"/>
        <v>13.580246913580247</v>
      </c>
      <c r="I41" s="11">
        <f t="shared" si="4"/>
        <v>9.2481481481481485</v>
      </c>
      <c r="J41" s="9">
        <f t="shared" si="5"/>
        <v>1</v>
      </c>
    </row>
    <row r="42" spans="1:10" x14ac:dyDescent="0.15">
      <c r="A42" s="9">
        <v>79</v>
      </c>
      <c r="B42" s="3" t="s">
        <v>27</v>
      </c>
      <c r="C42" s="3" t="s">
        <v>18</v>
      </c>
      <c r="D42" s="9" t="s">
        <v>1</v>
      </c>
      <c r="E42" s="9" t="s">
        <v>6</v>
      </c>
      <c r="F42" s="5">
        <v>30</v>
      </c>
      <c r="G42" s="11">
        <v>2.23</v>
      </c>
      <c r="H42" s="11">
        <f t="shared" si="3"/>
        <v>13.452914798206278</v>
      </c>
      <c r="I42" s="11">
        <f t="shared" si="4"/>
        <v>9.1614349775784767</v>
      </c>
      <c r="J42" s="9">
        <f t="shared" si="5"/>
        <v>1</v>
      </c>
    </row>
    <row r="43" spans="1:10" x14ac:dyDescent="0.15">
      <c r="A43" s="9">
        <v>48</v>
      </c>
      <c r="B43" s="3" t="s">
        <v>13</v>
      </c>
      <c r="C43" s="3" t="s">
        <v>18</v>
      </c>
      <c r="D43" s="9" t="s">
        <v>1</v>
      </c>
      <c r="E43" s="9" t="s">
        <v>15</v>
      </c>
      <c r="F43" s="5">
        <v>55</v>
      </c>
      <c r="G43" s="11">
        <v>4.1500000000000004</v>
      </c>
      <c r="H43" s="11">
        <f t="shared" si="3"/>
        <v>13.253012048192771</v>
      </c>
      <c r="I43" s="11">
        <f t="shared" si="4"/>
        <v>9.0253012048192769</v>
      </c>
      <c r="J43" s="9">
        <f t="shared" si="5"/>
        <v>1</v>
      </c>
    </row>
    <row r="44" spans="1:10" x14ac:dyDescent="0.15">
      <c r="A44" s="9">
        <v>34</v>
      </c>
      <c r="B44" s="3" t="s">
        <v>13</v>
      </c>
      <c r="C44" s="3" t="s">
        <v>18</v>
      </c>
      <c r="D44" s="9" t="s">
        <v>1</v>
      </c>
      <c r="E44" s="9" t="s">
        <v>15</v>
      </c>
      <c r="F44" s="5">
        <v>55</v>
      </c>
      <c r="G44" s="11">
        <v>4.2</v>
      </c>
      <c r="H44" s="11">
        <f t="shared" si="3"/>
        <v>13.095238095238095</v>
      </c>
      <c r="I44" s="11">
        <f t="shared" si="4"/>
        <v>8.9178571428571427</v>
      </c>
      <c r="J44" s="9">
        <f t="shared" si="5"/>
        <v>1</v>
      </c>
    </row>
    <row r="45" spans="1:10" x14ac:dyDescent="0.15">
      <c r="A45" s="9">
        <v>66</v>
      </c>
      <c r="B45" s="3" t="s">
        <v>13</v>
      </c>
      <c r="C45" s="3" t="s">
        <v>19</v>
      </c>
      <c r="D45" s="9" t="s">
        <v>1</v>
      </c>
      <c r="E45" s="9" t="s">
        <v>6</v>
      </c>
      <c r="F45" s="5">
        <v>55</v>
      </c>
      <c r="G45" s="11">
        <v>4.21</v>
      </c>
      <c r="H45" s="11">
        <f t="shared" si="3"/>
        <v>13.064133016627078</v>
      </c>
      <c r="I45" s="11">
        <f t="shared" si="4"/>
        <v>8.8966745843230406</v>
      </c>
      <c r="J45" s="9">
        <f t="shared" si="5"/>
        <v>1</v>
      </c>
    </row>
    <row r="46" spans="1:10" x14ac:dyDescent="0.15">
      <c r="A46" s="9">
        <v>20</v>
      </c>
      <c r="B46" s="3" t="s">
        <v>13</v>
      </c>
      <c r="C46" s="3" t="s">
        <v>18</v>
      </c>
      <c r="D46" s="9" t="s">
        <v>1</v>
      </c>
      <c r="E46" s="9" t="s">
        <v>15</v>
      </c>
      <c r="F46" s="5">
        <v>55</v>
      </c>
      <c r="G46" s="11">
        <v>4.24</v>
      </c>
      <c r="H46" s="11">
        <f t="shared" si="3"/>
        <v>12.971698113207546</v>
      </c>
      <c r="I46" s="11">
        <f t="shared" si="4"/>
        <v>8.8337264150943398</v>
      </c>
      <c r="J46" s="9">
        <f t="shared" si="5"/>
        <v>1</v>
      </c>
    </row>
    <row r="47" spans="1:10" x14ac:dyDescent="0.15">
      <c r="A47" s="9">
        <v>64</v>
      </c>
      <c r="B47" s="3" t="s">
        <v>13</v>
      </c>
      <c r="C47" s="3" t="s">
        <v>19</v>
      </c>
      <c r="D47" s="9" t="s">
        <v>1</v>
      </c>
      <c r="E47" s="9" t="s">
        <v>6</v>
      </c>
      <c r="F47" s="5">
        <v>55</v>
      </c>
      <c r="G47" s="11">
        <v>4.24</v>
      </c>
      <c r="H47" s="11">
        <f t="shared" si="3"/>
        <v>12.971698113207546</v>
      </c>
      <c r="I47" s="11">
        <f t="shared" si="4"/>
        <v>8.8337264150943398</v>
      </c>
      <c r="J47" s="9">
        <f t="shared" si="5"/>
        <v>1</v>
      </c>
    </row>
    <row r="48" spans="1:10" x14ac:dyDescent="0.15">
      <c r="A48" s="9">
        <v>88</v>
      </c>
      <c r="B48" s="3" t="s">
        <v>27</v>
      </c>
      <c r="C48" s="3" t="s">
        <v>19</v>
      </c>
      <c r="D48" s="9" t="s">
        <v>1</v>
      </c>
      <c r="E48" s="9" t="s">
        <v>15</v>
      </c>
      <c r="F48" s="5">
        <v>30</v>
      </c>
      <c r="G48" s="11">
        <v>2.3199999999999998</v>
      </c>
      <c r="H48" s="11">
        <f t="shared" si="3"/>
        <v>12.931034482758621</v>
      </c>
      <c r="I48" s="11">
        <f t="shared" si="4"/>
        <v>8.806034482758621</v>
      </c>
      <c r="J48" s="9">
        <f t="shared" si="5"/>
        <v>1</v>
      </c>
    </row>
    <row r="49" spans="1:10" x14ac:dyDescent="0.15">
      <c r="A49" s="9">
        <v>83</v>
      </c>
      <c r="B49" s="3" t="s">
        <v>27</v>
      </c>
      <c r="C49" s="3" t="s">
        <v>19</v>
      </c>
      <c r="D49" s="9" t="s">
        <v>1</v>
      </c>
      <c r="E49" s="9" t="s">
        <v>15</v>
      </c>
      <c r="F49" s="5">
        <v>30</v>
      </c>
      <c r="G49" s="11">
        <v>2.33</v>
      </c>
      <c r="H49" s="11">
        <f t="shared" si="3"/>
        <v>12.875536480686694</v>
      </c>
      <c r="I49" s="11">
        <f t="shared" si="4"/>
        <v>8.7682403433476388</v>
      </c>
      <c r="J49" s="9">
        <f t="shared" si="5"/>
        <v>1</v>
      </c>
    </row>
    <row r="50" spans="1:10" x14ac:dyDescent="0.15">
      <c r="A50" s="9">
        <v>5</v>
      </c>
      <c r="B50" s="3" t="s">
        <v>13</v>
      </c>
      <c r="C50" s="3" t="s">
        <v>18</v>
      </c>
      <c r="D50" s="9" t="s">
        <v>1</v>
      </c>
      <c r="E50" s="9" t="s">
        <v>15</v>
      </c>
      <c r="F50" s="5">
        <v>55</v>
      </c>
      <c r="G50" s="11">
        <v>4.3</v>
      </c>
      <c r="H50" s="11">
        <f t="shared" si="3"/>
        <v>12.790697674418606</v>
      </c>
      <c r="I50" s="11">
        <f t="shared" si="4"/>
        <v>8.7104651162790709</v>
      </c>
      <c r="J50" s="9">
        <f t="shared" si="5"/>
        <v>1</v>
      </c>
    </row>
    <row r="51" spans="1:10" x14ac:dyDescent="0.15">
      <c r="A51" s="9">
        <v>84</v>
      </c>
      <c r="B51" s="3" t="s">
        <v>27</v>
      </c>
      <c r="C51" s="3" t="s">
        <v>18</v>
      </c>
      <c r="D51" s="9" t="s">
        <v>1</v>
      </c>
      <c r="E51" s="9" t="s">
        <v>6</v>
      </c>
      <c r="F51" s="5">
        <v>30</v>
      </c>
      <c r="G51" s="11">
        <v>2.39</v>
      </c>
      <c r="H51" s="11">
        <f t="shared" si="3"/>
        <v>12.552301255230125</v>
      </c>
      <c r="I51" s="11">
        <f t="shared" si="4"/>
        <v>8.548117154811715</v>
      </c>
      <c r="J51" s="9">
        <f t="shared" si="5"/>
        <v>1</v>
      </c>
    </row>
    <row r="52" spans="1:10" x14ac:dyDescent="0.15">
      <c r="A52" s="9">
        <v>10</v>
      </c>
      <c r="B52" s="3" t="s">
        <v>13</v>
      </c>
      <c r="C52" s="3" t="s">
        <v>18</v>
      </c>
      <c r="D52" s="9" t="s">
        <v>1</v>
      </c>
      <c r="E52" s="9" t="s">
        <v>15</v>
      </c>
      <c r="F52" s="5">
        <v>55</v>
      </c>
      <c r="G52" s="11">
        <v>4.43</v>
      </c>
      <c r="H52" s="11">
        <f t="shared" si="3"/>
        <v>12.415349887133184</v>
      </c>
      <c r="I52" s="11">
        <f t="shared" si="4"/>
        <v>8.4548532731376991</v>
      </c>
      <c r="J52" s="9">
        <f t="shared" si="5"/>
        <v>1</v>
      </c>
    </row>
    <row r="53" spans="1:10" x14ac:dyDescent="0.15">
      <c r="A53" s="9">
        <v>75</v>
      </c>
      <c r="B53" s="3" t="s">
        <v>13</v>
      </c>
      <c r="C53" s="3" t="s">
        <v>19</v>
      </c>
      <c r="D53" s="9" t="s">
        <v>1</v>
      </c>
      <c r="E53" s="9" t="s">
        <v>6</v>
      </c>
      <c r="F53" s="5">
        <v>55</v>
      </c>
      <c r="G53" s="11">
        <v>4.49</v>
      </c>
      <c r="H53" s="11">
        <f t="shared" si="3"/>
        <v>12.249443207126948</v>
      </c>
      <c r="I53" s="11">
        <f t="shared" si="4"/>
        <v>8.3418708240534514</v>
      </c>
      <c r="J53" s="9">
        <f t="shared" si="5"/>
        <v>1</v>
      </c>
    </row>
    <row r="54" spans="1:10" x14ac:dyDescent="0.15">
      <c r="A54" s="9">
        <v>56</v>
      </c>
      <c r="B54" s="3" t="s">
        <v>13</v>
      </c>
      <c r="C54" s="3" t="s">
        <v>19</v>
      </c>
      <c r="D54" s="9" t="s">
        <v>1</v>
      </c>
      <c r="E54" s="9" t="s">
        <v>6</v>
      </c>
      <c r="F54" s="5">
        <v>55</v>
      </c>
      <c r="G54" s="11">
        <v>4.5</v>
      </c>
      <c r="H54" s="11">
        <f t="shared" si="3"/>
        <v>12.222222222222221</v>
      </c>
      <c r="I54" s="11">
        <f t="shared" si="4"/>
        <v>8.3233333333333341</v>
      </c>
      <c r="J54" s="9">
        <f t="shared" si="5"/>
        <v>1</v>
      </c>
    </row>
    <row r="55" spans="1:10" x14ac:dyDescent="0.15">
      <c r="A55" s="9">
        <v>15</v>
      </c>
      <c r="B55" s="3" t="s">
        <v>13</v>
      </c>
      <c r="C55" s="3" t="s">
        <v>18</v>
      </c>
      <c r="D55" s="9" t="s">
        <v>1</v>
      </c>
      <c r="E55" s="9" t="s">
        <v>15</v>
      </c>
      <c r="F55" s="5">
        <v>55</v>
      </c>
      <c r="G55" s="11">
        <v>4.5599999999999996</v>
      </c>
      <c r="H55" s="11">
        <f t="shared" si="3"/>
        <v>12.061403508771932</v>
      </c>
      <c r="I55" s="11">
        <f t="shared" si="4"/>
        <v>8.2138157894736867</v>
      </c>
      <c r="J55" s="9">
        <f t="shared" si="5"/>
        <v>1</v>
      </c>
    </row>
    <row r="56" spans="1:10" x14ac:dyDescent="0.15">
      <c r="A56" s="9">
        <v>9</v>
      </c>
      <c r="B56" s="3" t="s">
        <v>13</v>
      </c>
      <c r="C56" s="3" t="s">
        <v>19</v>
      </c>
      <c r="D56" s="9" t="s">
        <v>1</v>
      </c>
      <c r="E56" s="9" t="s">
        <v>6</v>
      </c>
      <c r="F56" s="5">
        <v>55</v>
      </c>
      <c r="G56" s="11">
        <v>4.59</v>
      </c>
      <c r="H56" s="11">
        <f t="shared" si="3"/>
        <v>11.982570806100219</v>
      </c>
      <c r="I56" s="11">
        <f t="shared" si="4"/>
        <v>8.1601307189542496</v>
      </c>
      <c r="J56" s="9">
        <f t="shared" si="5"/>
        <v>1</v>
      </c>
    </row>
    <row r="57" spans="1:10" x14ac:dyDescent="0.15">
      <c r="A57" s="9">
        <v>11</v>
      </c>
      <c r="B57" s="3" t="s">
        <v>13</v>
      </c>
      <c r="C57" s="3" t="s">
        <v>18</v>
      </c>
      <c r="D57" s="9" t="s">
        <v>1</v>
      </c>
      <c r="E57" s="9" t="s">
        <v>15</v>
      </c>
      <c r="F57" s="5">
        <v>55</v>
      </c>
      <c r="G57" s="11">
        <v>4.63</v>
      </c>
      <c r="H57" s="11">
        <f t="shared" si="3"/>
        <v>11.879049676025918</v>
      </c>
      <c r="I57" s="11">
        <f t="shared" si="4"/>
        <v>8.0896328293736506</v>
      </c>
      <c r="J57" s="9">
        <f t="shared" si="5"/>
        <v>1</v>
      </c>
    </row>
    <row r="58" spans="1:10" x14ac:dyDescent="0.15">
      <c r="A58" s="9">
        <v>2</v>
      </c>
      <c r="B58" s="3" t="s">
        <v>13</v>
      </c>
      <c r="C58" s="3" t="s">
        <v>19</v>
      </c>
      <c r="D58" s="9" t="s">
        <v>1</v>
      </c>
      <c r="E58" s="9" t="s">
        <v>6</v>
      </c>
      <c r="F58" s="5">
        <v>55</v>
      </c>
      <c r="G58" s="11">
        <v>4.6500000000000004</v>
      </c>
      <c r="H58" s="11">
        <f t="shared" si="3"/>
        <v>11.82795698924731</v>
      </c>
      <c r="I58" s="11">
        <f t="shared" si="4"/>
        <v>8.0548387096774192</v>
      </c>
      <c r="J58" s="9">
        <f t="shared" si="5"/>
        <v>1</v>
      </c>
    </row>
    <row r="59" spans="1:10" x14ac:dyDescent="0.15">
      <c r="A59" s="9">
        <v>21</v>
      </c>
      <c r="B59" s="3" t="s">
        <v>13</v>
      </c>
      <c r="C59" s="3" t="s">
        <v>18</v>
      </c>
      <c r="D59" s="9" t="s">
        <v>1</v>
      </c>
      <c r="E59" s="9" t="s">
        <v>15</v>
      </c>
      <c r="F59" s="5">
        <v>55</v>
      </c>
      <c r="G59" s="11">
        <v>4.7</v>
      </c>
      <c r="H59" s="11">
        <f t="shared" si="3"/>
        <v>11.702127659574467</v>
      </c>
      <c r="I59" s="11">
        <f t="shared" si="4"/>
        <v>7.969148936170213</v>
      </c>
      <c r="J59" s="9">
        <f t="shared" si="5"/>
        <v>1</v>
      </c>
    </row>
    <row r="60" spans="1:10" x14ac:dyDescent="0.15">
      <c r="A60" s="9">
        <v>28</v>
      </c>
      <c r="B60" s="3" t="s">
        <v>13</v>
      </c>
      <c r="C60" s="3" t="s">
        <v>18</v>
      </c>
      <c r="D60" s="9" t="s">
        <v>1</v>
      </c>
      <c r="E60" s="9" t="s">
        <v>15</v>
      </c>
      <c r="F60" s="5">
        <v>55</v>
      </c>
      <c r="G60" s="11">
        <v>4.7</v>
      </c>
      <c r="H60" s="11">
        <f t="shared" si="3"/>
        <v>11.702127659574467</v>
      </c>
      <c r="I60" s="11">
        <f t="shared" si="4"/>
        <v>7.969148936170213</v>
      </c>
      <c r="J60" s="9">
        <f t="shared" si="5"/>
        <v>1</v>
      </c>
    </row>
    <row r="61" spans="1:10" x14ac:dyDescent="0.15">
      <c r="A61" s="9">
        <v>78</v>
      </c>
      <c r="B61" s="3" t="s">
        <v>13</v>
      </c>
      <c r="C61" s="3" t="s">
        <v>19</v>
      </c>
      <c r="D61" s="9" t="s">
        <v>1</v>
      </c>
      <c r="E61" s="9" t="s">
        <v>6</v>
      </c>
      <c r="F61" s="5">
        <v>55</v>
      </c>
      <c r="G61" s="11">
        <v>4.71</v>
      </c>
      <c r="H61" s="11">
        <f t="shared" si="3"/>
        <v>11.677282377919321</v>
      </c>
      <c r="I61" s="11">
        <f t="shared" si="4"/>
        <v>7.9522292993630579</v>
      </c>
      <c r="J61" s="9">
        <f t="shared" si="5"/>
        <v>1</v>
      </c>
    </row>
    <row r="62" spans="1:10" x14ac:dyDescent="0.15">
      <c r="A62" s="9">
        <v>49</v>
      </c>
      <c r="B62" s="3" t="s">
        <v>13</v>
      </c>
      <c r="C62" s="3" t="s">
        <v>18</v>
      </c>
      <c r="D62" s="9" t="s">
        <v>1</v>
      </c>
      <c r="E62" s="9" t="s">
        <v>15</v>
      </c>
      <c r="F62" s="5">
        <v>55</v>
      </c>
      <c r="G62" s="11">
        <v>4.72</v>
      </c>
      <c r="H62" s="11">
        <f t="shared" si="3"/>
        <v>11.652542372881356</v>
      </c>
      <c r="I62" s="11">
        <f t="shared" si="4"/>
        <v>7.9353813559322042</v>
      </c>
      <c r="J62" s="9">
        <f t="shared" si="5"/>
        <v>1</v>
      </c>
    </row>
    <row r="63" spans="1:10" x14ac:dyDescent="0.15">
      <c r="A63" s="9">
        <v>81</v>
      </c>
      <c r="B63" s="3" t="s">
        <v>27</v>
      </c>
      <c r="C63" s="3" t="s">
        <v>19</v>
      </c>
      <c r="D63" s="9" t="s">
        <v>1</v>
      </c>
      <c r="E63" s="9" t="s">
        <v>15</v>
      </c>
      <c r="F63" s="5">
        <v>30</v>
      </c>
      <c r="G63" s="11">
        <v>2.62</v>
      </c>
      <c r="H63" s="11">
        <f t="shared" si="3"/>
        <v>11.450381679389313</v>
      </c>
      <c r="I63" s="11">
        <f t="shared" si="4"/>
        <v>7.7977099236641223</v>
      </c>
      <c r="J63" s="9">
        <f t="shared" si="5"/>
        <v>1</v>
      </c>
    </row>
    <row r="64" spans="1:10" x14ac:dyDescent="0.15">
      <c r="A64" s="9">
        <v>1</v>
      </c>
      <c r="B64" s="3" t="s">
        <v>13</v>
      </c>
      <c r="C64" s="3" t="s">
        <v>19</v>
      </c>
      <c r="D64" s="9" t="s">
        <v>1</v>
      </c>
      <c r="E64" s="9" t="s">
        <v>6</v>
      </c>
      <c r="F64" s="5">
        <v>55</v>
      </c>
      <c r="G64" s="11">
        <v>4.82</v>
      </c>
      <c r="H64" s="11">
        <f t="shared" si="3"/>
        <v>11.410788381742737</v>
      </c>
      <c r="I64" s="11">
        <f t="shared" si="4"/>
        <v>7.7707468879668049</v>
      </c>
      <c r="J64" s="9">
        <f t="shared" si="5"/>
        <v>1</v>
      </c>
    </row>
    <row r="65" spans="1:10" x14ac:dyDescent="0.15">
      <c r="A65" s="9">
        <v>30</v>
      </c>
      <c r="B65" s="3" t="s">
        <v>13</v>
      </c>
      <c r="C65" s="3" t="s">
        <v>18</v>
      </c>
      <c r="D65" s="9" t="s">
        <v>1</v>
      </c>
      <c r="E65" s="9" t="s">
        <v>15</v>
      </c>
      <c r="F65" s="5">
        <v>55</v>
      </c>
      <c r="G65" s="11">
        <v>4.82</v>
      </c>
      <c r="H65" s="11">
        <f t="shared" si="3"/>
        <v>11.410788381742737</v>
      </c>
      <c r="I65" s="11">
        <f t="shared" si="4"/>
        <v>7.7707468879668049</v>
      </c>
      <c r="J65" s="9">
        <f t="shared" si="5"/>
        <v>1</v>
      </c>
    </row>
    <row r="66" spans="1:10" x14ac:dyDescent="0.15">
      <c r="A66" s="9">
        <v>74</v>
      </c>
      <c r="B66" s="3" t="s">
        <v>13</v>
      </c>
      <c r="C66" s="3" t="s">
        <v>18</v>
      </c>
      <c r="D66" s="9" t="s">
        <v>1</v>
      </c>
      <c r="E66" s="9" t="s">
        <v>15</v>
      </c>
      <c r="F66" s="5">
        <v>55</v>
      </c>
      <c r="G66" s="11">
        <v>4.8899999999999997</v>
      </c>
      <c r="H66" s="11">
        <f t="shared" ref="H66:H90" si="6">F66/G66</f>
        <v>11.247443762781186</v>
      </c>
      <c r="I66" s="11">
        <f t="shared" ref="I66:I90" si="7">H66*0.681</f>
        <v>7.6595092024539886</v>
      </c>
      <c r="J66" s="9">
        <f t="shared" ref="J66:J90" si="8">IF(G66&gt;0,1,0)</f>
        <v>1</v>
      </c>
    </row>
    <row r="67" spans="1:10" x14ac:dyDescent="0.15">
      <c r="A67" s="9">
        <v>7</v>
      </c>
      <c r="B67" s="3" t="s">
        <v>13</v>
      </c>
      <c r="C67" s="3" t="s">
        <v>18</v>
      </c>
      <c r="D67" s="9" t="s">
        <v>1</v>
      </c>
      <c r="E67" s="9" t="s">
        <v>15</v>
      </c>
      <c r="F67" s="5">
        <v>55</v>
      </c>
      <c r="G67" s="11">
        <v>4.9400000000000004</v>
      </c>
      <c r="H67" s="11">
        <f t="shared" si="6"/>
        <v>11.133603238866396</v>
      </c>
      <c r="I67" s="11">
        <f t="shared" si="7"/>
        <v>7.581983805668016</v>
      </c>
      <c r="J67" s="9">
        <f t="shared" si="8"/>
        <v>1</v>
      </c>
    </row>
    <row r="68" spans="1:10" x14ac:dyDescent="0.15">
      <c r="A68" s="9">
        <v>23</v>
      </c>
      <c r="B68" s="3" t="s">
        <v>13</v>
      </c>
      <c r="C68" s="3" t="s">
        <v>19</v>
      </c>
      <c r="D68" s="9" t="s">
        <v>1</v>
      </c>
      <c r="E68" s="9" t="s">
        <v>6</v>
      </c>
      <c r="F68" s="5">
        <v>55</v>
      </c>
      <c r="G68" s="11">
        <v>5</v>
      </c>
      <c r="H68" s="11">
        <f t="shared" si="6"/>
        <v>11</v>
      </c>
      <c r="I68" s="11">
        <f t="shared" si="7"/>
        <v>7.4910000000000005</v>
      </c>
      <c r="J68" s="9">
        <f t="shared" si="8"/>
        <v>1</v>
      </c>
    </row>
    <row r="69" spans="1:10" x14ac:dyDescent="0.15">
      <c r="A69" s="9">
        <v>85</v>
      </c>
      <c r="B69" s="3" t="s">
        <v>27</v>
      </c>
      <c r="C69" s="3" t="s">
        <v>19</v>
      </c>
      <c r="D69" s="9" t="s">
        <v>1</v>
      </c>
      <c r="E69" s="9" t="s">
        <v>15</v>
      </c>
      <c r="F69" s="5">
        <v>30</v>
      </c>
      <c r="G69" s="11">
        <v>2.82</v>
      </c>
      <c r="H69" s="11">
        <f t="shared" si="6"/>
        <v>10.638297872340425</v>
      </c>
      <c r="I69" s="11">
        <f t="shared" si="7"/>
        <v>7.2446808510638299</v>
      </c>
      <c r="J69" s="9">
        <f t="shared" si="8"/>
        <v>1</v>
      </c>
    </row>
    <row r="70" spans="1:10" x14ac:dyDescent="0.15">
      <c r="A70" s="9">
        <v>25</v>
      </c>
      <c r="B70" s="3" t="s">
        <v>13</v>
      </c>
      <c r="C70" s="3" t="s">
        <v>19</v>
      </c>
      <c r="D70" s="9" t="s">
        <v>1</v>
      </c>
      <c r="E70" s="9" t="s">
        <v>6</v>
      </c>
      <c r="F70" s="5">
        <v>55</v>
      </c>
      <c r="G70" s="11">
        <v>5.21</v>
      </c>
      <c r="H70" s="11">
        <f t="shared" si="6"/>
        <v>10.556621880998081</v>
      </c>
      <c r="I70" s="11">
        <f t="shared" si="7"/>
        <v>7.1890595009596936</v>
      </c>
      <c r="J70" s="9">
        <f t="shared" si="8"/>
        <v>1</v>
      </c>
    </row>
    <row r="71" spans="1:10" x14ac:dyDescent="0.15">
      <c r="A71" s="9">
        <v>82</v>
      </c>
      <c r="B71" s="3" t="s">
        <v>27</v>
      </c>
      <c r="C71" s="3" t="s">
        <v>19</v>
      </c>
      <c r="D71" s="9" t="s">
        <v>1</v>
      </c>
      <c r="E71" s="9" t="s">
        <v>15</v>
      </c>
      <c r="F71" s="5">
        <v>30</v>
      </c>
      <c r="G71" s="11">
        <v>2.92</v>
      </c>
      <c r="H71" s="11">
        <f t="shared" si="6"/>
        <v>10.273972602739727</v>
      </c>
      <c r="I71" s="11">
        <f t="shared" si="7"/>
        <v>6.9965753424657544</v>
      </c>
      <c r="J71" s="9">
        <f t="shared" si="8"/>
        <v>1</v>
      </c>
    </row>
    <row r="72" spans="1:10" x14ac:dyDescent="0.15">
      <c r="A72" s="9">
        <v>19</v>
      </c>
      <c r="B72" s="3" t="s">
        <v>13</v>
      </c>
      <c r="C72" s="3" t="s">
        <v>19</v>
      </c>
      <c r="D72" s="9" t="s">
        <v>1</v>
      </c>
      <c r="E72" s="9" t="s">
        <v>6</v>
      </c>
      <c r="F72" s="5">
        <v>55</v>
      </c>
      <c r="G72" s="11">
        <v>5.44</v>
      </c>
      <c r="H72" s="11">
        <f t="shared" si="6"/>
        <v>10.110294117647058</v>
      </c>
      <c r="I72" s="11">
        <f t="shared" si="7"/>
        <v>6.8851102941176467</v>
      </c>
      <c r="J72" s="9">
        <f t="shared" si="8"/>
        <v>1</v>
      </c>
    </row>
    <row r="73" spans="1:10" x14ac:dyDescent="0.15">
      <c r="A73" s="9">
        <v>3</v>
      </c>
      <c r="B73" s="3" t="s">
        <v>13</v>
      </c>
      <c r="C73" s="3" t="s">
        <v>18</v>
      </c>
      <c r="D73" s="9" t="s">
        <v>1</v>
      </c>
      <c r="E73" s="9" t="s">
        <v>15</v>
      </c>
      <c r="F73" s="5">
        <v>55</v>
      </c>
      <c r="G73" s="11">
        <v>5.5</v>
      </c>
      <c r="H73" s="11">
        <f t="shared" si="6"/>
        <v>10</v>
      </c>
      <c r="I73" s="11">
        <f t="shared" si="7"/>
        <v>6.8100000000000005</v>
      </c>
      <c r="J73" s="9">
        <f t="shared" si="8"/>
        <v>1</v>
      </c>
    </row>
    <row r="74" spans="1:10" x14ac:dyDescent="0.15">
      <c r="A74" s="9">
        <v>60</v>
      </c>
      <c r="B74" s="3" t="s">
        <v>13</v>
      </c>
      <c r="C74" s="3" t="s">
        <v>19</v>
      </c>
      <c r="D74" s="9" t="s">
        <v>1</v>
      </c>
      <c r="E74" s="9" t="s">
        <v>6</v>
      </c>
      <c r="F74" s="5">
        <v>55</v>
      </c>
      <c r="G74" s="11">
        <v>5.61</v>
      </c>
      <c r="H74" s="11">
        <f t="shared" si="6"/>
        <v>9.8039215686274499</v>
      </c>
      <c r="I74" s="11">
        <f t="shared" si="7"/>
        <v>6.6764705882352935</v>
      </c>
      <c r="J74" s="9">
        <f t="shared" si="8"/>
        <v>1</v>
      </c>
    </row>
    <row r="75" spans="1:10" x14ac:dyDescent="0.15">
      <c r="A75" s="9">
        <v>31</v>
      </c>
      <c r="B75" s="3" t="s">
        <v>13</v>
      </c>
      <c r="C75" s="3" t="s">
        <v>18</v>
      </c>
      <c r="D75" s="9" t="s">
        <v>1</v>
      </c>
      <c r="E75" s="9" t="s">
        <v>15</v>
      </c>
      <c r="F75" s="5">
        <v>55</v>
      </c>
      <c r="G75" s="11">
        <v>5.63</v>
      </c>
      <c r="H75" s="11">
        <f t="shared" si="6"/>
        <v>9.769094138543517</v>
      </c>
      <c r="I75" s="11">
        <f t="shared" si="7"/>
        <v>6.6527531083481355</v>
      </c>
      <c r="J75" s="9">
        <f t="shared" si="8"/>
        <v>1</v>
      </c>
    </row>
    <row r="76" spans="1:10" x14ac:dyDescent="0.15">
      <c r="A76" s="9">
        <v>14</v>
      </c>
      <c r="B76" s="3" t="s">
        <v>13</v>
      </c>
      <c r="C76" s="3" t="s">
        <v>18</v>
      </c>
      <c r="D76" s="9" t="s">
        <v>1</v>
      </c>
      <c r="E76" s="9" t="s">
        <v>15</v>
      </c>
      <c r="F76" s="5">
        <v>55</v>
      </c>
      <c r="G76" s="11">
        <v>5.65</v>
      </c>
      <c r="H76" s="11">
        <f t="shared" si="6"/>
        <v>9.7345132743362832</v>
      </c>
      <c r="I76" s="11">
        <f t="shared" si="7"/>
        <v>6.6292035398230089</v>
      </c>
      <c r="J76" s="9">
        <f t="shared" si="8"/>
        <v>1</v>
      </c>
    </row>
    <row r="77" spans="1:10" x14ac:dyDescent="0.15">
      <c r="A77" s="9">
        <v>61</v>
      </c>
      <c r="B77" s="3" t="s">
        <v>13</v>
      </c>
      <c r="C77" s="3" t="s">
        <v>19</v>
      </c>
      <c r="D77" s="9" t="s">
        <v>1</v>
      </c>
      <c r="E77" s="9" t="s">
        <v>6</v>
      </c>
      <c r="F77" s="5">
        <v>55</v>
      </c>
      <c r="G77" s="11">
        <v>5.67</v>
      </c>
      <c r="H77" s="11">
        <f t="shared" si="6"/>
        <v>9.7001763668430332</v>
      </c>
      <c r="I77" s="11">
        <f t="shared" si="7"/>
        <v>6.605820105820106</v>
      </c>
      <c r="J77" s="9">
        <f t="shared" si="8"/>
        <v>1</v>
      </c>
    </row>
    <row r="78" spans="1:10" x14ac:dyDescent="0.15">
      <c r="A78" s="9">
        <v>8</v>
      </c>
      <c r="B78" s="3" t="s">
        <v>13</v>
      </c>
      <c r="C78" s="3" t="s">
        <v>18</v>
      </c>
      <c r="D78" s="9" t="s">
        <v>1</v>
      </c>
      <c r="E78" s="9" t="s">
        <v>15</v>
      </c>
      <c r="F78" s="5">
        <v>55</v>
      </c>
      <c r="G78" s="11">
        <v>5.85</v>
      </c>
      <c r="H78" s="11">
        <f t="shared" si="6"/>
        <v>9.4017094017094021</v>
      </c>
      <c r="I78" s="11">
        <f t="shared" si="7"/>
        <v>6.4025641025641029</v>
      </c>
      <c r="J78" s="9">
        <f t="shared" si="8"/>
        <v>1</v>
      </c>
    </row>
    <row r="79" spans="1:10" x14ac:dyDescent="0.15">
      <c r="A79" s="9">
        <v>87</v>
      </c>
      <c r="B79" s="3" t="s">
        <v>27</v>
      </c>
      <c r="C79" s="3" t="s">
        <v>18</v>
      </c>
      <c r="D79" s="9" t="s">
        <v>1</v>
      </c>
      <c r="E79" s="9" t="s">
        <v>6</v>
      </c>
      <c r="F79" s="5">
        <v>30</v>
      </c>
      <c r="G79" s="11">
        <v>3.28</v>
      </c>
      <c r="H79" s="11">
        <f t="shared" si="6"/>
        <v>9.1463414634146343</v>
      </c>
      <c r="I79" s="11">
        <f t="shared" si="7"/>
        <v>6.2286585365853666</v>
      </c>
      <c r="J79" s="9">
        <f t="shared" si="8"/>
        <v>1</v>
      </c>
    </row>
    <row r="80" spans="1:10" x14ac:dyDescent="0.15">
      <c r="A80" s="9">
        <v>13</v>
      </c>
      <c r="B80" s="3" t="s">
        <v>13</v>
      </c>
      <c r="C80" s="3" t="s">
        <v>18</v>
      </c>
      <c r="D80" s="9" t="s">
        <v>1</v>
      </c>
      <c r="E80" s="9" t="s">
        <v>15</v>
      </c>
      <c r="F80" s="5">
        <v>55</v>
      </c>
      <c r="G80" s="11">
        <v>6.09</v>
      </c>
      <c r="H80" s="11">
        <f t="shared" si="6"/>
        <v>9.0311986863711002</v>
      </c>
      <c r="I80" s="11">
        <f t="shared" si="7"/>
        <v>6.1502463054187197</v>
      </c>
      <c r="J80" s="9">
        <f t="shared" si="8"/>
        <v>1</v>
      </c>
    </row>
    <row r="81" spans="1:10" x14ac:dyDescent="0.15">
      <c r="A81" s="9">
        <v>80</v>
      </c>
      <c r="B81" s="3" t="s">
        <v>27</v>
      </c>
      <c r="C81" s="3" t="s">
        <v>19</v>
      </c>
      <c r="D81" s="9" t="s">
        <v>1</v>
      </c>
      <c r="E81" s="9" t="s">
        <v>15</v>
      </c>
      <c r="F81" s="5">
        <v>30</v>
      </c>
      <c r="G81" s="11">
        <v>3.33</v>
      </c>
      <c r="H81" s="11">
        <f t="shared" si="6"/>
        <v>9.0090090090090094</v>
      </c>
      <c r="I81" s="11">
        <f t="shared" si="7"/>
        <v>6.135135135135136</v>
      </c>
      <c r="J81" s="9">
        <f t="shared" si="8"/>
        <v>1</v>
      </c>
    </row>
    <row r="82" spans="1:10" x14ac:dyDescent="0.15">
      <c r="A82" s="9">
        <v>22</v>
      </c>
      <c r="B82" s="3" t="s">
        <v>13</v>
      </c>
      <c r="C82" s="3" t="s">
        <v>18</v>
      </c>
      <c r="D82" s="9" t="s">
        <v>1</v>
      </c>
      <c r="E82" s="9" t="s">
        <v>15</v>
      </c>
      <c r="F82" s="5">
        <v>55</v>
      </c>
      <c r="G82" s="11">
        <v>6.68</v>
      </c>
      <c r="H82" s="11">
        <f t="shared" si="6"/>
        <v>8.2335329341317376</v>
      </c>
      <c r="I82" s="11">
        <f t="shared" si="7"/>
        <v>5.6070359281437137</v>
      </c>
      <c r="J82" s="9">
        <f t="shared" si="8"/>
        <v>1</v>
      </c>
    </row>
    <row r="83" spans="1:10" x14ac:dyDescent="0.15">
      <c r="A83" s="9">
        <v>18</v>
      </c>
      <c r="B83" s="3" t="s">
        <v>13</v>
      </c>
      <c r="C83" s="3" t="s">
        <v>18</v>
      </c>
      <c r="D83" s="9" t="s">
        <v>1</v>
      </c>
      <c r="E83" s="9" t="s">
        <v>15</v>
      </c>
      <c r="F83" s="5">
        <v>55</v>
      </c>
      <c r="G83" s="11">
        <v>6.7</v>
      </c>
      <c r="H83" s="11">
        <f t="shared" si="6"/>
        <v>8.2089552238805972</v>
      </c>
      <c r="I83" s="11">
        <f t="shared" si="7"/>
        <v>5.5902985074626868</v>
      </c>
      <c r="J83" s="9">
        <f t="shared" si="8"/>
        <v>1</v>
      </c>
    </row>
    <row r="84" spans="1:10" x14ac:dyDescent="0.15">
      <c r="A84" s="9">
        <v>37</v>
      </c>
      <c r="B84" s="3" t="s">
        <v>13</v>
      </c>
      <c r="C84" s="3" t="s">
        <v>18</v>
      </c>
      <c r="D84" s="9" t="s">
        <v>1</v>
      </c>
      <c r="E84" s="9" t="s">
        <v>15</v>
      </c>
      <c r="F84" s="5">
        <v>55</v>
      </c>
      <c r="G84" s="11">
        <v>6.89</v>
      </c>
      <c r="H84" s="11">
        <f t="shared" si="6"/>
        <v>7.9825834542815679</v>
      </c>
      <c r="I84" s="11">
        <f t="shared" si="7"/>
        <v>5.4361393323657481</v>
      </c>
      <c r="J84" s="9">
        <f t="shared" si="8"/>
        <v>1</v>
      </c>
    </row>
    <row r="85" spans="1:10" x14ac:dyDescent="0.15">
      <c r="A85" s="9">
        <v>72</v>
      </c>
      <c r="B85" s="3" t="s">
        <v>13</v>
      </c>
      <c r="C85" s="3" t="s">
        <v>19</v>
      </c>
      <c r="D85" s="9" t="s">
        <v>1</v>
      </c>
      <c r="E85" s="9" t="s">
        <v>6</v>
      </c>
      <c r="F85" s="5">
        <v>55</v>
      </c>
      <c r="G85" s="11">
        <v>6.94</v>
      </c>
      <c r="H85" s="11">
        <f t="shared" si="6"/>
        <v>7.9250720461095092</v>
      </c>
      <c r="I85" s="11">
        <f t="shared" si="7"/>
        <v>5.3969740634005765</v>
      </c>
      <c r="J85" s="9">
        <f t="shared" si="8"/>
        <v>1</v>
      </c>
    </row>
    <row r="86" spans="1:10" x14ac:dyDescent="0.15">
      <c r="A86" s="9">
        <v>50</v>
      </c>
      <c r="B86" s="3" t="s">
        <v>13</v>
      </c>
      <c r="C86" s="3" t="s">
        <v>19</v>
      </c>
      <c r="D86" s="9" t="s">
        <v>1</v>
      </c>
      <c r="E86" s="9" t="s">
        <v>6</v>
      </c>
      <c r="F86" s="5">
        <v>55</v>
      </c>
      <c r="G86" s="11">
        <v>7</v>
      </c>
      <c r="H86" s="11">
        <f t="shared" si="6"/>
        <v>7.8571428571428568</v>
      </c>
      <c r="I86" s="11">
        <f t="shared" si="7"/>
        <v>5.350714285714286</v>
      </c>
      <c r="J86" s="9">
        <f t="shared" si="8"/>
        <v>1</v>
      </c>
    </row>
    <row r="87" spans="1:10" x14ac:dyDescent="0.15">
      <c r="A87" s="9">
        <v>76</v>
      </c>
      <c r="B87" s="3" t="s">
        <v>13</v>
      </c>
      <c r="C87" s="3" t="s">
        <v>19</v>
      </c>
      <c r="D87" s="9" t="s">
        <v>1</v>
      </c>
      <c r="E87" s="9" t="s">
        <v>6</v>
      </c>
      <c r="F87" s="5">
        <v>55</v>
      </c>
      <c r="G87" s="11">
        <v>7</v>
      </c>
      <c r="H87" s="11">
        <f t="shared" si="6"/>
        <v>7.8571428571428568</v>
      </c>
      <c r="I87" s="11">
        <f t="shared" si="7"/>
        <v>5.350714285714286</v>
      </c>
      <c r="J87" s="9">
        <f t="shared" si="8"/>
        <v>1</v>
      </c>
    </row>
    <row r="88" spans="1:10" x14ac:dyDescent="0.15">
      <c r="A88" s="9">
        <v>86</v>
      </c>
      <c r="B88" s="3" t="s">
        <v>27</v>
      </c>
      <c r="C88" s="3" t="s">
        <v>19</v>
      </c>
      <c r="D88" s="9" t="s">
        <v>1</v>
      </c>
      <c r="E88" s="9" t="s">
        <v>15</v>
      </c>
      <c r="F88" s="5">
        <v>30</v>
      </c>
      <c r="G88" s="11">
        <v>3.86</v>
      </c>
      <c r="H88" s="11">
        <f t="shared" si="6"/>
        <v>7.7720207253886011</v>
      </c>
      <c r="I88" s="11">
        <f t="shared" si="7"/>
        <v>5.2927461139896375</v>
      </c>
      <c r="J88" s="9">
        <f t="shared" si="8"/>
        <v>1</v>
      </c>
    </row>
    <row r="89" spans="1:10" x14ac:dyDescent="0.15">
      <c r="A89" s="9">
        <v>27</v>
      </c>
      <c r="B89" s="3" t="s">
        <v>13</v>
      </c>
      <c r="C89" s="3" t="s">
        <v>19</v>
      </c>
      <c r="D89" s="9" t="s">
        <v>1</v>
      </c>
      <c r="E89" s="9" t="s">
        <v>6</v>
      </c>
      <c r="F89" s="5">
        <v>55</v>
      </c>
      <c r="G89" s="11">
        <v>7.5</v>
      </c>
      <c r="H89" s="11">
        <f t="shared" si="6"/>
        <v>7.333333333333333</v>
      </c>
      <c r="I89" s="11">
        <f t="shared" si="7"/>
        <v>4.9939999999999998</v>
      </c>
      <c r="J89" s="9">
        <f t="shared" si="8"/>
        <v>1</v>
      </c>
    </row>
    <row r="90" spans="1:10" x14ac:dyDescent="0.15">
      <c r="A90" s="9">
        <v>71</v>
      </c>
      <c r="B90" s="3" t="s">
        <v>13</v>
      </c>
      <c r="C90" s="3" t="s">
        <v>19</v>
      </c>
      <c r="D90" s="9" t="s">
        <v>1</v>
      </c>
      <c r="E90" s="9" t="s">
        <v>6</v>
      </c>
      <c r="F90" s="5">
        <v>55</v>
      </c>
      <c r="G90" s="11">
        <v>8.1199999999999992</v>
      </c>
      <c r="H90" s="11">
        <f t="shared" si="6"/>
        <v>6.7733990147783256</v>
      </c>
      <c r="I90" s="11">
        <f t="shared" si="7"/>
        <v>4.61268472906404</v>
      </c>
      <c r="J90" s="9">
        <f t="shared" si="8"/>
        <v>1</v>
      </c>
    </row>
    <row r="91" spans="1:10" x14ac:dyDescent="0.15">
      <c r="I91" s="12">
        <f>SUM(I2:I90)/89</f>
        <v>9.2848817742201355</v>
      </c>
    </row>
  </sheetData>
  <sortState xmlns:xlrd2="http://schemas.microsoft.com/office/spreadsheetml/2017/richdata2" ref="A2:J90">
    <sortCondition descending="1" ref="I2:I9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D20"/>
  <sheetViews>
    <sheetView workbookViewId="0">
      <selection activeCell="D20" sqref="D20"/>
    </sheetView>
  </sheetViews>
  <sheetFormatPr baseColWidth="10" defaultColWidth="8.83203125" defaultRowHeight="14" x14ac:dyDescent="0.15"/>
  <cols>
    <col min="1" max="1" width="14" bestFit="1" customWidth="1"/>
    <col min="2" max="2" width="13.33203125" bestFit="1" customWidth="1"/>
    <col min="3" max="3" width="16.5" bestFit="1" customWidth="1"/>
  </cols>
  <sheetData>
    <row r="3" spans="1:4" x14ac:dyDescent="0.15">
      <c r="A3" s="39" t="s">
        <v>64</v>
      </c>
      <c r="B3" t="s">
        <v>66</v>
      </c>
      <c r="C3" t="s">
        <v>67</v>
      </c>
      <c r="D3" t="s">
        <v>68</v>
      </c>
    </row>
    <row r="4" spans="1:4" x14ac:dyDescent="0.15">
      <c r="A4" s="40" t="s">
        <v>49</v>
      </c>
      <c r="B4">
        <v>352.96090691386996</v>
      </c>
      <c r="C4">
        <v>26</v>
      </c>
    </row>
    <row r="5" spans="1:4" x14ac:dyDescent="0.15">
      <c r="A5" s="40" t="s">
        <v>46</v>
      </c>
      <c r="B5">
        <v>131.48638647028298</v>
      </c>
      <c r="C5">
        <v>11</v>
      </c>
    </row>
    <row r="6" spans="1:4" x14ac:dyDescent="0.15">
      <c r="A6" s="40" t="s">
        <v>50</v>
      </c>
      <c r="B6">
        <v>404.29558406567043</v>
      </c>
      <c r="C6">
        <v>41</v>
      </c>
    </row>
    <row r="7" spans="1:4" x14ac:dyDescent="0.15">
      <c r="A7" s="40" t="s">
        <v>43</v>
      </c>
      <c r="B7">
        <v>323.08228389669472</v>
      </c>
      <c r="C7">
        <v>25</v>
      </c>
    </row>
    <row r="8" spans="1:4" x14ac:dyDescent="0.15">
      <c r="A8" s="40" t="s">
        <v>45</v>
      </c>
      <c r="B8">
        <v>269.15583970813458</v>
      </c>
      <c r="C8">
        <v>25</v>
      </c>
    </row>
    <row r="9" spans="1:4" x14ac:dyDescent="0.15">
      <c r="A9" s="40" t="s">
        <v>65</v>
      </c>
      <c r="B9">
        <v>1480.9810010546528</v>
      </c>
      <c r="C9">
        <v>128</v>
      </c>
    </row>
    <row r="12" spans="1:4" x14ac:dyDescent="0.15">
      <c r="A12" t="s">
        <v>49</v>
      </c>
      <c r="B12">
        <v>352.96090691386996</v>
      </c>
      <c r="C12">
        <v>26</v>
      </c>
      <c r="D12" s="41">
        <f>B12/C12</f>
        <v>13.575419496687307</v>
      </c>
    </row>
    <row r="13" spans="1:4" x14ac:dyDescent="0.15">
      <c r="A13" t="s">
        <v>46</v>
      </c>
      <c r="B13">
        <v>131.48638647028298</v>
      </c>
      <c r="C13">
        <v>11</v>
      </c>
      <c r="D13" s="41">
        <f t="shared" ref="D13:D20" si="0">B13/C13</f>
        <v>11.953307860934816</v>
      </c>
    </row>
    <row r="14" spans="1:4" x14ac:dyDescent="0.15">
      <c r="A14" t="s">
        <v>50</v>
      </c>
      <c r="B14">
        <v>404.29558406567043</v>
      </c>
      <c r="C14">
        <v>41</v>
      </c>
      <c r="D14" s="41">
        <f t="shared" si="0"/>
        <v>9.8608679040407416</v>
      </c>
    </row>
    <row r="15" spans="1:4" x14ac:dyDescent="0.15">
      <c r="A15" t="s">
        <v>43</v>
      </c>
      <c r="B15">
        <v>323.08228389669472</v>
      </c>
      <c r="C15">
        <v>25</v>
      </c>
      <c r="D15" s="41">
        <f t="shared" si="0"/>
        <v>12.923291355867789</v>
      </c>
    </row>
    <row r="16" spans="1:4" x14ac:dyDescent="0.15">
      <c r="A16" t="s">
        <v>45</v>
      </c>
      <c r="B16">
        <v>269.15583970813458</v>
      </c>
      <c r="C16">
        <v>25</v>
      </c>
      <c r="D16" s="41">
        <f t="shared" si="0"/>
        <v>10.766233588325383</v>
      </c>
    </row>
    <row r="17" spans="1:4" x14ac:dyDescent="0.15">
      <c r="A17" t="s">
        <v>65</v>
      </c>
      <c r="B17">
        <v>1480.9810010546528</v>
      </c>
      <c r="C17">
        <v>128</v>
      </c>
      <c r="D17" s="41">
        <f t="shared" si="0"/>
        <v>11.570164070739475</v>
      </c>
    </row>
    <row r="19" spans="1:4" x14ac:dyDescent="0.15">
      <c r="A19" t="s">
        <v>69</v>
      </c>
      <c r="B19">
        <f>B13+B16</f>
        <v>400.64222617841756</v>
      </c>
      <c r="C19">
        <f>C13+C16</f>
        <v>36</v>
      </c>
      <c r="D19" s="41">
        <f t="shared" si="0"/>
        <v>11.128950727178266</v>
      </c>
    </row>
    <row r="20" spans="1:4" x14ac:dyDescent="0.15">
      <c r="A20" t="s">
        <v>70</v>
      </c>
      <c r="B20">
        <f>SUM(B12,B14,B15)</f>
        <v>1080.338774876235</v>
      </c>
      <c r="C20">
        <f>SUM(C12,C14,C15)</f>
        <v>92</v>
      </c>
      <c r="D20" s="41">
        <f t="shared" si="0"/>
        <v>11.742812770393858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2" sqref="K12"/>
    </sheetView>
  </sheetViews>
  <sheetFormatPr baseColWidth="10" defaultColWidth="8.83203125" defaultRowHeight="14" x14ac:dyDescent="0.15"/>
  <cols>
    <col min="1" max="1" width="7" customWidth="1"/>
    <col min="2" max="2" width="13.83203125" customWidth="1"/>
    <col min="4" max="5" width="8.83203125" style="8"/>
    <col min="6" max="6" width="9.83203125" style="6" customWidth="1"/>
    <col min="7" max="9" width="8.83203125" style="12"/>
  </cols>
  <sheetData>
    <row r="1" spans="1:11" s="7" customFormat="1" ht="54" customHeight="1" x14ac:dyDescent="0.15">
      <c r="A1" s="4" t="s">
        <v>16</v>
      </c>
      <c r="B1" s="4" t="s">
        <v>42</v>
      </c>
      <c r="C1" s="4" t="s">
        <v>17</v>
      </c>
      <c r="D1" s="4" t="s">
        <v>7</v>
      </c>
      <c r="E1" s="4" t="s">
        <v>8</v>
      </c>
      <c r="F1" s="4" t="s">
        <v>9</v>
      </c>
      <c r="G1" s="10" t="s">
        <v>3</v>
      </c>
      <c r="H1" s="10" t="s">
        <v>5</v>
      </c>
      <c r="I1" s="10" t="s">
        <v>4</v>
      </c>
      <c r="J1" s="4" t="s">
        <v>20</v>
      </c>
    </row>
    <row r="2" spans="1:11" x14ac:dyDescent="0.15">
      <c r="A2" s="9">
        <v>31</v>
      </c>
      <c r="B2" s="3" t="s">
        <v>45</v>
      </c>
      <c r="C2" s="3"/>
      <c r="D2" s="9" t="s">
        <v>44</v>
      </c>
      <c r="E2" s="9"/>
      <c r="F2" s="5">
        <v>29</v>
      </c>
      <c r="G2" s="11">
        <v>0.93</v>
      </c>
      <c r="H2" s="11">
        <f>F2/G2</f>
        <v>31.182795698924728</v>
      </c>
      <c r="I2" s="11">
        <f>H2*0.681</f>
        <v>21.235483870967741</v>
      </c>
      <c r="J2" s="9">
        <f>IF(G2&gt;0,1,0)</f>
        <v>1</v>
      </c>
    </row>
    <row r="3" spans="1:11" x14ac:dyDescent="0.15">
      <c r="A3" s="9">
        <v>91</v>
      </c>
      <c r="B3" s="3" t="s">
        <v>50</v>
      </c>
      <c r="C3" s="3"/>
      <c r="D3" s="9" t="s">
        <v>44</v>
      </c>
      <c r="E3" s="9"/>
      <c r="F3" s="5">
        <v>25</v>
      </c>
      <c r="G3" s="11">
        <v>0.87</v>
      </c>
      <c r="H3" s="11">
        <f>F3/G3</f>
        <v>28.735632183908045</v>
      </c>
      <c r="I3" s="11">
        <f>H3*0.681</f>
        <v>19.568965517241381</v>
      </c>
      <c r="J3" s="9">
        <f>IF(G3&gt;0,1,0)</f>
        <v>1</v>
      </c>
    </row>
    <row r="4" spans="1:11" x14ac:dyDescent="0.15">
      <c r="A4" s="9">
        <v>89</v>
      </c>
      <c r="B4" s="3" t="s">
        <v>50</v>
      </c>
      <c r="C4" s="3"/>
      <c r="D4" s="9" t="s">
        <v>44</v>
      </c>
      <c r="E4" s="9"/>
      <c r="F4" s="5">
        <v>25</v>
      </c>
      <c r="G4" s="11">
        <v>0.89</v>
      </c>
      <c r="H4" s="11">
        <f>F4/G4</f>
        <v>28.089887640449437</v>
      </c>
      <c r="I4" s="11">
        <f>H4*0.681</f>
        <v>19.129213483146067</v>
      </c>
      <c r="J4" s="9">
        <f>IF(G4&gt;0,1,0)</f>
        <v>1</v>
      </c>
    </row>
    <row r="5" spans="1:11" x14ac:dyDescent="0.15">
      <c r="A5" s="9">
        <v>15</v>
      </c>
      <c r="B5" s="3" t="s">
        <v>43</v>
      </c>
      <c r="C5" s="3"/>
      <c r="D5" s="9" t="s">
        <v>44</v>
      </c>
      <c r="E5" s="9"/>
      <c r="F5" s="5">
        <v>30</v>
      </c>
      <c r="G5" s="11">
        <v>1.08</v>
      </c>
      <c r="H5" s="11">
        <f>F5/G5</f>
        <v>27.777777777777775</v>
      </c>
      <c r="I5" s="11">
        <f>H5*0.681</f>
        <v>18.916666666666668</v>
      </c>
      <c r="J5" s="9">
        <f>IF(G5&gt;0,1,0)</f>
        <v>1</v>
      </c>
    </row>
    <row r="6" spans="1:11" x14ac:dyDescent="0.15">
      <c r="A6" s="9">
        <v>86</v>
      </c>
      <c r="B6" s="3" t="s">
        <v>49</v>
      </c>
      <c r="C6" s="3"/>
      <c r="D6" s="9" t="s">
        <v>44</v>
      </c>
      <c r="E6" s="9"/>
      <c r="F6" s="5">
        <v>25</v>
      </c>
      <c r="G6" s="11">
        <v>0.95</v>
      </c>
      <c r="H6" s="11">
        <f>F6/G6</f>
        <v>26.315789473684212</v>
      </c>
      <c r="I6" s="11">
        <f>H6*0.681</f>
        <v>17.921052631578949</v>
      </c>
      <c r="J6" s="9">
        <f>IF(G6&gt;0,1,0)</f>
        <v>1</v>
      </c>
    </row>
    <row r="7" spans="1:11" x14ac:dyDescent="0.15">
      <c r="A7" s="9">
        <v>11</v>
      </c>
      <c r="B7" s="3" t="s">
        <v>43</v>
      </c>
      <c r="C7" s="3"/>
      <c r="D7" s="9" t="s">
        <v>44</v>
      </c>
      <c r="E7" s="9"/>
      <c r="F7" s="5">
        <v>30</v>
      </c>
      <c r="G7" s="11">
        <v>1.19</v>
      </c>
      <c r="H7" s="11">
        <f>F7/G7</f>
        <v>25.210084033613448</v>
      </c>
      <c r="I7" s="11">
        <f>H7*0.681</f>
        <v>17.168067226890759</v>
      </c>
      <c r="J7" s="9">
        <f>IF(G7&gt;0,1,0)</f>
        <v>1</v>
      </c>
    </row>
    <row r="8" spans="1:11" x14ac:dyDescent="0.15">
      <c r="A8" s="9">
        <v>109</v>
      </c>
      <c r="B8" s="3" t="s">
        <v>50</v>
      </c>
      <c r="C8" s="3"/>
      <c r="D8" s="9" t="s">
        <v>44</v>
      </c>
      <c r="E8" s="9"/>
      <c r="F8" s="5">
        <v>25</v>
      </c>
      <c r="G8" s="11">
        <v>1</v>
      </c>
      <c r="H8" s="11">
        <f>F8/G8</f>
        <v>25</v>
      </c>
      <c r="I8" s="11">
        <f>H8*0.681</f>
        <v>17.025000000000002</v>
      </c>
      <c r="J8" s="9">
        <f>IF(G8&gt;0,1,0)</f>
        <v>1</v>
      </c>
    </row>
    <row r="9" spans="1:11" x14ac:dyDescent="0.15">
      <c r="A9" s="9">
        <v>63</v>
      </c>
      <c r="B9" s="3" t="s">
        <v>49</v>
      </c>
      <c r="C9" s="3"/>
      <c r="D9" s="9" t="s">
        <v>44</v>
      </c>
      <c r="E9" s="9"/>
      <c r="F9" s="5">
        <v>25</v>
      </c>
      <c r="G9" s="11">
        <v>1</v>
      </c>
      <c r="H9" s="11">
        <f>F9/G9</f>
        <v>25</v>
      </c>
      <c r="I9" s="11">
        <f>H9*0.681</f>
        <v>17.025000000000002</v>
      </c>
      <c r="J9" s="9">
        <f>IF(G9&gt;0,1,0)</f>
        <v>1</v>
      </c>
    </row>
    <row r="10" spans="1:11" ht="15" thickBot="1" x14ac:dyDescent="0.2">
      <c r="A10" s="32">
        <v>44</v>
      </c>
      <c r="B10" s="33" t="s">
        <v>45</v>
      </c>
      <c r="C10" s="33"/>
      <c r="D10" s="32" t="s">
        <v>44</v>
      </c>
      <c r="E10" s="32"/>
      <c r="F10" s="34">
        <v>29</v>
      </c>
      <c r="G10" s="35">
        <v>1.17</v>
      </c>
      <c r="H10" s="35">
        <f>F10/G10</f>
        <v>24.786324786324787</v>
      </c>
      <c r="I10" s="35">
        <f>H10*0.681</f>
        <v>16.879487179487182</v>
      </c>
      <c r="J10" s="32">
        <f>IF(G10&gt;0,1,0)</f>
        <v>1</v>
      </c>
    </row>
    <row r="11" spans="1:11" s="62" customFormat="1" x14ac:dyDescent="0.15">
      <c r="A11" s="58">
        <v>45</v>
      </c>
      <c r="B11" s="59" t="s">
        <v>45</v>
      </c>
      <c r="C11" s="59"/>
      <c r="D11" s="58" t="s">
        <v>44</v>
      </c>
      <c r="E11" s="58"/>
      <c r="F11" s="60">
        <v>29</v>
      </c>
      <c r="G11" s="61">
        <v>1.17</v>
      </c>
      <c r="H11" s="61">
        <f>F11/G11</f>
        <v>24.786324786324787</v>
      </c>
      <c r="I11" s="61">
        <f>H11*0.681</f>
        <v>16.879487179487182</v>
      </c>
      <c r="J11" s="58">
        <f>IF(G11&gt;0,1,0)</f>
        <v>1</v>
      </c>
      <c r="K11" s="62" t="s">
        <v>63</v>
      </c>
    </row>
    <row r="12" spans="1:11" x14ac:dyDescent="0.15">
      <c r="A12" s="9">
        <v>87</v>
      </c>
      <c r="B12" s="3" t="s">
        <v>49</v>
      </c>
      <c r="C12" s="3"/>
      <c r="D12" s="9" t="s">
        <v>44</v>
      </c>
      <c r="E12" s="9"/>
      <c r="F12" s="5">
        <v>25</v>
      </c>
      <c r="G12" s="11">
        <v>1.01</v>
      </c>
      <c r="H12" s="11">
        <f>F12/G12</f>
        <v>24.752475247524753</v>
      </c>
      <c r="I12" s="11">
        <f>H12*0.681</f>
        <v>16.856435643564357</v>
      </c>
      <c r="J12" s="9">
        <f>IF(G12&gt;0,1,0)</f>
        <v>1</v>
      </c>
    </row>
    <row r="13" spans="1:11" x14ac:dyDescent="0.15">
      <c r="A13" s="9">
        <v>46</v>
      </c>
      <c r="B13" s="3" t="s">
        <v>45</v>
      </c>
      <c r="C13" s="3"/>
      <c r="D13" s="9" t="s">
        <v>44</v>
      </c>
      <c r="E13" s="9"/>
      <c r="F13" s="5">
        <v>29</v>
      </c>
      <c r="G13" s="11">
        <v>1.18</v>
      </c>
      <c r="H13" s="11">
        <f>F13/G13</f>
        <v>24.576271186440678</v>
      </c>
      <c r="I13" s="11">
        <f>H13*0.681</f>
        <v>16.736440677966105</v>
      </c>
      <c r="J13" s="9">
        <f>IF(G13&gt;0,1,0)</f>
        <v>1</v>
      </c>
    </row>
    <row r="14" spans="1:11" x14ac:dyDescent="0.15">
      <c r="A14" s="9">
        <v>1</v>
      </c>
      <c r="B14" s="3" t="s">
        <v>43</v>
      </c>
      <c r="C14" s="3"/>
      <c r="D14" s="9" t="s">
        <v>44</v>
      </c>
      <c r="E14" s="9"/>
      <c r="F14" s="5">
        <v>30</v>
      </c>
      <c r="G14" s="11">
        <v>1.23</v>
      </c>
      <c r="H14" s="11">
        <f>F14/G14</f>
        <v>24.390243902439025</v>
      </c>
      <c r="I14" s="11">
        <f>H14*0.681</f>
        <v>16.609756097560979</v>
      </c>
      <c r="J14" s="9">
        <f>IF(G14&gt;0,1,0)</f>
        <v>1</v>
      </c>
    </row>
    <row r="15" spans="1:11" x14ac:dyDescent="0.15">
      <c r="A15" s="9">
        <v>69</v>
      </c>
      <c r="B15" s="3" t="s">
        <v>49</v>
      </c>
      <c r="C15" s="3"/>
      <c r="D15" s="9" t="s">
        <v>44</v>
      </c>
      <c r="E15" s="9"/>
      <c r="F15" s="5">
        <v>25</v>
      </c>
      <c r="G15" s="11">
        <v>1.03</v>
      </c>
      <c r="H15" s="11">
        <f>F15/G15</f>
        <v>24.271844660194173</v>
      </c>
      <c r="I15" s="11">
        <f>H15*0.681</f>
        <v>16.529126213592232</v>
      </c>
      <c r="J15" s="9">
        <f>IF(G15&gt;0,1,0)</f>
        <v>1</v>
      </c>
    </row>
    <row r="16" spans="1:11" x14ac:dyDescent="0.15">
      <c r="A16" s="9">
        <v>71</v>
      </c>
      <c r="B16" s="3" t="s">
        <v>49</v>
      </c>
      <c r="C16" s="3"/>
      <c r="D16" s="9" t="s">
        <v>44</v>
      </c>
      <c r="E16" s="9"/>
      <c r="F16" s="5">
        <v>25</v>
      </c>
      <c r="G16" s="11">
        <v>1.03</v>
      </c>
      <c r="H16" s="11">
        <f>F16/G16</f>
        <v>24.271844660194173</v>
      </c>
      <c r="I16" s="11">
        <f>H16*0.681</f>
        <v>16.529126213592232</v>
      </c>
      <c r="J16" s="9">
        <f>IF(G16&gt;0,1,0)</f>
        <v>1</v>
      </c>
    </row>
    <row r="17" spans="1:10" x14ac:dyDescent="0.15">
      <c r="A17" s="9">
        <v>72</v>
      </c>
      <c r="B17" s="3" t="s">
        <v>49</v>
      </c>
      <c r="C17" s="3"/>
      <c r="D17" s="9" t="s">
        <v>44</v>
      </c>
      <c r="E17" s="9"/>
      <c r="F17" s="5">
        <v>25</v>
      </c>
      <c r="G17" s="11">
        <v>1.03</v>
      </c>
      <c r="H17" s="11">
        <f>F17/G17</f>
        <v>24.271844660194173</v>
      </c>
      <c r="I17" s="11">
        <f>H17*0.681</f>
        <v>16.529126213592232</v>
      </c>
      <c r="J17" s="9">
        <f>IF(G17&gt;0,1,0)</f>
        <v>1</v>
      </c>
    </row>
    <row r="18" spans="1:10" x14ac:dyDescent="0.15">
      <c r="A18" s="9">
        <v>73</v>
      </c>
      <c r="B18" s="3" t="s">
        <v>49</v>
      </c>
      <c r="C18" s="3"/>
      <c r="D18" s="9" t="s">
        <v>44</v>
      </c>
      <c r="E18" s="9"/>
      <c r="F18" s="5">
        <v>25</v>
      </c>
      <c r="G18" s="11">
        <v>1.03</v>
      </c>
      <c r="H18" s="11">
        <f>F18/G18</f>
        <v>24.271844660194173</v>
      </c>
      <c r="I18" s="11">
        <f>H18*0.681</f>
        <v>16.529126213592232</v>
      </c>
      <c r="J18" s="9">
        <f>IF(G18&gt;0,1,0)</f>
        <v>1</v>
      </c>
    </row>
    <row r="19" spans="1:10" x14ac:dyDescent="0.15">
      <c r="A19" s="9">
        <v>6</v>
      </c>
      <c r="B19" s="3" t="s">
        <v>43</v>
      </c>
      <c r="C19" s="3"/>
      <c r="D19" s="9" t="s">
        <v>44</v>
      </c>
      <c r="E19" s="9"/>
      <c r="F19" s="5">
        <v>30</v>
      </c>
      <c r="G19" s="11">
        <v>1.25</v>
      </c>
      <c r="H19" s="11">
        <f>F19/G19</f>
        <v>24</v>
      </c>
      <c r="I19" s="11">
        <f>H19*0.681</f>
        <v>16.344000000000001</v>
      </c>
      <c r="J19" s="9">
        <f>IF(G19&gt;0,1,0)</f>
        <v>1</v>
      </c>
    </row>
    <row r="20" spans="1:10" x14ac:dyDescent="0.15">
      <c r="A20" s="9">
        <v>16</v>
      </c>
      <c r="B20" s="3" t="s">
        <v>43</v>
      </c>
      <c r="C20" s="3"/>
      <c r="D20" s="9" t="s">
        <v>44</v>
      </c>
      <c r="E20" s="9"/>
      <c r="F20" s="5">
        <v>30</v>
      </c>
      <c r="G20" s="11">
        <v>1.26</v>
      </c>
      <c r="H20" s="11">
        <f>F20/G20</f>
        <v>23.80952380952381</v>
      </c>
      <c r="I20" s="11">
        <f>H20*0.681</f>
        <v>16.214285714285715</v>
      </c>
      <c r="J20" s="9">
        <f>IF(G20&gt;0,1,0)</f>
        <v>1</v>
      </c>
    </row>
    <row r="21" spans="1:10" x14ac:dyDescent="0.15">
      <c r="A21" s="9">
        <v>108</v>
      </c>
      <c r="B21" s="3" t="s">
        <v>50</v>
      </c>
      <c r="C21" s="3"/>
      <c r="D21" s="9" t="s">
        <v>44</v>
      </c>
      <c r="E21" s="9"/>
      <c r="F21" s="5">
        <v>25</v>
      </c>
      <c r="G21" s="11">
        <v>1.05</v>
      </c>
      <c r="H21" s="11">
        <f>F21/G21</f>
        <v>23.80952380952381</v>
      </c>
      <c r="I21" s="11">
        <f>H21*0.681</f>
        <v>16.214285714285715</v>
      </c>
      <c r="J21" s="9">
        <f>IF(G21&gt;0,1,0)</f>
        <v>1</v>
      </c>
    </row>
    <row r="22" spans="1:10" x14ac:dyDescent="0.15">
      <c r="A22" s="9">
        <v>90</v>
      </c>
      <c r="B22" s="3" t="s">
        <v>50</v>
      </c>
      <c r="C22" s="3"/>
      <c r="D22" s="9" t="s">
        <v>44</v>
      </c>
      <c r="E22" s="9"/>
      <c r="F22" s="5">
        <v>25</v>
      </c>
      <c r="G22" s="11">
        <v>1.1000000000000001</v>
      </c>
      <c r="H22" s="11">
        <f>F22/G22</f>
        <v>22.727272727272727</v>
      </c>
      <c r="I22" s="11">
        <f>H22*0.681</f>
        <v>15.477272727272728</v>
      </c>
      <c r="J22" s="9">
        <f>IF(G22&gt;0,1,0)</f>
        <v>1</v>
      </c>
    </row>
    <row r="23" spans="1:10" x14ac:dyDescent="0.15">
      <c r="A23" s="9">
        <v>2</v>
      </c>
      <c r="B23" s="3" t="s">
        <v>43</v>
      </c>
      <c r="C23" s="3"/>
      <c r="D23" s="9" t="s">
        <v>44</v>
      </c>
      <c r="E23" s="9"/>
      <c r="F23" s="5">
        <v>30</v>
      </c>
      <c r="G23" s="11">
        <v>1.33</v>
      </c>
      <c r="H23" s="11">
        <f>F23/G23</f>
        <v>22.556390977443609</v>
      </c>
      <c r="I23" s="11">
        <f>H23*0.681</f>
        <v>15.360902255639099</v>
      </c>
      <c r="J23" s="9">
        <f>IF(G23&gt;0,1,0)</f>
        <v>1</v>
      </c>
    </row>
    <row r="24" spans="1:10" x14ac:dyDescent="0.15">
      <c r="A24" s="9">
        <v>74</v>
      </c>
      <c r="B24" s="3" t="s">
        <v>49</v>
      </c>
      <c r="C24" s="3"/>
      <c r="D24" s="9" t="s">
        <v>44</v>
      </c>
      <c r="E24" s="9"/>
      <c r="F24" s="5">
        <v>25</v>
      </c>
      <c r="G24" s="11">
        <v>1.1200000000000001</v>
      </c>
      <c r="H24" s="11">
        <f>F24/G24</f>
        <v>22.321428571428569</v>
      </c>
      <c r="I24" s="11">
        <f>H24*0.681</f>
        <v>15.200892857142858</v>
      </c>
      <c r="J24" s="9">
        <f>IF(G24&gt;0,1,0)</f>
        <v>1</v>
      </c>
    </row>
    <row r="25" spans="1:10" x14ac:dyDescent="0.15">
      <c r="A25" s="9">
        <v>104</v>
      </c>
      <c r="B25" s="3" t="s">
        <v>50</v>
      </c>
      <c r="C25" s="3"/>
      <c r="D25" s="9" t="s">
        <v>44</v>
      </c>
      <c r="E25" s="9"/>
      <c r="F25" s="5">
        <v>25</v>
      </c>
      <c r="G25" s="11">
        <v>1.1299999999999999</v>
      </c>
      <c r="H25" s="11">
        <f>F25/G25</f>
        <v>22.123893805309738</v>
      </c>
      <c r="I25" s="11">
        <f>H25*0.681</f>
        <v>15.066371681415932</v>
      </c>
      <c r="J25" s="9">
        <f>IF(G25&gt;0,1,0)</f>
        <v>1</v>
      </c>
    </row>
    <row r="26" spans="1:10" x14ac:dyDescent="0.15">
      <c r="A26" s="9">
        <v>47</v>
      </c>
      <c r="B26" s="3" t="s">
        <v>45</v>
      </c>
      <c r="C26" s="3"/>
      <c r="D26" s="9" t="s">
        <v>44</v>
      </c>
      <c r="E26" s="9"/>
      <c r="F26" s="5">
        <v>29</v>
      </c>
      <c r="G26" s="11">
        <v>1.32</v>
      </c>
      <c r="H26" s="11">
        <f>F26/G26</f>
        <v>21.969696969696969</v>
      </c>
      <c r="I26" s="11">
        <f>H26*0.681</f>
        <v>14.961363636363638</v>
      </c>
      <c r="J26" s="9">
        <f>IF(G26&gt;0,1,0)</f>
        <v>1</v>
      </c>
    </row>
    <row r="27" spans="1:10" x14ac:dyDescent="0.15">
      <c r="A27" s="9">
        <v>7</v>
      </c>
      <c r="B27" s="3" t="s">
        <v>43</v>
      </c>
      <c r="C27" s="3"/>
      <c r="D27" s="9" t="s">
        <v>44</v>
      </c>
      <c r="E27" s="9"/>
      <c r="F27" s="5">
        <v>30</v>
      </c>
      <c r="G27" s="11">
        <v>1.38</v>
      </c>
      <c r="H27" s="11">
        <f>F27/G27</f>
        <v>21.739130434782609</v>
      </c>
      <c r="I27" s="11">
        <f>H27*0.681</f>
        <v>14.804347826086959</v>
      </c>
      <c r="J27" s="9">
        <f>IF(G27&gt;0,1,0)</f>
        <v>1</v>
      </c>
    </row>
    <row r="28" spans="1:10" x14ac:dyDescent="0.15">
      <c r="A28" s="9">
        <v>8</v>
      </c>
      <c r="B28" s="3" t="s">
        <v>43</v>
      </c>
      <c r="C28" s="3"/>
      <c r="D28" s="9" t="s">
        <v>44</v>
      </c>
      <c r="E28" s="9"/>
      <c r="F28" s="5">
        <v>30</v>
      </c>
      <c r="G28" s="11">
        <v>1.38</v>
      </c>
      <c r="H28" s="11">
        <f>F28/G28</f>
        <v>21.739130434782609</v>
      </c>
      <c r="I28" s="11">
        <f>H28*0.681</f>
        <v>14.804347826086959</v>
      </c>
      <c r="J28" s="9">
        <f>IF(G28&gt;0,1,0)</f>
        <v>1</v>
      </c>
    </row>
    <row r="29" spans="1:10" x14ac:dyDescent="0.15">
      <c r="A29" s="9">
        <v>14</v>
      </c>
      <c r="B29" s="3" t="s">
        <v>43</v>
      </c>
      <c r="C29" s="3"/>
      <c r="D29" s="9" t="s">
        <v>44</v>
      </c>
      <c r="E29" s="9"/>
      <c r="F29" s="5">
        <v>30</v>
      </c>
      <c r="G29" s="11">
        <v>1.38</v>
      </c>
      <c r="H29" s="11">
        <f>F29/G29</f>
        <v>21.739130434782609</v>
      </c>
      <c r="I29" s="11">
        <f>H29*0.681</f>
        <v>14.804347826086959</v>
      </c>
      <c r="J29" s="9">
        <f>IF(G29&gt;0,1,0)</f>
        <v>1</v>
      </c>
    </row>
    <row r="30" spans="1:10" x14ac:dyDescent="0.15">
      <c r="A30" s="9">
        <v>102</v>
      </c>
      <c r="B30" s="3" t="s">
        <v>50</v>
      </c>
      <c r="C30" s="3"/>
      <c r="D30" s="9" t="s">
        <v>44</v>
      </c>
      <c r="E30" s="9"/>
      <c r="F30" s="5">
        <v>25</v>
      </c>
      <c r="G30" s="11">
        <v>1.1499999999999999</v>
      </c>
      <c r="H30" s="11">
        <f>F30/G30</f>
        <v>21.739130434782609</v>
      </c>
      <c r="I30" s="11">
        <f>H30*0.681</f>
        <v>14.804347826086959</v>
      </c>
      <c r="J30" s="9">
        <f>IF(G30&gt;0,1,0)</f>
        <v>1</v>
      </c>
    </row>
    <row r="31" spans="1:10" x14ac:dyDescent="0.15">
      <c r="A31" s="9">
        <v>64</v>
      </c>
      <c r="B31" s="3" t="s">
        <v>49</v>
      </c>
      <c r="C31" s="3"/>
      <c r="D31" s="9" t="s">
        <v>44</v>
      </c>
      <c r="E31" s="9"/>
      <c r="F31" s="5">
        <v>25</v>
      </c>
      <c r="G31" s="11">
        <v>1.1499999999999999</v>
      </c>
      <c r="H31" s="11">
        <f>F31/G31</f>
        <v>21.739130434782609</v>
      </c>
      <c r="I31" s="11">
        <f>H31*0.681</f>
        <v>14.804347826086959</v>
      </c>
      <c r="J31" s="9">
        <f>IF(G31&gt;0,1,0)</f>
        <v>1</v>
      </c>
    </row>
    <row r="32" spans="1:10" x14ac:dyDescent="0.15">
      <c r="A32" s="9">
        <v>65</v>
      </c>
      <c r="B32" s="3" t="s">
        <v>49</v>
      </c>
      <c r="C32" s="3"/>
      <c r="D32" s="9" t="s">
        <v>44</v>
      </c>
      <c r="E32" s="9"/>
      <c r="F32" s="5">
        <v>25</v>
      </c>
      <c r="G32" s="11">
        <v>1.1499999999999999</v>
      </c>
      <c r="H32" s="11">
        <f>F32/G32</f>
        <v>21.739130434782609</v>
      </c>
      <c r="I32" s="11">
        <f>H32*0.681</f>
        <v>14.804347826086959</v>
      </c>
      <c r="J32" s="9">
        <f>IF(G32&gt;0,1,0)</f>
        <v>1</v>
      </c>
    </row>
    <row r="33" spans="1:10" x14ac:dyDescent="0.15">
      <c r="A33" s="9">
        <v>20</v>
      </c>
      <c r="B33" s="3" t="s">
        <v>43</v>
      </c>
      <c r="C33" s="3"/>
      <c r="D33" s="9" t="s">
        <v>44</v>
      </c>
      <c r="E33" s="9"/>
      <c r="F33" s="5">
        <v>30</v>
      </c>
      <c r="G33" s="11">
        <v>1.39</v>
      </c>
      <c r="H33" s="11">
        <f>F33/G33</f>
        <v>21.582733812949641</v>
      </c>
      <c r="I33" s="11">
        <f>H33*0.681</f>
        <v>14.697841726618707</v>
      </c>
      <c r="J33" s="9">
        <f>IF(G33&gt;0,1,0)</f>
        <v>1</v>
      </c>
    </row>
    <row r="34" spans="1:10" x14ac:dyDescent="0.15">
      <c r="A34" s="9">
        <v>75</v>
      </c>
      <c r="B34" s="3" t="s">
        <v>49</v>
      </c>
      <c r="C34" s="3"/>
      <c r="D34" s="9" t="s">
        <v>44</v>
      </c>
      <c r="E34" s="9"/>
      <c r="F34" s="5">
        <v>25</v>
      </c>
      <c r="G34" s="11">
        <v>1.18</v>
      </c>
      <c r="H34" s="11">
        <f>F34/G34</f>
        <v>21.186440677966104</v>
      </c>
      <c r="I34" s="11">
        <f>H34*0.681</f>
        <v>14.427966101694917</v>
      </c>
      <c r="J34" s="9">
        <f>IF(G34&gt;0,1,0)</f>
        <v>1</v>
      </c>
    </row>
    <row r="35" spans="1:10" x14ac:dyDescent="0.15">
      <c r="A35" s="9">
        <v>76</v>
      </c>
      <c r="B35" s="3" t="s">
        <v>49</v>
      </c>
      <c r="C35" s="3"/>
      <c r="D35" s="9" t="s">
        <v>44</v>
      </c>
      <c r="E35" s="9"/>
      <c r="F35" s="5">
        <v>25</v>
      </c>
      <c r="G35" s="11">
        <v>1.18</v>
      </c>
      <c r="H35" s="11">
        <f>F35/G35</f>
        <v>21.186440677966104</v>
      </c>
      <c r="I35" s="11">
        <f>H35*0.681</f>
        <v>14.427966101694917</v>
      </c>
      <c r="J35" s="9">
        <f>IF(G35&gt;0,1,0)</f>
        <v>1</v>
      </c>
    </row>
    <row r="36" spans="1:10" x14ac:dyDescent="0.15">
      <c r="A36" s="9">
        <v>54</v>
      </c>
      <c r="B36" s="3" t="s">
        <v>46</v>
      </c>
      <c r="C36" s="3"/>
      <c r="D36" s="9" t="s">
        <v>44</v>
      </c>
      <c r="E36" s="9"/>
      <c r="F36" s="5">
        <v>27</v>
      </c>
      <c r="G36" s="11">
        <v>1.28</v>
      </c>
      <c r="H36" s="11">
        <f>F36/G36</f>
        <v>21.09375</v>
      </c>
      <c r="I36" s="11">
        <f>H36*0.681</f>
        <v>14.36484375</v>
      </c>
      <c r="J36" s="9">
        <f>IF(G36&gt;0,1,0)</f>
        <v>1</v>
      </c>
    </row>
    <row r="37" spans="1:10" x14ac:dyDescent="0.15">
      <c r="A37" s="9">
        <v>53</v>
      </c>
      <c r="B37" s="3" t="s">
        <v>46</v>
      </c>
      <c r="C37" s="3"/>
      <c r="D37" s="9" t="s">
        <v>44</v>
      </c>
      <c r="E37" s="9"/>
      <c r="F37" s="5">
        <v>27</v>
      </c>
      <c r="G37" s="11">
        <v>1.29</v>
      </c>
      <c r="H37" s="11">
        <f>F37/G37</f>
        <v>20.930232558139533</v>
      </c>
      <c r="I37" s="11">
        <f>H37*0.681</f>
        <v>14.253488372093024</v>
      </c>
      <c r="J37" s="9">
        <f>IF(G37&gt;0,1,0)</f>
        <v>1</v>
      </c>
    </row>
    <row r="38" spans="1:10" x14ac:dyDescent="0.15">
      <c r="A38" s="9">
        <v>77</v>
      </c>
      <c r="B38" s="3" t="s">
        <v>49</v>
      </c>
      <c r="C38" s="3"/>
      <c r="D38" s="9" t="s">
        <v>44</v>
      </c>
      <c r="E38" s="9"/>
      <c r="F38" s="5">
        <v>25</v>
      </c>
      <c r="G38" s="11">
        <v>1.21</v>
      </c>
      <c r="H38" s="11">
        <f>F38/G38</f>
        <v>20.66115702479339</v>
      </c>
      <c r="I38" s="11">
        <f>H38*0.681</f>
        <v>14.0702479338843</v>
      </c>
      <c r="J38" s="9">
        <f>IF(G38&gt;0,1,0)</f>
        <v>1</v>
      </c>
    </row>
    <row r="39" spans="1:10" x14ac:dyDescent="0.15">
      <c r="A39" s="9">
        <v>79</v>
      </c>
      <c r="B39" s="3" t="s">
        <v>49</v>
      </c>
      <c r="C39" s="3"/>
      <c r="D39" s="9" t="s">
        <v>44</v>
      </c>
      <c r="E39" s="9"/>
      <c r="F39" s="5">
        <v>25</v>
      </c>
      <c r="G39" s="11">
        <v>1.23</v>
      </c>
      <c r="H39" s="11">
        <f>F39/G39</f>
        <v>20.325203252032519</v>
      </c>
      <c r="I39" s="11">
        <f>H39*0.681</f>
        <v>13.841463414634147</v>
      </c>
      <c r="J39" s="9">
        <f>IF(G39&gt;0,1,0)</f>
        <v>1</v>
      </c>
    </row>
    <row r="40" spans="1:10" x14ac:dyDescent="0.15">
      <c r="A40" s="9">
        <v>21</v>
      </c>
      <c r="B40" s="3" t="s">
        <v>43</v>
      </c>
      <c r="C40" s="3"/>
      <c r="D40" s="9" t="s">
        <v>44</v>
      </c>
      <c r="E40" s="9"/>
      <c r="F40" s="5">
        <v>30</v>
      </c>
      <c r="G40" s="11">
        <v>1.48</v>
      </c>
      <c r="H40" s="11">
        <f>F40/G40</f>
        <v>20.27027027027027</v>
      </c>
      <c r="I40" s="11">
        <f>H40*0.681</f>
        <v>13.804054054054054</v>
      </c>
      <c r="J40" s="9">
        <f>IF(G40&gt;0,1,0)</f>
        <v>1</v>
      </c>
    </row>
    <row r="41" spans="1:10" x14ac:dyDescent="0.15">
      <c r="A41" s="9">
        <v>62</v>
      </c>
      <c r="B41" s="3" t="s">
        <v>49</v>
      </c>
      <c r="C41" s="3"/>
      <c r="D41" s="9" t="s">
        <v>44</v>
      </c>
      <c r="E41" s="9"/>
      <c r="F41" s="5">
        <v>25</v>
      </c>
      <c r="G41" s="11">
        <v>1.24</v>
      </c>
      <c r="H41" s="11">
        <f>F41/G41</f>
        <v>20.161290322580644</v>
      </c>
      <c r="I41" s="11">
        <f>H41*0.681</f>
        <v>13.72983870967742</v>
      </c>
      <c r="J41" s="9">
        <f>IF(G41&gt;0,1,0)</f>
        <v>1</v>
      </c>
    </row>
    <row r="42" spans="1:10" x14ac:dyDescent="0.15">
      <c r="A42" s="9">
        <v>25</v>
      </c>
      <c r="B42" s="3" t="s">
        <v>43</v>
      </c>
      <c r="C42" s="3"/>
      <c r="D42" s="9" t="s">
        <v>44</v>
      </c>
      <c r="E42" s="9"/>
      <c r="F42" s="5">
        <v>30</v>
      </c>
      <c r="G42" s="11">
        <v>1.49</v>
      </c>
      <c r="H42" s="11">
        <f>F42/G42</f>
        <v>20.134228187919462</v>
      </c>
      <c r="I42" s="11">
        <f>H42*0.681</f>
        <v>13.711409395973154</v>
      </c>
      <c r="J42" s="9">
        <f>IF(G42&gt;0,1,0)</f>
        <v>1</v>
      </c>
    </row>
    <row r="43" spans="1:10" x14ac:dyDescent="0.15">
      <c r="A43" s="9">
        <v>107</v>
      </c>
      <c r="B43" s="3" t="s">
        <v>50</v>
      </c>
      <c r="C43" s="3"/>
      <c r="D43" s="9" t="s">
        <v>44</v>
      </c>
      <c r="E43" s="9"/>
      <c r="F43" s="5">
        <v>25</v>
      </c>
      <c r="G43" s="11">
        <v>1.25</v>
      </c>
      <c r="H43" s="11">
        <f>F43/G43</f>
        <v>20</v>
      </c>
      <c r="I43" s="11">
        <f>H43*0.681</f>
        <v>13.620000000000001</v>
      </c>
      <c r="J43" s="9">
        <f>IF(G43&gt;0,1,0)</f>
        <v>1</v>
      </c>
    </row>
    <row r="44" spans="1:10" x14ac:dyDescent="0.15">
      <c r="A44" s="9">
        <v>60</v>
      </c>
      <c r="B44" s="3" t="s">
        <v>46</v>
      </c>
      <c r="C44" s="3"/>
      <c r="D44" s="9" t="s">
        <v>44</v>
      </c>
      <c r="E44" s="9"/>
      <c r="F44" s="5">
        <v>27</v>
      </c>
      <c r="G44" s="11">
        <v>1.35</v>
      </c>
      <c r="H44" s="11">
        <f>F44/G44</f>
        <v>20</v>
      </c>
      <c r="I44" s="11">
        <f>H44*0.681</f>
        <v>13.620000000000001</v>
      </c>
      <c r="J44" s="9">
        <f>IF(G44&gt;0,1,0)</f>
        <v>1</v>
      </c>
    </row>
    <row r="45" spans="1:10" x14ac:dyDescent="0.15">
      <c r="A45" s="9">
        <v>12</v>
      </c>
      <c r="B45" s="3" t="s">
        <v>43</v>
      </c>
      <c r="C45" s="3"/>
      <c r="D45" s="9" t="s">
        <v>44</v>
      </c>
      <c r="E45" s="9"/>
      <c r="F45" s="5">
        <v>30</v>
      </c>
      <c r="G45" s="11">
        <v>1.51</v>
      </c>
      <c r="H45" s="11">
        <f>F45/G45</f>
        <v>19.867549668874172</v>
      </c>
      <c r="I45" s="11">
        <f>H45*0.681</f>
        <v>13.529801324503312</v>
      </c>
      <c r="J45" s="9">
        <f>IF(G45&gt;0,1,0)</f>
        <v>1</v>
      </c>
    </row>
    <row r="46" spans="1:10" x14ac:dyDescent="0.15">
      <c r="A46" s="9">
        <v>83</v>
      </c>
      <c r="B46" s="3" t="s">
        <v>49</v>
      </c>
      <c r="C46" s="3"/>
      <c r="D46" s="9" t="s">
        <v>44</v>
      </c>
      <c r="E46" s="9"/>
      <c r="F46" s="5">
        <v>25</v>
      </c>
      <c r="G46" s="11">
        <v>1.26</v>
      </c>
      <c r="H46" s="11">
        <f>F46/G46</f>
        <v>19.841269841269842</v>
      </c>
      <c r="I46" s="11">
        <f>H46*0.681</f>
        <v>13.511904761904763</v>
      </c>
      <c r="J46" s="9">
        <f>IF(G46&gt;0,1,0)</f>
        <v>1</v>
      </c>
    </row>
    <row r="47" spans="1:10" x14ac:dyDescent="0.15">
      <c r="A47" s="9">
        <v>24</v>
      </c>
      <c r="B47" s="3" t="s">
        <v>43</v>
      </c>
      <c r="C47" s="3"/>
      <c r="D47" s="9" t="s">
        <v>44</v>
      </c>
      <c r="E47" s="9"/>
      <c r="F47" s="5">
        <v>30</v>
      </c>
      <c r="G47" s="11">
        <v>1.53</v>
      </c>
      <c r="H47" s="11">
        <f>F47/G47</f>
        <v>19.607843137254903</v>
      </c>
      <c r="I47" s="11">
        <f>H47*0.681</f>
        <v>13.352941176470591</v>
      </c>
      <c r="J47" s="9">
        <f>IF(G47&gt;0,1,0)</f>
        <v>1</v>
      </c>
    </row>
    <row r="48" spans="1:10" x14ac:dyDescent="0.15">
      <c r="A48" s="9">
        <v>50</v>
      </c>
      <c r="B48" s="3" t="s">
        <v>45</v>
      </c>
      <c r="C48" s="3"/>
      <c r="D48" s="9" t="s">
        <v>44</v>
      </c>
      <c r="E48" s="9"/>
      <c r="F48" s="5">
        <v>29</v>
      </c>
      <c r="G48" s="11">
        <v>1.5</v>
      </c>
      <c r="H48" s="11">
        <f>F48/G48</f>
        <v>19.333333333333332</v>
      </c>
      <c r="I48" s="11">
        <f>H48*0.681</f>
        <v>13.166</v>
      </c>
      <c r="J48" s="9">
        <f>IF(G48&gt;0,1,0)</f>
        <v>1</v>
      </c>
    </row>
    <row r="49" spans="1:10" x14ac:dyDescent="0.15">
      <c r="A49" s="9">
        <v>96</v>
      </c>
      <c r="B49" s="3" t="s">
        <v>50</v>
      </c>
      <c r="C49" s="3"/>
      <c r="D49" s="9" t="s">
        <v>44</v>
      </c>
      <c r="E49" s="9"/>
      <c r="F49" s="5">
        <v>25</v>
      </c>
      <c r="G49" s="11">
        <v>1.3</v>
      </c>
      <c r="H49" s="11">
        <f>F49/G49</f>
        <v>19.23076923076923</v>
      </c>
      <c r="I49" s="11">
        <f>H49*0.681</f>
        <v>13.096153846153847</v>
      </c>
      <c r="J49" s="9">
        <f>IF(G49&gt;0,1,0)</f>
        <v>1</v>
      </c>
    </row>
    <row r="50" spans="1:10" x14ac:dyDescent="0.15">
      <c r="A50" s="9">
        <v>5</v>
      </c>
      <c r="B50" s="3" t="s">
        <v>43</v>
      </c>
      <c r="C50" s="3"/>
      <c r="D50" s="9" t="s">
        <v>44</v>
      </c>
      <c r="E50" s="9"/>
      <c r="F50" s="5">
        <v>30</v>
      </c>
      <c r="G50" s="11">
        <v>1.57</v>
      </c>
      <c r="H50" s="11">
        <f>F50/G50</f>
        <v>19.108280254777068</v>
      </c>
      <c r="I50" s="11">
        <f>H50*0.681</f>
        <v>13.012738853503183</v>
      </c>
      <c r="J50" s="9">
        <f>IF(G50&gt;0,1,0)</f>
        <v>1</v>
      </c>
    </row>
    <row r="51" spans="1:10" x14ac:dyDescent="0.15">
      <c r="A51" s="9">
        <v>55</v>
      </c>
      <c r="B51" s="3" t="s">
        <v>46</v>
      </c>
      <c r="C51" s="3"/>
      <c r="D51" s="9" t="s">
        <v>44</v>
      </c>
      <c r="E51" s="9"/>
      <c r="F51" s="5">
        <v>27</v>
      </c>
      <c r="G51" s="11">
        <v>1.43</v>
      </c>
      <c r="H51" s="11">
        <f>F51/G51</f>
        <v>18.881118881118883</v>
      </c>
      <c r="I51" s="11">
        <f>H51*0.681</f>
        <v>12.85804195804196</v>
      </c>
      <c r="J51" s="9">
        <f>IF(G51&gt;0,1,0)</f>
        <v>1</v>
      </c>
    </row>
    <row r="52" spans="1:10" x14ac:dyDescent="0.15">
      <c r="A52" s="9">
        <v>52</v>
      </c>
      <c r="B52" s="3" t="s">
        <v>46</v>
      </c>
      <c r="C52" s="3"/>
      <c r="D52" s="9" t="s">
        <v>44</v>
      </c>
      <c r="E52" s="9"/>
      <c r="F52" s="5">
        <v>27</v>
      </c>
      <c r="G52" s="11">
        <v>1.44</v>
      </c>
      <c r="H52" s="11">
        <f>F52/G52</f>
        <v>18.75</v>
      </c>
      <c r="I52" s="11">
        <f>H52*0.681</f>
        <v>12.768750000000001</v>
      </c>
      <c r="J52" s="9">
        <f>IF(G52&gt;0,1,0)</f>
        <v>1</v>
      </c>
    </row>
    <row r="53" spans="1:10" x14ac:dyDescent="0.15">
      <c r="A53" s="9">
        <v>59</v>
      </c>
      <c r="B53" s="3" t="s">
        <v>46</v>
      </c>
      <c r="C53" s="3"/>
      <c r="D53" s="9" t="s">
        <v>44</v>
      </c>
      <c r="E53" s="9"/>
      <c r="F53" s="5">
        <v>27</v>
      </c>
      <c r="G53" s="11">
        <v>1.45</v>
      </c>
      <c r="H53" s="11">
        <f>F53/G53</f>
        <v>18.620689655172413</v>
      </c>
      <c r="I53" s="11">
        <f>H53*0.681</f>
        <v>12.680689655172413</v>
      </c>
      <c r="J53" s="9">
        <f>IF(G53&gt;0,1,0)</f>
        <v>1</v>
      </c>
    </row>
    <row r="54" spans="1:10" x14ac:dyDescent="0.15">
      <c r="A54" s="9">
        <v>28</v>
      </c>
      <c r="B54" s="3" t="s">
        <v>45</v>
      </c>
      <c r="C54" s="3"/>
      <c r="D54" s="9" t="s">
        <v>44</v>
      </c>
      <c r="E54" s="9"/>
      <c r="F54" s="5">
        <v>29</v>
      </c>
      <c r="G54" s="11">
        <v>1.56</v>
      </c>
      <c r="H54" s="11">
        <f>F54/G54</f>
        <v>18.589743589743588</v>
      </c>
      <c r="I54" s="11">
        <f>H54*0.681</f>
        <v>12.659615384615384</v>
      </c>
      <c r="J54" s="9">
        <f>IF(G54&gt;0,1,0)</f>
        <v>1</v>
      </c>
    </row>
    <row r="55" spans="1:10" x14ac:dyDescent="0.15">
      <c r="A55" s="9">
        <v>114</v>
      </c>
      <c r="B55" s="3" t="s">
        <v>50</v>
      </c>
      <c r="C55" s="3"/>
      <c r="D55" s="9" t="s">
        <v>44</v>
      </c>
      <c r="E55" s="9"/>
      <c r="F55" s="5">
        <v>25</v>
      </c>
      <c r="G55" s="11">
        <v>1.35</v>
      </c>
      <c r="H55" s="11">
        <f>F55/G55</f>
        <v>18.518518518518519</v>
      </c>
      <c r="I55" s="11">
        <f>H55*0.681</f>
        <v>12.611111111111112</v>
      </c>
      <c r="J55" s="9">
        <f>IF(G55&gt;0,1,0)</f>
        <v>1</v>
      </c>
    </row>
    <row r="56" spans="1:10" x14ac:dyDescent="0.15">
      <c r="A56" s="9">
        <v>78</v>
      </c>
      <c r="B56" s="3" t="s">
        <v>49</v>
      </c>
      <c r="C56" s="3"/>
      <c r="D56" s="9" t="s">
        <v>44</v>
      </c>
      <c r="E56" s="9"/>
      <c r="F56" s="5">
        <v>25</v>
      </c>
      <c r="G56" s="11">
        <v>1.35</v>
      </c>
      <c r="H56" s="11">
        <f>F56/G56</f>
        <v>18.518518518518519</v>
      </c>
      <c r="I56" s="11">
        <f>H56*0.681</f>
        <v>12.611111111111112</v>
      </c>
      <c r="J56" s="9">
        <f>IF(G56&gt;0,1,0)</f>
        <v>1</v>
      </c>
    </row>
    <row r="57" spans="1:10" x14ac:dyDescent="0.15">
      <c r="A57" s="9">
        <v>85</v>
      </c>
      <c r="B57" s="3" t="s">
        <v>49</v>
      </c>
      <c r="C57" s="3"/>
      <c r="D57" s="9" t="s">
        <v>44</v>
      </c>
      <c r="E57" s="9"/>
      <c r="F57" s="5">
        <v>25</v>
      </c>
      <c r="G57" s="11">
        <v>1.38</v>
      </c>
      <c r="H57" s="11">
        <f>F57/G57</f>
        <v>18.115942028985508</v>
      </c>
      <c r="I57" s="11">
        <f>H57*0.681</f>
        <v>12.336956521739131</v>
      </c>
      <c r="J57" s="9">
        <f>IF(G57&gt;0,1,0)</f>
        <v>1</v>
      </c>
    </row>
    <row r="58" spans="1:10" x14ac:dyDescent="0.15">
      <c r="A58" s="9">
        <v>19</v>
      </c>
      <c r="B58" s="3" t="s">
        <v>43</v>
      </c>
      <c r="C58" s="3"/>
      <c r="D58" s="9" t="s">
        <v>44</v>
      </c>
      <c r="E58" s="9"/>
      <c r="F58" s="5">
        <v>30</v>
      </c>
      <c r="G58" s="11">
        <v>1.66</v>
      </c>
      <c r="H58" s="11">
        <f>F58/G58</f>
        <v>18.072289156626507</v>
      </c>
      <c r="I58" s="11">
        <f>H58*0.681</f>
        <v>12.307228915662652</v>
      </c>
      <c r="J58" s="9">
        <f>IF(G58&gt;0,1,0)</f>
        <v>1</v>
      </c>
    </row>
    <row r="59" spans="1:10" x14ac:dyDescent="0.15">
      <c r="A59" s="9">
        <v>57</v>
      </c>
      <c r="B59" s="3" t="s">
        <v>46</v>
      </c>
      <c r="C59" s="3"/>
      <c r="D59" s="9" t="s">
        <v>44</v>
      </c>
      <c r="E59" s="9"/>
      <c r="F59" s="5">
        <v>27</v>
      </c>
      <c r="G59" s="11">
        <v>1.5</v>
      </c>
      <c r="H59" s="11">
        <f>F59/G59</f>
        <v>18</v>
      </c>
      <c r="I59" s="11">
        <f>H59*0.681</f>
        <v>12.258000000000001</v>
      </c>
      <c r="J59" s="9">
        <f>IF(G59&gt;0,1,0)</f>
        <v>1</v>
      </c>
    </row>
    <row r="60" spans="1:10" x14ac:dyDescent="0.15">
      <c r="A60" s="9">
        <v>94</v>
      </c>
      <c r="B60" s="3" t="s">
        <v>50</v>
      </c>
      <c r="C60" s="3"/>
      <c r="D60" s="9" t="s">
        <v>44</v>
      </c>
      <c r="E60" s="9"/>
      <c r="F60" s="5">
        <v>25</v>
      </c>
      <c r="G60" s="11">
        <v>1.4</v>
      </c>
      <c r="H60" s="11">
        <f>F60/G60</f>
        <v>17.857142857142858</v>
      </c>
      <c r="I60" s="11">
        <f>H60*0.681</f>
        <v>12.160714285714286</v>
      </c>
      <c r="J60" s="9">
        <f>IF(G60&gt;0,1,0)</f>
        <v>1</v>
      </c>
    </row>
    <row r="61" spans="1:10" x14ac:dyDescent="0.15">
      <c r="A61" s="9">
        <v>110</v>
      </c>
      <c r="B61" s="3" t="s">
        <v>50</v>
      </c>
      <c r="C61" s="3"/>
      <c r="D61" s="9" t="s">
        <v>44</v>
      </c>
      <c r="E61" s="9"/>
      <c r="F61" s="5">
        <v>25</v>
      </c>
      <c r="G61" s="11">
        <v>1.4</v>
      </c>
      <c r="H61" s="11">
        <f>F61/G61</f>
        <v>17.857142857142858</v>
      </c>
      <c r="I61" s="11">
        <f>H61*0.681</f>
        <v>12.160714285714286</v>
      </c>
      <c r="J61" s="9">
        <f>IF(G61&gt;0,1,0)</f>
        <v>1</v>
      </c>
    </row>
    <row r="62" spans="1:10" x14ac:dyDescent="0.15">
      <c r="A62" s="9">
        <v>9</v>
      </c>
      <c r="B62" s="3" t="s">
        <v>43</v>
      </c>
      <c r="C62" s="3"/>
      <c r="D62" s="9" t="s">
        <v>44</v>
      </c>
      <c r="E62" s="9"/>
      <c r="F62" s="5">
        <v>30</v>
      </c>
      <c r="G62" s="11">
        <v>1.76</v>
      </c>
      <c r="H62" s="11">
        <f>F62/G62</f>
        <v>17.045454545454547</v>
      </c>
      <c r="I62" s="11">
        <f>H62*0.681</f>
        <v>11.607954545454547</v>
      </c>
      <c r="J62" s="9">
        <f>IF(G62&gt;0,1,0)</f>
        <v>1</v>
      </c>
    </row>
    <row r="63" spans="1:10" x14ac:dyDescent="0.15">
      <c r="A63" s="9">
        <v>128</v>
      </c>
      <c r="B63" s="3" t="s">
        <v>50</v>
      </c>
      <c r="C63" s="3"/>
      <c r="D63" s="9" t="s">
        <v>44</v>
      </c>
      <c r="E63" s="9"/>
      <c r="F63" s="5">
        <v>25</v>
      </c>
      <c r="G63" s="11">
        <v>1.47</v>
      </c>
      <c r="H63" s="11">
        <f>F63/G63</f>
        <v>17.006802721088437</v>
      </c>
      <c r="I63" s="11">
        <f>H63*0.681</f>
        <v>11.581632653061227</v>
      </c>
      <c r="J63" s="9">
        <f>IF(G63&gt;0,1,0)</f>
        <v>1</v>
      </c>
    </row>
    <row r="64" spans="1:10" x14ac:dyDescent="0.15">
      <c r="A64" s="9">
        <v>13</v>
      </c>
      <c r="B64" s="3" t="s">
        <v>43</v>
      </c>
      <c r="C64" s="3"/>
      <c r="D64" s="9" t="s">
        <v>44</v>
      </c>
      <c r="E64" s="9"/>
      <c r="F64" s="5">
        <v>30</v>
      </c>
      <c r="G64" s="11">
        <v>1.77</v>
      </c>
      <c r="H64" s="11">
        <f>F64/G64</f>
        <v>16.949152542372882</v>
      </c>
      <c r="I64" s="11">
        <f>H64*0.681</f>
        <v>11.542372881355934</v>
      </c>
      <c r="J64" s="9">
        <f>IF(G64&gt;0,1,0)</f>
        <v>1</v>
      </c>
    </row>
    <row r="65" spans="1:10" x14ac:dyDescent="0.15">
      <c r="A65" s="9">
        <v>10</v>
      </c>
      <c r="B65" s="3" t="s">
        <v>43</v>
      </c>
      <c r="C65" s="3"/>
      <c r="D65" s="9" t="s">
        <v>44</v>
      </c>
      <c r="E65" s="9"/>
      <c r="F65" s="5">
        <v>30</v>
      </c>
      <c r="G65" s="11">
        <v>1.8</v>
      </c>
      <c r="H65" s="11">
        <f>F65/G65</f>
        <v>16.666666666666668</v>
      </c>
      <c r="I65" s="11">
        <f>H65*0.681</f>
        <v>11.350000000000001</v>
      </c>
      <c r="J65" s="9">
        <f>IF(G65&gt;0,1,0)</f>
        <v>1</v>
      </c>
    </row>
    <row r="66" spans="1:10" x14ac:dyDescent="0.15">
      <c r="A66" s="9">
        <v>68</v>
      </c>
      <c r="B66" s="3" t="s">
        <v>49</v>
      </c>
      <c r="C66" s="3"/>
      <c r="D66" s="9" t="s">
        <v>44</v>
      </c>
      <c r="E66" s="9"/>
      <c r="F66" s="5">
        <v>25</v>
      </c>
      <c r="G66" s="11">
        <v>1.53</v>
      </c>
      <c r="H66" s="11">
        <f>F66/G66</f>
        <v>16.33986928104575</v>
      </c>
      <c r="I66" s="11">
        <f>H66*0.681</f>
        <v>11.127450980392156</v>
      </c>
      <c r="J66" s="9">
        <f>IF(G66&gt;0,1,0)</f>
        <v>1</v>
      </c>
    </row>
    <row r="67" spans="1:10" x14ac:dyDescent="0.15">
      <c r="A67" s="9">
        <v>66</v>
      </c>
      <c r="B67" s="3" t="s">
        <v>49</v>
      </c>
      <c r="C67" s="3"/>
      <c r="D67" s="9" t="s">
        <v>44</v>
      </c>
      <c r="E67" s="9"/>
      <c r="F67" s="5">
        <v>25</v>
      </c>
      <c r="G67" s="11">
        <v>1.56</v>
      </c>
      <c r="H67" s="11">
        <f>F67/G67</f>
        <v>16.025641025641026</v>
      </c>
      <c r="I67" s="11">
        <f>H67*0.681</f>
        <v>10.913461538461538</v>
      </c>
      <c r="J67" s="9">
        <f>IF(G67&gt;0,1,0)</f>
        <v>1</v>
      </c>
    </row>
    <row r="68" spans="1:10" x14ac:dyDescent="0.15">
      <c r="A68" s="9">
        <v>37</v>
      </c>
      <c r="B68" s="3" t="s">
        <v>45</v>
      </c>
      <c r="C68" s="3"/>
      <c r="D68" s="9" t="s">
        <v>44</v>
      </c>
      <c r="E68" s="9"/>
      <c r="F68" s="5">
        <v>29</v>
      </c>
      <c r="G68" s="11">
        <v>1.83</v>
      </c>
      <c r="H68" s="11">
        <f>F68/G68</f>
        <v>15.846994535519125</v>
      </c>
      <c r="I68" s="11">
        <f>H68*0.681</f>
        <v>10.791803278688525</v>
      </c>
      <c r="J68" s="9">
        <f>IF(G68&gt;0,1,0)</f>
        <v>1</v>
      </c>
    </row>
    <row r="69" spans="1:10" x14ac:dyDescent="0.15">
      <c r="A69" s="9">
        <v>17</v>
      </c>
      <c r="B69" s="3" t="s">
        <v>43</v>
      </c>
      <c r="C69" s="3"/>
      <c r="D69" s="9" t="s">
        <v>44</v>
      </c>
      <c r="E69" s="9"/>
      <c r="F69" s="5">
        <v>30</v>
      </c>
      <c r="G69" s="11">
        <v>1.9</v>
      </c>
      <c r="H69" s="11">
        <f>F69/G69</f>
        <v>15.789473684210527</v>
      </c>
      <c r="I69" s="11">
        <f>H69*0.681</f>
        <v>10.752631578947369</v>
      </c>
      <c r="J69" s="9">
        <f>IF(G69&gt;0,1,0)</f>
        <v>1</v>
      </c>
    </row>
    <row r="70" spans="1:10" x14ac:dyDescent="0.15">
      <c r="A70" s="9">
        <v>58</v>
      </c>
      <c r="B70" s="3" t="s">
        <v>46</v>
      </c>
      <c r="C70" s="3"/>
      <c r="D70" s="9" t="s">
        <v>44</v>
      </c>
      <c r="E70" s="9"/>
      <c r="F70" s="5">
        <v>27</v>
      </c>
      <c r="G70" s="11">
        <v>1.74</v>
      </c>
      <c r="H70" s="11">
        <f>F70/G70</f>
        <v>15.517241379310345</v>
      </c>
      <c r="I70" s="11">
        <f>H70*0.681</f>
        <v>10.567241379310346</v>
      </c>
      <c r="J70" s="9">
        <f>IF(G70&gt;0,1,0)</f>
        <v>1</v>
      </c>
    </row>
    <row r="71" spans="1:10" x14ac:dyDescent="0.15">
      <c r="A71" s="9">
        <v>49</v>
      </c>
      <c r="B71" s="3" t="s">
        <v>45</v>
      </c>
      <c r="C71" s="3"/>
      <c r="D71" s="9" t="s">
        <v>44</v>
      </c>
      <c r="E71" s="9"/>
      <c r="F71" s="5">
        <v>29</v>
      </c>
      <c r="G71" s="11">
        <v>1.87</v>
      </c>
      <c r="H71" s="11">
        <f>F71/G71</f>
        <v>15.508021390374331</v>
      </c>
      <c r="I71" s="11">
        <f>H71*0.681</f>
        <v>10.560962566844921</v>
      </c>
      <c r="J71" s="9">
        <f>IF(G71&gt;0,1,0)</f>
        <v>1</v>
      </c>
    </row>
    <row r="72" spans="1:10" x14ac:dyDescent="0.15">
      <c r="A72" s="9">
        <v>22</v>
      </c>
      <c r="B72" s="3" t="s">
        <v>43</v>
      </c>
      <c r="C72" s="3"/>
      <c r="D72" s="9" t="s">
        <v>44</v>
      </c>
      <c r="E72" s="9"/>
      <c r="F72" s="5">
        <v>30</v>
      </c>
      <c r="G72" s="11">
        <v>1.94</v>
      </c>
      <c r="H72" s="11">
        <f>F72/G72</f>
        <v>15.463917525773196</v>
      </c>
      <c r="I72" s="11">
        <f>H72*0.681</f>
        <v>10.530927835051548</v>
      </c>
      <c r="J72" s="9">
        <f>IF(G72&gt;0,1,0)</f>
        <v>1</v>
      </c>
    </row>
    <row r="73" spans="1:10" x14ac:dyDescent="0.15">
      <c r="A73" s="9">
        <v>82</v>
      </c>
      <c r="B73" s="3" t="s">
        <v>49</v>
      </c>
      <c r="C73" s="3"/>
      <c r="D73" s="9" t="s">
        <v>44</v>
      </c>
      <c r="E73" s="9"/>
      <c r="F73" s="5">
        <v>25</v>
      </c>
      <c r="G73" s="11">
        <v>1.63</v>
      </c>
      <c r="H73" s="11">
        <f>F73/G73</f>
        <v>15.337423312883436</v>
      </c>
      <c r="I73" s="11">
        <f>H73*0.681</f>
        <v>10.44478527607362</v>
      </c>
      <c r="J73" s="9">
        <f>IF(G73&gt;0,1,0)</f>
        <v>1</v>
      </c>
    </row>
    <row r="74" spans="1:10" x14ac:dyDescent="0.15">
      <c r="A74" s="9">
        <v>36</v>
      </c>
      <c r="B74" s="3" t="s">
        <v>45</v>
      </c>
      <c r="C74" s="3"/>
      <c r="D74" s="9" t="s">
        <v>44</v>
      </c>
      <c r="E74" s="9"/>
      <c r="F74" s="5">
        <v>29</v>
      </c>
      <c r="G74" s="11">
        <v>1.9</v>
      </c>
      <c r="H74" s="11">
        <f>F74/G74</f>
        <v>15.263157894736842</v>
      </c>
      <c r="I74" s="11">
        <f>H74*0.681</f>
        <v>10.39421052631579</v>
      </c>
      <c r="J74" s="9">
        <f>IF(G74&gt;0,1,0)</f>
        <v>1</v>
      </c>
    </row>
    <row r="75" spans="1:10" x14ac:dyDescent="0.15">
      <c r="A75" s="9">
        <v>51</v>
      </c>
      <c r="B75" s="3" t="s">
        <v>46</v>
      </c>
      <c r="C75" s="3"/>
      <c r="D75" s="9" t="s">
        <v>44</v>
      </c>
      <c r="E75" s="9"/>
      <c r="F75" s="5">
        <v>27</v>
      </c>
      <c r="G75" s="11">
        <v>1.78</v>
      </c>
      <c r="H75" s="11">
        <f>F75/G75</f>
        <v>15.168539325842696</v>
      </c>
      <c r="I75" s="11">
        <f>H75*0.681</f>
        <v>10.329775280898877</v>
      </c>
      <c r="J75" s="9">
        <f>IF(G75&gt;0,1,0)</f>
        <v>1</v>
      </c>
    </row>
    <row r="76" spans="1:10" x14ac:dyDescent="0.15">
      <c r="A76" s="9">
        <v>80</v>
      </c>
      <c r="B76" s="3" t="s">
        <v>49</v>
      </c>
      <c r="C76" s="3"/>
      <c r="D76" s="9" t="s">
        <v>44</v>
      </c>
      <c r="E76" s="9"/>
      <c r="F76" s="5">
        <v>25</v>
      </c>
      <c r="G76" s="11">
        <v>1.65</v>
      </c>
      <c r="H76" s="11">
        <f>F76/G76</f>
        <v>15.151515151515152</v>
      </c>
      <c r="I76" s="11">
        <f>H76*0.681</f>
        <v>10.31818181818182</v>
      </c>
      <c r="J76" s="9">
        <f>IF(G76&gt;0,1,0)</f>
        <v>1</v>
      </c>
    </row>
    <row r="77" spans="1:10" x14ac:dyDescent="0.15">
      <c r="A77" s="9">
        <v>67</v>
      </c>
      <c r="B77" s="3" t="s">
        <v>49</v>
      </c>
      <c r="C77" s="3"/>
      <c r="D77" s="9" t="s">
        <v>44</v>
      </c>
      <c r="E77" s="9"/>
      <c r="F77" s="5">
        <v>25</v>
      </c>
      <c r="G77" s="11">
        <v>1.68</v>
      </c>
      <c r="H77" s="11">
        <f>F77/G77</f>
        <v>14.880952380952381</v>
      </c>
      <c r="I77" s="11">
        <f>H77*0.681</f>
        <v>10.133928571428573</v>
      </c>
      <c r="J77" s="9">
        <f>IF(G77&gt;0,1,0)</f>
        <v>1</v>
      </c>
    </row>
    <row r="78" spans="1:10" x14ac:dyDescent="0.15">
      <c r="A78" s="9">
        <v>81</v>
      </c>
      <c r="B78" s="3" t="s">
        <v>49</v>
      </c>
      <c r="C78" s="3"/>
      <c r="D78" s="9" t="s">
        <v>44</v>
      </c>
      <c r="E78" s="9"/>
      <c r="F78" s="5">
        <v>25</v>
      </c>
      <c r="G78" s="11">
        <v>1.68</v>
      </c>
      <c r="H78" s="11">
        <f>F78/G78</f>
        <v>14.880952380952381</v>
      </c>
      <c r="I78" s="11">
        <f>H78*0.681</f>
        <v>10.133928571428573</v>
      </c>
      <c r="J78" s="9">
        <f>IF(G78&gt;0,1,0)</f>
        <v>1</v>
      </c>
    </row>
    <row r="79" spans="1:10" x14ac:dyDescent="0.15">
      <c r="A79" s="9">
        <v>35</v>
      </c>
      <c r="B79" s="3" t="s">
        <v>45</v>
      </c>
      <c r="C79" s="3"/>
      <c r="D79" s="9" t="s">
        <v>44</v>
      </c>
      <c r="E79" s="9"/>
      <c r="F79" s="5">
        <v>29</v>
      </c>
      <c r="G79" s="11">
        <v>1.97</v>
      </c>
      <c r="H79" s="11">
        <f>F79/G79</f>
        <v>14.720812182741117</v>
      </c>
      <c r="I79" s="11">
        <f>H79*0.681</f>
        <v>10.024873096446701</v>
      </c>
      <c r="J79" s="9">
        <f>IF(G79&gt;0,1,0)</f>
        <v>1</v>
      </c>
    </row>
    <row r="80" spans="1:10" x14ac:dyDescent="0.15">
      <c r="A80" s="9">
        <v>98</v>
      </c>
      <c r="B80" s="3" t="s">
        <v>50</v>
      </c>
      <c r="C80" s="3"/>
      <c r="D80" s="9" t="s">
        <v>44</v>
      </c>
      <c r="E80" s="9"/>
      <c r="F80" s="5">
        <v>25</v>
      </c>
      <c r="G80" s="11">
        <v>1.72</v>
      </c>
      <c r="H80" s="11">
        <f>F80/G80</f>
        <v>14.534883720930234</v>
      </c>
      <c r="I80" s="11">
        <f>H80*0.681</f>
        <v>9.8982558139534902</v>
      </c>
      <c r="J80" s="9">
        <f>IF(G80&gt;0,1,0)</f>
        <v>1</v>
      </c>
    </row>
    <row r="81" spans="1:10" x14ac:dyDescent="0.15">
      <c r="A81" s="9">
        <v>84</v>
      </c>
      <c r="B81" s="3" t="s">
        <v>49</v>
      </c>
      <c r="C81" s="3"/>
      <c r="D81" s="9" t="s">
        <v>44</v>
      </c>
      <c r="E81" s="9"/>
      <c r="F81" s="5">
        <v>25</v>
      </c>
      <c r="G81" s="11">
        <v>1.72</v>
      </c>
      <c r="H81" s="11">
        <f>F81/G81</f>
        <v>14.534883720930234</v>
      </c>
      <c r="I81" s="11">
        <f>H81*0.681</f>
        <v>9.8982558139534902</v>
      </c>
      <c r="J81" s="9">
        <f>IF(G81&gt;0,1,0)</f>
        <v>1</v>
      </c>
    </row>
    <row r="82" spans="1:10" x14ac:dyDescent="0.15">
      <c r="A82" s="9">
        <v>33</v>
      </c>
      <c r="B82" s="3" t="s">
        <v>45</v>
      </c>
      <c r="C82" s="3"/>
      <c r="D82" s="9" t="s">
        <v>44</v>
      </c>
      <c r="E82" s="9"/>
      <c r="F82" s="5">
        <v>29</v>
      </c>
      <c r="G82" s="11">
        <v>2</v>
      </c>
      <c r="H82" s="11">
        <f>F82/G82</f>
        <v>14.5</v>
      </c>
      <c r="I82" s="11">
        <f>H82*0.681</f>
        <v>9.8745000000000012</v>
      </c>
      <c r="J82" s="9">
        <f>IF(G82&gt;0,1,0)</f>
        <v>1</v>
      </c>
    </row>
    <row r="83" spans="1:10" x14ac:dyDescent="0.15">
      <c r="A83" s="9">
        <v>103</v>
      </c>
      <c r="B83" s="3" t="s">
        <v>50</v>
      </c>
      <c r="C83" s="3"/>
      <c r="D83" s="9" t="s">
        <v>44</v>
      </c>
      <c r="E83" s="9"/>
      <c r="F83" s="5">
        <v>25</v>
      </c>
      <c r="G83" s="11">
        <v>1.77</v>
      </c>
      <c r="H83" s="11">
        <f>F83/G83</f>
        <v>14.124293785310734</v>
      </c>
      <c r="I83" s="11">
        <f>H83*0.681</f>
        <v>9.6186440677966107</v>
      </c>
      <c r="J83" s="9">
        <f>IF(G83&gt;0,1,0)</f>
        <v>1</v>
      </c>
    </row>
    <row r="84" spans="1:10" x14ac:dyDescent="0.15">
      <c r="A84" s="9">
        <v>30</v>
      </c>
      <c r="B84" s="3" t="s">
        <v>45</v>
      </c>
      <c r="C84" s="3"/>
      <c r="D84" s="9" t="s">
        <v>44</v>
      </c>
      <c r="E84" s="9"/>
      <c r="F84" s="5">
        <v>29</v>
      </c>
      <c r="G84" s="11">
        <v>2.0699999999999998</v>
      </c>
      <c r="H84" s="11">
        <f>F84/G84</f>
        <v>14.009661835748794</v>
      </c>
      <c r="I84" s="11">
        <f>H84*0.681</f>
        <v>9.5405797101449288</v>
      </c>
      <c r="J84" s="9">
        <f>IF(G84&gt;0,1,0)</f>
        <v>1</v>
      </c>
    </row>
    <row r="85" spans="1:10" x14ac:dyDescent="0.15">
      <c r="A85" s="9">
        <v>99</v>
      </c>
      <c r="B85" s="3" t="s">
        <v>50</v>
      </c>
      <c r="C85" s="3"/>
      <c r="D85" s="9" t="s">
        <v>44</v>
      </c>
      <c r="E85" s="9"/>
      <c r="F85" s="5">
        <v>25</v>
      </c>
      <c r="G85" s="11">
        <v>1.8</v>
      </c>
      <c r="H85" s="11">
        <f>F85/G85</f>
        <v>13.888888888888889</v>
      </c>
      <c r="I85" s="11">
        <f>H85*0.681</f>
        <v>9.4583333333333339</v>
      </c>
      <c r="J85" s="9">
        <f>IF(G85&gt;0,1,0)</f>
        <v>1</v>
      </c>
    </row>
    <row r="86" spans="1:10" x14ac:dyDescent="0.15">
      <c r="A86" s="9">
        <v>124</v>
      </c>
      <c r="B86" s="3" t="s">
        <v>50</v>
      </c>
      <c r="C86" s="3"/>
      <c r="D86" s="9" t="s">
        <v>44</v>
      </c>
      <c r="E86" s="9"/>
      <c r="F86" s="5">
        <v>25</v>
      </c>
      <c r="G86" s="11">
        <v>1.8</v>
      </c>
      <c r="H86" s="11">
        <f>F86/G86</f>
        <v>13.888888888888889</v>
      </c>
      <c r="I86" s="11">
        <f>H86*0.681</f>
        <v>9.4583333333333339</v>
      </c>
      <c r="J86" s="9">
        <f>IF(G86&gt;0,1,0)</f>
        <v>1</v>
      </c>
    </row>
    <row r="87" spans="1:10" x14ac:dyDescent="0.15">
      <c r="A87" s="9">
        <v>48</v>
      </c>
      <c r="B87" s="3" t="s">
        <v>45</v>
      </c>
      <c r="C87" s="3"/>
      <c r="D87" s="9" t="s">
        <v>44</v>
      </c>
      <c r="E87" s="9"/>
      <c r="F87" s="5">
        <v>29</v>
      </c>
      <c r="G87" s="11">
        <v>2.1</v>
      </c>
      <c r="H87" s="11">
        <f>F87/G87</f>
        <v>13.809523809523808</v>
      </c>
      <c r="I87" s="11">
        <f>H87*0.681</f>
        <v>9.4042857142857148</v>
      </c>
      <c r="J87" s="9">
        <f>IF(G87&gt;0,1,0)</f>
        <v>1</v>
      </c>
    </row>
    <row r="88" spans="1:10" x14ac:dyDescent="0.15">
      <c r="A88" s="9">
        <v>41</v>
      </c>
      <c r="B88" s="3" t="s">
        <v>45</v>
      </c>
      <c r="C88" s="3"/>
      <c r="D88" s="9" t="s">
        <v>44</v>
      </c>
      <c r="E88" s="9"/>
      <c r="F88" s="5">
        <v>29</v>
      </c>
      <c r="G88" s="11">
        <v>2.13</v>
      </c>
      <c r="H88" s="11">
        <f>F88/G88</f>
        <v>13.615023474178404</v>
      </c>
      <c r="I88" s="11">
        <f>H88*0.681</f>
        <v>9.2718309859154946</v>
      </c>
      <c r="J88" s="9">
        <f>IF(G88&gt;0,1,0)</f>
        <v>1</v>
      </c>
    </row>
    <row r="89" spans="1:10" x14ac:dyDescent="0.15">
      <c r="A89" s="9">
        <v>93</v>
      </c>
      <c r="B89" s="3" t="s">
        <v>50</v>
      </c>
      <c r="C89" s="3"/>
      <c r="D89" s="9" t="s">
        <v>44</v>
      </c>
      <c r="E89" s="9"/>
      <c r="F89" s="5">
        <v>25</v>
      </c>
      <c r="G89" s="11">
        <v>1.84</v>
      </c>
      <c r="H89" s="11">
        <f>F89/G89</f>
        <v>13.586956521739129</v>
      </c>
      <c r="I89" s="11">
        <f>H89*0.681</f>
        <v>9.2527173913043477</v>
      </c>
      <c r="J89" s="9">
        <f>IF(G89&gt;0,1,0)</f>
        <v>1</v>
      </c>
    </row>
    <row r="90" spans="1:10" x14ac:dyDescent="0.15">
      <c r="A90" s="9">
        <v>127</v>
      </c>
      <c r="B90" s="3" t="s">
        <v>50</v>
      </c>
      <c r="C90" s="3"/>
      <c r="D90" s="9" t="s">
        <v>44</v>
      </c>
      <c r="E90" s="9"/>
      <c r="F90" s="5">
        <v>25</v>
      </c>
      <c r="G90" s="11">
        <v>1.85</v>
      </c>
      <c r="H90" s="11">
        <f>F90/G90</f>
        <v>13.513513513513512</v>
      </c>
      <c r="I90" s="11">
        <f>H90*0.681</f>
        <v>9.2027027027027017</v>
      </c>
      <c r="J90" s="9">
        <f>IF(G90&gt;0,1,0)</f>
        <v>1</v>
      </c>
    </row>
    <row r="91" spans="1:10" x14ac:dyDescent="0.15">
      <c r="A91" s="9">
        <v>61</v>
      </c>
      <c r="B91" s="3" t="s">
        <v>46</v>
      </c>
      <c r="C91" s="3"/>
      <c r="D91" s="9" t="s">
        <v>44</v>
      </c>
      <c r="E91" s="9"/>
      <c r="F91" s="5">
        <v>27</v>
      </c>
      <c r="G91" s="11">
        <v>2</v>
      </c>
      <c r="H91" s="11">
        <f>F91/G91</f>
        <v>13.5</v>
      </c>
      <c r="I91" s="11">
        <f>H91*0.681</f>
        <v>9.1935000000000002</v>
      </c>
      <c r="J91" s="9">
        <f>IF(G91&gt;0,1,0)</f>
        <v>1</v>
      </c>
    </row>
    <row r="92" spans="1:10" x14ac:dyDescent="0.15">
      <c r="A92" s="9">
        <v>43</v>
      </c>
      <c r="B92" s="3" t="s">
        <v>45</v>
      </c>
      <c r="C92" s="3"/>
      <c r="D92" s="9" t="s">
        <v>44</v>
      </c>
      <c r="E92" s="9"/>
      <c r="F92" s="5">
        <v>29</v>
      </c>
      <c r="G92" s="11">
        <v>2.17</v>
      </c>
      <c r="H92" s="11">
        <f>F92/G92</f>
        <v>13.364055299539171</v>
      </c>
      <c r="I92" s="11">
        <f>H92*0.681</f>
        <v>9.1009216589861754</v>
      </c>
      <c r="J92" s="9">
        <f>IF(G92&gt;0,1,0)</f>
        <v>1</v>
      </c>
    </row>
    <row r="93" spans="1:10" x14ac:dyDescent="0.15">
      <c r="A93" s="9">
        <v>113</v>
      </c>
      <c r="B93" s="3" t="s">
        <v>50</v>
      </c>
      <c r="C93" s="3"/>
      <c r="D93" s="9" t="s">
        <v>44</v>
      </c>
      <c r="E93" s="9"/>
      <c r="F93" s="5">
        <v>25</v>
      </c>
      <c r="G93" s="11">
        <v>1.9</v>
      </c>
      <c r="H93" s="11">
        <f>F93/G93</f>
        <v>13.157894736842106</v>
      </c>
      <c r="I93" s="11">
        <f>H93*0.681</f>
        <v>8.9605263157894743</v>
      </c>
      <c r="J93" s="9">
        <f>IF(G93&gt;0,1,0)</f>
        <v>1</v>
      </c>
    </row>
    <row r="94" spans="1:10" x14ac:dyDescent="0.15">
      <c r="A94" s="9">
        <v>118</v>
      </c>
      <c r="B94" s="3" t="s">
        <v>50</v>
      </c>
      <c r="C94" s="3"/>
      <c r="D94" s="9" t="s">
        <v>44</v>
      </c>
      <c r="E94" s="9"/>
      <c r="F94" s="5">
        <v>25</v>
      </c>
      <c r="G94" s="11">
        <v>1.9</v>
      </c>
      <c r="H94" s="11">
        <f>F94/G94</f>
        <v>13.157894736842106</v>
      </c>
      <c r="I94" s="11">
        <f>H94*0.681</f>
        <v>8.9605263157894743</v>
      </c>
      <c r="J94" s="9">
        <f>IF(G94&gt;0,1,0)</f>
        <v>1</v>
      </c>
    </row>
    <row r="95" spans="1:10" x14ac:dyDescent="0.15">
      <c r="A95" s="9">
        <v>18</v>
      </c>
      <c r="B95" s="3" t="s">
        <v>43</v>
      </c>
      <c r="C95" s="3"/>
      <c r="D95" s="9" t="s">
        <v>44</v>
      </c>
      <c r="E95" s="9"/>
      <c r="F95" s="5">
        <v>30</v>
      </c>
      <c r="G95" s="11">
        <v>2.33</v>
      </c>
      <c r="H95" s="11">
        <f>F95/G95</f>
        <v>12.875536480686694</v>
      </c>
      <c r="I95" s="11">
        <f>H95*0.681</f>
        <v>8.7682403433476388</v>
      </c>
      <c r="J95" s="9">
        <f>IF(G95&gt;0,1,0)</f>
        <v>1</v>
      </c>
    </row>
    <row r="96" spans="1:10" x14ac:dyDescent="0.15">
      <c r="A96" s="9">
        <v>56</v>
      </c>
      <c r="B96" s="3" t="s">
        <v>46</v>
      </c>
      <c r="C96" s="3"/>
      <c r="D96" s="9" t="s">
        <v>44</v>
      </c>
      <c r="E96" s="9"/>
      <c r="F96" s="5">
        <v>27</v>
      </c>
      <c r="G96" s="11">
        <v>2.14</v>
      </c>
      <c r="H96" s="11">
        <f>F96/G96</f>
        <v>12.616822429906541</v>
      </c>
      <c r="I96" s="11">
        <f>H96*0.681</f>
        <v>8.5920560747663561</v>
      </c>
      <c r="J96" s="9">
        <f>IF(G96&gt;0,1,0)</f>
        <v>1</v>
      </c>
    </row>
    <row r="97" spans="1:10" x14ac:dyDescent="0.15">
      <c r="A97" s="9">
        <v>27</v>
      </c>
      <c r="B97" s="3" t="s">
        <v>45</v>
      </c>
      <c r="C97" s="3"/>
      <c r="D97" s="9" t="s">
        <v>44</v>
      </c>
      <c r="E97" s="9"/>
      <c r="F97" s="5">
        <v>29</v>
      </c>
      <c r="G97" s="11">
        <v>2.35</v>
      </c>
      <c r="H97" s="11">
        <f>F97/G97</f>
        <v>12.340425531914892</v>
      </c>
      <c r="I97" s="11">
        <f>H97*0.681</f>
        <v>8.4038297872340415</v>
      </c>
      <c r="J97" s="9">
        <f>IF(G97&gt;0,1,0)</f>
        <v>1</v>
      </c>
    </row>
    <row r="98" spans="1:10" x14ac:dyDescent="0.15">
      <c r="A98" s="9">
        <v>122</v>
      </c>
      <c r="B98" s="3" t="s">
        <v>50</v>
      </c>
      <c r="C98" s="3"/>
      <c r="D98" s="9" t="s">
        <v>44</v>
      </c>
      <c r="E98" s="9"/>
      <c r="F98" s="5">
        <v>25</v>
      </c>
      <c r="G98" s="11">
        <v>2.0499999999999998</v>
      </c>
      <c r="H98" s="11">
        <f>F98/G98</f>
        <v>12.195121951219512</v>
      </c>
      <c r="I98" s="11">
        <f>H98*0.681</f>
        <v>8.3048780487804894</v>
      </c>
      <c r="J98" s="9">
        <f>IF(G98&gt;0,1,0)</f>
        <v>1</v>
      </c>
    </row>
    <row r="99" spans="1:10" x14ac:dyDescent="0.15">
      <c r="A99" s="9">
        <v>70</v>
      </c>
      <c r="B99" s="3" t="s">
        <v>49</v>
      </c>
      <c r="C99" s="3"/>
      <c r="D99" s="9" t="s">
        <v>44</v>
      </c>
      <c r="E99" s="9"/>
      <c r="F99" s="5">
        <v>25</v>
      </c>
      <c r="G99" s="11">
        <v>2.0499999999999998</v>
      </c>
      <c r="H99" s="11">
        <f>F99/G99</f>
        <v>12.195121951219512</v>
      </c>
      <c r="I99" s="11">
        <f>H99*0.681</f>
        <v>8.3048780487804894</v>
      </c>
      <c r="J99" s="9">
        <f>IF(G99&gt;0,1,0)</f>
        <v>1</v>
      </c>
    </row>
    <row r="100" spans="1:10" x14ac:dyDescent="0.15">
      <c r="A100" s="9">
        <v>105</v>
      </c>
      <c r="B100" s="3" t="s">
        <v>50</v>
      </c>
      <c r="C100" s="3"/>
      <c r="D100" s="9" t="s">
        <v>44</v>
      </c>
      <c r="E100" s="9"/>
      <c r="F100" s="5">
        <v>25</v>
      </c>
      <c r="G100" s="11">
        <v>2.0699999999999998</v>
      </c>
      <c r="H100" s="11">
        <f>F100/G100</f>
        <v>12.077294685990339</v>
      </c>
      <c r="I100" s="11">
        <f>H100*0.681</f>
        <v>8.2246376811594217</v>
      </c>
      <c r="J100" s="9">
        <f>IF(G100&gt;0,1,0)</f>
        <v>1</v>
      </c>
    </row>
    <row r="101" spans="1:10" x14ac:dyDescent="0.15">
      <c r="A101" s="9">
        <v>39</v>
      </c>
      <c r="B101" s="3" t="s">
        <v>45</v>
      </c>
      <c r="C101" s="3"/>
      <c r="D101" s="9" t="s">
        <v>44</v>
      </c>
      <c r="E101" s="9"/>
      <c r="F101" s="5">
        <v>29</v>
      </c>
      <c r="G101" s="11">
        <v>2.48</v>
      </c>
      <c r="H101" s="11">
        <f>F101/G101</f>
        <v>11.693548387096774</v>
      </c>
      <c r="I101" s="11">
        <f>H101*0.681</f>
        <v>7.9633064516129037</v>
      </c>
      <c r="J101" s="9">
        <f>IF(G101&gt;0,1,0)</f>
        <v>1</v>
      </c>
    </row>
    <row r="102" spans="1:10" x14ac:dyDescent="0.15">
      <c r="A102" s="9">
        <v>97</v>
      </c>
      <c r="B102" s="3" t="s">
        <v>50</v>
      </c>
      <c r="C102" s="3"/>
      <c r="D102" s="9" t="s">
        <v>44</v>
      </c>
      <c r="E102" s="9"/>
      <c r="F102" s="5">
        <v>25</v>
      </c>
      <c r="G102" s="11">
        <v>2.15</v>
      </c>
      <c r="H102" s="11">
        <f>F102/G102</f>
        <v>11.627906976744187</v>
      </c>
      <c r="I102" s="11">
        <f>H102*0.681</f>
        <v>7.9186046511627923</v>
      </c>
      <c r="J102" s="9">
        <f>IF(G102&gt;0,1,0)</f>
        <v>1</v>
      </c>
    </row>
    <row r="103" spans="1:10" x14ac:dyDescent="0.15">
      <c r="A103" s="9">
        <v>100</v>
      </c>
      <c r="B103" s="3" t="s">
        <v>50</v>
      </c>
      <c r="C103" s="3"/>
      <c r="D103" s="9" t="s">
        <v>44</v>
      </c>
      <c r="E103" s="9"/>
      <c r="F103" s="5">
        <v>25</v>
      </c>
      <c r="G103" s="11">
        <v>2.15</v>
      </c>
      <c r="H103" s="11">
        <f>F103/G103</f>
        <v>11.627906976744187</v>
      </c>
      <c r="I103" s="11">
        <f>H103*0.681</f>
        <v>7.9186046511627923</v>
      </c>
      <c r="J103" s="9">
        <f>IF(G103&gt;0,1,0)</f>
        <v>1</v>
      </c>
    </row>
    <row r="104" spans="1:10" x14ac:dyDescent="0.15">
      <c r="A104" s="9">
        <v>38</v>
      </c>
      <c r="B104" s="3" t="s">
        <v>45</v>
      </c>
      <c r="C104" s="3"/>
      <c r="D104" s="9" t="s">
        <v>44</v>
      </c>
      <c r="E104" s="9"/>
      <c r="F104" s="5">
        <v>29</v>
      </c>
      <c r="G104" s="11">
        <v>2.5</v>
      </c>
      <c r="H104" s="11">
        <f>F104/G104</f>
        <v>11.6</v>
      </c>
      <c r="I104" s="11">
        <f>H104*0.681</f>
        <v>7.8996000000000004</v>
      </c>
      <c r="J104" s="9">
        <f>IF(G104&gt;0,1,0)</f>
        <v>1</v>
      </c>
    </row>
    <row r="105" spans="1:10" x14ac:dyDescent="0.15">
      <c r="A105" s="9">
        <v>29</v>
      </c>
      <c r="B105" s="3" t="s">
        <v>45</v>
      </c>
      <c r="C105" s="3"/>
      <c r="D105" s="9" t="s">
        <v>44</v>
      </c>
      <c r="E105" s="9"/>
      <c r="F105" s="5">
        <v>29</v>
      </c>
      <c r="G105" s="11">
        <v>2.54</v>
      </c>
      <c r="H105" s="11">
        <f>F105/G105</f>
        <v>11.417322834645669</v>
      </c>
      <c r="I105" s="11">
        <f>H105*0.681</f>
        <v>7.7751968503937006</v>
      </c>
      <c r="J105" s="9">
        <f>IF(G105&gt;0,1,0)</f>
        <v>1</v>
      </c>
    </row>
    <row r="106" spans="1:10" x14ac:dyDescent="0.15">
      <c r="A106" s="9">
        <v>112</v>
      </c>
      <c r="B106" s="3" t="s">
        <v>50</v>
      </c>
      <c r="C106" s="3"/>
      <c r="D106" s="9" t="s">
        <v>44</v>
      </c>
      <c r="E106" s="9"/>
      <c r="F106" s="5">
        <v>25</v>
      </c>
      <c r="G106" s="11">
        <v>2.19</v>
      </c>
      <c r="H106" s="11">
        <f>F106/G106</f>
        <v>11.415525114155251</v>
      </c>
      <c r="I106" s="11">
        <f>H106*0.681</f>
        <v>7.7739726027397262</v>
      </c>
      <c r="J106" s="9">
        <f>IF(G106&gt;0,1,0)</f>
        <v>1</v>
      </c>
    </row>
    <row r="107" spans="1:10" x14ac:dyDescent="0.15">
      <c r="A107" s="9">
        <v>34</v>
      </c>
      <c r="B107" s="3" t="s">
        <v>45</v>
      </c>
      <c r="C107" s="3"/>
      <c r="D107" s="9" t="s">
        <v>44</v>
      </c>
      <c r="E107" s="9"/>
      <c r="F107" s="5">
        <v>29</v>
      </c>
      <c r="G107" s="11">
        <v>2.5499999999999998</v>
      </c>
      <c r="H107" s="11">
        <f>F107/G107</f>
        <v>11.372549019607844</v>
      </c>
      <c r="I107" s="11">
        <f>H107*0.681</f>
        <v>7.7447058823529424</v>
      </c>
      <c r="J107" s="9">
        <f>IF(G107&gt;0,1,0)</f>
        <v>1</v>
      </c>
    </row>
    <row r="108" spans="1:10" x14ac:dyDescent="0.15">
      <c r="A108" s="9">
        <v>101</v>
      </c>
      <c r="B108" s="3" t="s">
        <v>50</v>
      </c>
      <c r="C108" s="3"/>
      <c r="D108" s="9" t="s">
        <v>44</v>
      </c>
      <c r="E108" s="9"/>
      <c r="F108" s="5">
        <v>25</v>
      </c>
      <c r="G108" s="11">
        <v>2.25</v>
      </c>
      <c r="H108" s="11">
        <f>F108/G108</f>
        <v>11.111111111111111</v>
      </c>
      <c r="I108" s="11">
        <f>H108*0.681</f>
        <v>7.5666666666666673</v>
      </c>
      <c r="J108" s="9">
        <f>IF(G108&gt;0,1,0)</f>
        <v>1</v>
      </c>
    </row>
    <row r="109" spans="1:10" x14ac:dyDescent="0.15">
      <c r="A109" s="9">
        <v>125</v>
      </c>
      <c r="B109" s="3" t="s">
        <v>50</v>
      </c>
      <c r="C109" s="3"/>
      <c r="D109" s="9" t="s">
        <v>44</v>
      </c>
      <c r="E109" s="9"/>
      <c r="F109" s="5">
        <v>25</v>
      </c>
      <c r="G109" s="11">
        <v>2.25</v>
      </c>
      <c r="H109" s="11">
        <f>F109/G109</f>
        <v>11.111111111111111</v>
      </c>
      <c r="I109" s="11">
        <f>H109*0.681</f>
        <v>7.5666666666666673</v>
      </c>
      <c r="J109" s="9">
        <f>IF(G109&gt;0,1,0)</f>
        <v>1</v>
      </c>
    </row>
    <row r="110" spans="1:10" x14ac:dyDescent="0.15">
      <c r="A110" s="9">
        <v>126</v>
      </c>
      <c r="B110" s="3" t="s">
        <v>50</v>
      </c>
      <c r="C110" s="3"/>
      <c r="D110" s="9" t="s">
        <v>44</v>
      </c>
      <c r="E110" s="9"/>
      <c r="F110" s="5">
        <v>25</v>
      </c>
      <c r="G110" s="11">
        <v>2.25</v>
      </c>
      <c r="H110" s="11">
        <f>F110/G110</f>
        <v>11.111111111111111</v>
      </c>
      <c r="I110" s="11">
        <f>H110*0.681</f>
        <v>7.5666666666666673</v>
      </c>
      <c r="J110" s="9">
        <f>IF(G110&gt;0,1,0)</f>
        <v>1</v>
      </c>
    </row>
    <row r="111" spans="1:10" x14ac:dyDescent="0.15">
      <c r="A111" s="9">
        <v>123</v>
      </c>
      <c r="B111" s="3" t="s">
        <v>50</v>
      </c>
      <c r="C111" s="3"/>
      <c r="D111" s="9" t="s">
        <v>44</v>
      </c>
      <c r="E111" s="9"/>
      <c r="F111" s="5">
        <v>25</v>
      </c>
      <c r="G111" s="11">
        <v>2.27</v>
      </c>
      <c r="H111" s="11">
        <f>F111/G111</f>
        <v>11.013215859030836</v>
      </c>
      <c r="I111" s="11">
        <f>H111*0.681</f>
        <v>7.5</v>
      </c>
      <c r="J111" s="9">
        <f>IF(G111&gt;0,1,0)</f>
        <v>1</v>
      </c>
    </row>
    <row r="112" spans="1:10" x14ac:dyDescent="0.15">
      <c r="A112" s="9">
        <v>3</v>
      </c>
      <c r="B112" s="3" t="s">
        <v>43</v>
      </c>
      <c r="C112" s="3"/>
      <c r="D112" s="9" t="s">
        <v>44</v>
      </c>
      <c r="E112" s="9"/>
      <c r="F112" s="5">
        <v>30</v>
      </c>
      <c r="G112" s="11">
        <v>2.79</v>
      </c>
      <c r="H112" s="11">
        <f>F112/G112</f>
        <v>10.75268817204301</v>
      </c>
      <c r="I112" s="11">
        <f>H112*0.681</f>
        <v>7.32258064516129</v>
      </c>
      <c r="J112" s="9">
        <f>IF(G112&gt;0,1,0)</f>
        <v>1</v>
      </c>
    </row>
    <row r="113" spans="1:10" x14ac:dyDescent="0.15">
      <c r="A113" s="9">
        <v>32</v>
      </c>
      <c r="B113" s="3" t="s">
        <v>45</v>
      </c>
      <c r="C113" s="3"/>
      <c r="D113" s="9" t="s">
        <v>44</v>
      </c>
      <c r="E113" s="9"/>
      <c r="F113" s="5">
        <v>29</v>
      </c>
      <c r="G113" s="11">
        <v>2.75</v>
      </c>
      <c r="H113" s="11">
        <f>F113/G113</f>
        <v>10.545454545454545</v>
      </c>
      <c r="I113" s="11">
        <f>H113*0.681</f>
        <v>7.181454545454546</v>
      </c>
      <c r="J113" s="9">
        <f>IF(G113&gt;0,1,0)</f>
        <v>1</v>
      </c>
    </row>
    <row r="114" spans="1:10" x14ac:dyDescent="0.15">
      <c r="A114" s="9">
        <v>26</v>
      </c>
      <c r="B114" s="3" t="s">
        <v>45</v>
      </c>
      <c r="C114" s="3"/>
      <c r="D114" s="9" t="s">
        <v>44</v>
      </c>
      <c r="E114" s="9"/>
      <c r="F114" s="5">
        <v>29</v>
      </c>
      <c r="G114" s="11">
        <v>2.8</v>
      </c>
      <c r="H114" s="11">
        <f>F114/G114</f>
        <v>10.357142857142858</v>
      </c>
      <c r="I114" s="11">
        <f>H114*0.681</f>
        <v>7.0532142857142865</v>
      </c>
      <c r="J114" s="9">
        <f>IF(G114&gt;0,1,0)</f>
        <v>1</v>
      </c>
    </row>
    <row r="115" spans="1:10" x14ac:dyDescent="0.15">
      <c r="A115" s="9">
        <v>40</v>
      </c>
      <c r="B115" s="3" t="s">
        <v>45</v>
      </c>
      <c r="C115" s="3"/>
      <c r="D115" s="9" t="s">
        <v>44</v>
      </c>
      <c r="E115" s="9"/>
      <c r="F115" s="5">
        <v>29</v>
      </c>
      <c r="G115" s="11">
        <v>2.82</v>
      </c>
      <c r="H115" s="11">
        <f>F115/G115</f>
        <v>10.283687943262413</v>
      </c>
      <c r="I115" s="11">
        <f>H115*0.681</f>
        <v>7.0031914893617033</v>
      </c>
      <c r="J115" s="9">
        <f>IF(G115&gt;0,1,0)</f>
        <v>1</v>
      </c>
    </row>
    <row r="116" spans="1:10" x14ac:dyDescent="0.15">
      <c r="A116" s="9">
        <v>23</v>
      </c>
      <c r="B116" s="3" t="s">
        <v>43</v>
      </c>
      <c r="C116" s="3"/>
      <c r="D116" s="9" t="s">
        <v>44</v>
      </c>
      <c r="E116" s="9"/>
      <c r="F116" s="5">
        <v>30</v>
      </c>
      <c r="G116" s="11">
        <v>3.04</v>
      </c>
      <c r="H116" s="11">
        <f>F116/G116</f>
        <v>9.8684210526315788</v>
      </c>
      <c r="I116" s="11">
        <f>H116*0.681</f>
        <v>6.7203947368421053</v>
      </c>
      <c r="J116" s="9">
        <f>IF(G116&gt;0,1,0)</f>
        <v>1</v>
      </c>
    </row>
    <row r="117" spans="1:10" x14ac:dyDescent="0.15">
      <c r="A117" s="9">
        <v>92</v>
      </c>
      <c r="B117" s="3" t="s">
        <v>50</v>
      </c>
      <c r="C117" s="3"/>
      <c r="D117" s="9" t="s">
        <v>44</v>
      </c>
      <c r="E117" s="9"/>
      <c r="F117" s="5">
        <v>25</v>
      </c>
      <c r="G117" s="11">
        <v>2.5499999999999998</v>
      </c>
      <c r="H117" s="11">
        <f>F117/G117</f>
        <v>9.8039215686274517</v>
      </c>
      <c r="I117" s="11">
        <f>H117*0.681</f>
        <v>6.6764705882352953</v>
      </c>
      <c r="J117" s="9">
        <f>IF(G117&gt;0,1,0)</f>
        <v>1</v>
      </c>
    </row>
    <row r="118" spans="1:10" x14ac:dyDescent="0.15">
      <c r="A118" s="9">
        <v>88</v>
      </c>
      <c r="B118" s="3" t="s">
        <v>50</v>
      </c>
      <c r="C118" s="3"/>
      <c r="D118" s="9" t="s">
        <v>44</v>
      </c>
      <c r="E118" s="9"/>
      <c r="F118" s="5">
        <v>25</v>
      </c>
      <c r="G118" s="11">
        <v>2.56</v>
      </c>
      <c r="H118" s="11">
        <f>F118/G118</f>
        <v>9.765625</v>
      </c>
      <c r="I118" s="11">
        <f>H118*0.681</f>
        <v>6.6503906250000009</v>
      </c>
      <c r="J118" s="9">
        <f>IF(G118&gt;0,1,0)</f>
        <v>1</v>
      </c>
    </row>
    <row r="119" spans="1:10" x14ac:dyDescent="0.15">
      <c r="A119" s="9">
        <v>119</v>
      </c>
      <c r="B119" s="3" t="s">
        <v>50</v>
      </c>
      <c r="C119" s="3"/>
      <c r="D119" s="9" t="s">
        <v>44</v>
      </c>
      <c r="E119" s="9"/>
      <c r="F119" s="5">
        <v>25</v>
      </c>
      <c r="G119" s="11">
        <v>2.56</v>
      </c>
      <c r="H119" s="11">
        <f>F119/G119</f>
        <v>9.765625</v>
      </c>
      <c r="I119" s="11">
        <f>H119*0.681</f>
        <v>6.6503906250000009</v>
      </c>
      <c r="J119" s="9">
        <f>IF(G119&gt;0,1,0)</f>
        <v>1</v>
      </c>
    </row>
    <row r="120" spans="1:10" x14ac:dyDescent="0.15">
      <c r="A120" s="9">
        <v>42</v>
      </c>
      <c r="B120" s="3" t="s">
        <v>45</v>
      </c>
      <c r="C120" s="3"/>
      <c r="D120" s="9" t="s">
        <v>44</v>
      </c>
      <c r="E120" s="9"/>
      <c r="F120" s="5">
        <v>29</v>
      </c>
      <c r="G120" s="11">
        <v>2.97</v>
      </c>
      <c r="H120" s="11">
        <f>F120/G120</f>
        <v>9.7643097643097629</v>
      </c>
      <c r="I120" s="11">
        <f>H120*0.681</f>
        <v>6.6494949494949491</v>
      </c>
      <c r="J120" s="9">
        <f>IF(G120&gt;0,1,0)</f>
        <v>1</v>
      </c>
    </row>
    <row r="121" spans="1:10" x14ac:dyDescent="0.15">
      <c r="A121" s="9">
        <v>115</v>
      </c>
      <c r="B121" s="3" t="s">
        <v>50</v>
      </c>
      <c r="C121" s="3"/>
      <c r="D121" s="9" t="s">
        <v>44</v>
      </c>
      <c r="E121" s="9"/>
      <c r="F121" s="5">
        <v>25</v>
      </c>
      <c r="G121" s="11">
        <v>2.63</v>
      </c>
      <c r="H121" s="11">
        <f>F121/G121</f>
        <v>9.5057034220532319</v>
      </c>
      <c r="I121" s="11">
        <f>H121*0.681</f>
        <v>6.4733840304182513</v>
      </c>
      <c r="J121" s="9">
        <f>IF(G121&gt;0,1,0)</f>
        <v>1</v>
      </c>
    </row>
    <row r="122" spans="1:10" x14ac:dyDescent="0.15">
      <c r="A122" s="9">
        <v>95</v>
      </c>
      <c r="B122" s="3" t="s">
        <v>50</v>
      </c>
      <c r="C122" s="3"/>
      <c r="D122" s="9" t="s">
        <v>44</v>
      </c>
      <c r="E122" s="9"/>
      <c r="F122" s="5">
        <v>25</v>
      </c>
      <c r="G122" s="11">
        <v>2.75</v>
      </c>
      <c r="H122" s="11">
        <f>F122/G122</f>
        <v>9.0909090909090917</v>
      </c>
      <c r="I122" s="11">
        <f>H122*0.681</f>
        <v>6.1909090909090922</v>
      </c>
      <c r="J122" s="9">
        <f>IF(G122&gt;0,1,0)</f>
        <v>1</v>
      </c>
    </row>
    <row r="123" spans="1:10" x14ac:dyDescent="0.15">
      <c r="A123" s="9">
        <v>116</v>
      </c>
      <c r="B123" s="3" t="s">
        <v>50</v>
      </c>
      <c r="C123" s="3"/>
      <c r="D123" s="9" t="s">
        <v>44</v>
      </c>
      <c r="E123" s="9"/>
      <c r="F123" s="5">
        <v>25</v>
      </c>
      <c r="G123" s="11">
        <v>2.8</v>
      </c>
      <c r="H123" s="11">
        <f>F123/G123</f>
        <v>8.9285714285714288</v>
      </c>
      <c r="I123" s="11">
        <f>H123*0.681</f>
        <v>6.0803571428571432</v>
      </c>
      <c r="J123" s="9">
        <f>IF(G123&gt;0,1,0)</f>
        <v>1</v>
      </c>
    </row>
    <row r="124" spans="1:10" x14ac:dyDescent="0.15">
      <c r="A124" s="9">
        <v>111</v>
      </c>
      <c r="B124" s="3" t="s">
        <v>50</v>
      </c>
      <c r="C124" s="3"/>
      <c r="D124" s="9" t="s">
        <v>44</v>
      </c>
      <c r="E124" s="9"/>
      <c r="F124" s="5">
        <v>25</v>
      </c>
      <c r="G124" s="11">
        <v>2.88</v>
      </c>
      <c r="H124" s="11">
        <f>F124/G124</f>
        <v>8.6805555555555554</v>
      </c>
      <c r="I124" s="11">
        <f>H124*0.681</f>
        <v>5.9114583333333339</v>
      </c>
      <c r="J124" s="9">
        <f>IF(G124&gt;0,1,0)</f>
        <v>1</v>
      </c>
    </row>
    <row r="125" spans="1:10" x14ac:dyDescent="0.15">
      <c r="A125" s="9">
        <v>121</v>
      </c>
      <c r="B125" s="3" t="s">
        <v>50</v>
      </c>
      <c r="C125" s="3"/>
      <c r="D125" s="9" t="s">
        <v>44</v>
      </c>
      <c r="E125" s="9"/>
      <c r="F125" s="5">
        <v>25</v>
      </c>
      <c r="G125" s="11">
        <v>3</v>
      </c>
      <c r="H125" s="11">
        <f>F125/G125</f>
        <v>8.3333333333333339</v>
      </c>
      <c r="I125" s="11">
        <f>H125*0.681</f>
        <v>5.6750000000000007</v>
      </c>
      <c r="J125" s="9">
        <f>IF(G125&gt;0,1,0)</f>
        <v>1</v>
      </c>
    </row>
    <row r="126" spans="1:10" x14ac:dyDescent="0.15">
      <c r="A126" s="9">
        <v>120</v>
      </c>
      <c r="B126" s="3" t="s">
        <v>50</v>
      </c>
      <c r="C126" s="3"/>
      <c r="D126" s="9" t="s">
        <v>44</v>
      </c>
      <c r="E126" s="9"/>
      <c r="F126" s="5">
        <v>25</v>
      </c>
      <c r="G126" s="11">
        <v>3.04</v>
      </c>
      <c r="H126" s="11">
        <f>F126/G126</f>
        <v>8.223684210526315</v>
      </c>
      <c r="I126" s="11">
        <f>H126*0.681</f>
        <v>5.6003289473684212</v>
      </c>
      <c r="J126" s="9">
        <f>IF(G126&gt;0,1,0)</f>
        <v>1</v>
      </c>
    </row>
    <row r="127" spans="1:10" x14ac:dyDescent="0.15">
      <c r="A127" s="9">
        <v>117</v>
      </c>
      <c r="B127" s="3" t="s">
        <v>50</v>
      </c>
      <c r="C127" s="3"/>
      <c r="D127" s="9" t="s">
        <v>44</v>
      </c>
      <c r="E127" s="9"/>
      <c r="F127" s="5">
        <v>25</v>
      </c>
      <c r="G127" s="11">
        <v>3.07</v>
      </c>
      <c r="H127" s="11">
        <f>F127/G127</f>
        <v>8.1433224755700326</v>
      </c>
      <c r="I127" s="11">
        <f>H127*0.681</f>
        <v>5.5456026058631922</v>
      </c>
      <c r="J127" s="9">
        <f>IF(G127&gt;0,1,0)</f>
        <v>1</v>
      </c>
    </row>
    <row r="128" spans="1:10" x14ac:dyDescent="0.15">
      <c r="A128" s="9">
        <v>106</v>
      </c>
      <c r="B128" s="3" t="s">
        <v>50</v>
      </c>
      <c r="C128" s="3"/>
      <c r="D128" s="9" t="s">
        <v>44</v>
      </c>
      <c r="E128" s="9"/>
      <c r="F128" s="5">
        <v>25</v>
      </c>
      <c r="G128" s="11">
        <v>3.29</v>
      </c>
      <c r="H128" s="11">
        <f>F128/G128</f>
        <v>7.598784194528875</v>
      </c>
      <c r="I128" s="11">
        <f>H128*0.681</f>
        <v>5.1747720364741641</v>
      </c>
      <c r="J128" s="9">
        <f>IF(G128&gt;0,1,0)</f>
        <v>1</v>
      </c>
    </row>
    <row r="129" spans="1:10" x14ac:dyDescent="0.15">
      <c r="A129" s="9">
        <v>4</v>
      </c>
      <c r="B129" s="3" t="s">
        <v>43</v>
      </c>
      <c r="C129" s="3"/>
      <c r="D129" s="9" t="s">
        <v>44</v>
      </c>
      <c r="E129" s="9"/>
      <c r="F129" s="5">
        <v>30</v>
      </c>
      <c r="G129" s="11">
        <v>4.05</v>
      </c>
      <c r="H129" s="11">
        <f>F129/G129</f>
        <v>7.4074074074074074</v>
      </c>
      <c r="I129" s="11">
        <f>H129*0.681</f>
        <v>5.0444444444444452</v>
      </c>
      <c r="J129" s="9">
        <f>IF(G129&gt;0,1,0)</f>
        <v>1</v>
      </c>
    </row>
  </sheetData>
  <sortState xmlns:xlrd2="http://schemas.microsoft.com/office/spreadsheetml/2017/richdata2" ref="A2:J130">
    <sortCondition descending="1" ref="I2:I13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5"/>
  <sheetViews>
    <sheetView tabSelected="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T27" sqref="T27"/>
    </sheetView>
  </sheetViews>
  <sheetFormatPr baseColWidth="10" defaultColWidth="8.83203125" defaultRowHeight="14" x14ac:dyDescent="0.15"/>
  <cols>
    <col min="1" max="1" width="7" customWidth="1"/>
    <col min="3" max="3" width="8" style="8" customWidth="1"/>
    <col min="4" max="4" width="8.83203125" style="8"/>
    <col min="5" max="5" width="7.83203125" style="8" customWidth="1"/>
    <col min="6" max="6" width="8.83203125" style="6" customWidth="1"/>
    <col min="7" max="7" width="7.33203125" style="16" customWidth="1"/>
    <col min="8" max="8" width="8" style="12" customWidth="1"/>
    <col min="9" max="9" width="7.5" style="12" customWidth="1"/>
  </cols>
  <sheetData>
    <row r="1" spans="1:13" s="7" customFormat="1" ht="44.25" customHeight="1" x14ac:dyDescent="0.15">
      <c r="A1" s="4" t="s">
        <v>16</v>
      </c>
      <c r="B1" s="4" t="s">
        <v>0</v>
      </c>
      <c r="C1" s="4" t="s">
        <v>17</v>
      </c>
      <c r="D1" s="4" t="s">
        <v>7</v>
      </c>
      <c r="E1" s="4" t="s">
        <v>8</v>
      </c>
      <c r="F1" s="4" t="s">
        <v>9</v>
      </c>
      <c r="G1" s="14" t="s">
        <v>3</v>
      </c>
      <c r="H1" s="10" t="s">
        <v>5</v>
      </c>
      <c r="I1" s="10" t="s">
        <v>4</v>
      </c>
      <c r="J1" s="4" t="s">
        <v>20</v>
      </c>
      <c r="L1" s="7" t="s">
        <v>31</v>
      </c>
      <c r="M1" s="7" t="s">
        <v>16</v>
      </c>
    </row>
    <row r="2" spans="1:13" x14ac:dyDescent="0.15">
      <c r="A2" s="9">
        <v>30</v>
      </c>
      <c r="B2" s="3" t="s">
        <v>29</v>
      </c>
      <c r="C2" s="9" t="s">
        <v>18</v>
      </c>
      <c r="D2" s="9" t="s">
        <v>10</v>
      </c>
      <c r="E2" s="9" t="s">
        <v>15</v>
      </c>
      <c r="F2" s="5">
        <v>47</v>
      </c>
      <c r="G2" s="15">
        <v>4.93</v>
      </c>
      <c r="H2" s="11">
        <f t="shared" ref="H2:H45" si="0">F2/G2</f>
        <v>9.5334685598377291</v>
      </c>
      <c r="I2" s="11">
        <f t="shared" ref="I2:I45" si="1">H2*0.681</f>
        <v>6.492292089249494</v>
      </c>
      <c r="J2" s="9">
        <f t="shared" ref="J2:J45" si="2">IF(G2&gt;0,1,0)</f>
        <v>1</v>
      </c>
      <c r="L2" t="s">
        <v>32</v>
      </c>
      <c r="M2">
        <v>1</v>
      </c>
    </row>
    <row r="3" spans="1:13" x14ac:dyDescent="0.15">
      <c r="A3" s="9">
        <v>17</v>
      </c>
      <c r="B3" s="3" t="s">
        <v>25</v>
      </c>
      <c r="C3" s="9" t="s">
        <v>19</v>
      </c>
      <c r="D3" s="9" t="s">
        <v>10</v>
      </c>
      <c r="E3" s="9" t="s">
        <v>15</v>
      </c>
      <c r="F3" s="5">
        <v>12</v>
      </c>
      <c r="G3" s="15">
        <v>0.98</v>
      </c>
      <c r="H3" s="11">
        <f t="shared" si="0"/>
        <v>12.244897959183673</v>
      </c>
      <c r="I3" s="11">
        <f t="shared" si="1"/>
        <v>8.3387755102040817</v>
      </c>
      <c r="J3" s="9">
        <f t="shared" si="2"/>
        <v>1</v>
      </c>
      <c r="L3" t="s">
        <v>33</v>
      </c>
      <c r="M3">
        <v>2</v>
      </c>
    </row>
    <row r="4" spans="1:13" x14ac:dyDescent="0.15">
      <c r="A4" s="9">
        <v>33</v>
      </c>
      <c r="B4" s="3" t="s">
        <v>25</v>
      </c>
      <c r="C4" s="9" t="s">
        <v>19</v>
      </c>
      <c r="D4" s="9" t="s">
        <v>10</v>
      </c>
      <c r="E4" s="9" t="s">
        <v>15</v>
      </c>
      <c r="F4" s="5">
        <v>24</v>
      </c>
      <c r="G4" s="15">
        <v>1.64</v>
      </c>
      <c r="H4" s="11">
        <f t="shared" si="0"/>
        <v>14.634146341463415</v>
      </c>
      <c r="I4" s="11">
        <f t="shared" si="1"/>
        <v>9.9658536585365862</v>
      </c>
      <c r="J4" s="9">
        <f t="shared" si="2"/>
        <v>1</v>
      </c>
      <c r="L4" t="s">
        <v>34</v>
      </c>
      <c r="M4">
        <v>12</v>
      </c>
    </row>
    <row r="5" spans="1:13" x14ac:dyDescent="0.15">
      <c r="A5" s="9">
        <v>43</v>
      </c>
      <c r="B5" s="3" t="s">
        <v>23</v>
      </c>
      <c r="C5" s="9" t="s">
        <v>24</v>
      </c>
      <c r="D5" s="9" t="s">
        <v>10</v>
      </c>
      <c r="E5" s="9" t="s">
        <v>15</v>
      </c>
      <c r="F5" s="5">
        <v>32</v>
      </c>
      <c r="G5" s="15">
        <v>2.15</v>
      </c>
      <c r="H5" s="11">
        <f t="shared" si="0"/>
        <v>14.883720930232558</v>
      </c>
      <c r="I5" s="11">
        <f t="shared" si="1"/>
        <v>10.135813953488373</v>
      </c>
      <c r="J5" s="9">
        <f t="shared" si="2"/>
        <v>1</v>
      </c>
      <c r="L5" t="s">
        <v>35</v>
      </c>
      <c r="M5">
        <v>7</v>
      </c>
    </row>
    <row r="6" spans="1:13" x14ac:dyDescent="0.15">
      <c r="A6" s="9">
        <v>32</v>
      </c>
      <c r="B6" s="3" t="s">
        <v>25</v>
      </c>
      <c r="C6" s="9" t="s">
        <v>18</v>
      </c>
      <c r="D6" s="9" t="s">
        <v>10</v>
      </c>
      <c r="E6" s="9" t="s">
        <v>15</v>
      </c>
      <c r="F6" s="5">
        <v>39</v>
      </c>
      <c r="G6" s="15">
        <v>2.6</v>
      </c>
      <c r="H6" s="11">
        <f t="shared" si="0"/>
        <v>15</v>
      </c>
      <c r="I6" s="11">
        <f t="shared" si="1"/>
        <v>10.215</v>
      </c>
      <c r="J6" s="9">
        <f t="shared" si="2"/>
        <v>1</v>
      </c>
      <c r="L6" t="s">
        <v>36</v>
      </c>
      <c r="M6">
        <v>8</v>
      </c>
    </row>
    <row r="7" spans="1:13" x14ac:dyDescent="0.15">
      <c r="A7" s="9">
        <v>35</v>
      </c>
      <c r="B7" s="3" t="s">
        <v>25</v>
      </c>
      <c r="C7" s="9" t="s">
        <v>19</v>
      </c>
      <c r="D7" s="9" t="s">
        <v>10</v>
      </c>
      <c r="E7" s="9" t="s">
        <v>15</v>
      </c>
      <c r="F7" s="5">
        <v>24</v>
      </c>
      <c r="G7" s="15">
        <v>1.58</v>
      </c>
      <c r="H7" s="11">
        <f t="shared" si="0"/>
        <v>15.189873417721518</v>
      </c>
      <c r="I7" s="11">
        <f t="shared" si="1"/>
        <v>10.344303797468354</v>
      </c>
      <c r="J7" s="9">
        <f t="shared" si="2"/>
        <v>1</v>
      </c>
      <c r="L7" t="s">
        <v>37</v>
      </c>
      <c r="M7">
        <v>5</v>
      </c>
    </row>
    <row r="8" spans="1:13" x14ac:dyDescent="0.15">
      <c r="A8" s="9">
        <v>22</v>
      </c>
      <c r="B8" s="3" t="s">
        <v>25</v>
      </c>
      <c r="C8" s="9" t="s">
        <v>19</v>
      </c>
      <c r="D8" s="9" t="s">
        <v>10</v>
      </c>
      <c r="E8" s="9" t="s">
        <v>15</v>
      </c>
      <c r="F8" s="5">
        <v>24</v>
      </c>
      <c r="G8" s="15">
        <v>1.57</v>
      </c>
      <c r="H8" s="11">
        <f t="shared" si="0"/>
        <v>15.286624203821656</v>
      </c>
      <c r="I8" s="11">
        <f t="shared" si="1"/>
        <v>10.410191082802548</v>
      </c>
      <c r="J8" s="9">
        <f t="shared" si="2"/>
        <v>1</v>
      </c>
      <c r="L8" t="s">
        <v>38</v>
      </c>
      <c r="M8">
        <v>5</v>
      </c>
    </row>
    <row r="9" spans="1:13" x14ac:dyDescent="0.15">
      <c r="A9" s="9">
        <v>36</v>
      </c>
      <c r="B9" s="3" t="s">
        <v>25</v>
      </c>
      <c r="C9" s="9" t="s">
        <v>18</v>
      </c>
      <c r="D9" s="9" t="s">
        <v>10</v>
      </c>
      <c r="E9" s="9" t="s">
        <v>15</v>
      </c>
      <c r="F9" s="5">
        <v>39</v>
      </c>
      <c r="G9" s="15">
        <v>2.52</v>
      </c>
      <c r="H9" s="11">
        <f t="shared" si="0"/>
        <v>15.476190476190476</v>
      </c>
      <c r="I9" s="11">
        <f t="shared" si="1"/>
        <v>10.539285714285715</v>
      </c>
      <c r="J9" s="9">
        <f t="shared" si="2"/>
        <v>1</v>
      </c>
      <c r="L9" t="s">
        <v>39</v>
      </c>
      <c r="M9">
        <v>2</v>
      </c>
    </row>
    <row r="10" spans="1:13" x14ac:dyDescent="0.15">
      <c r="A10" s="9">
        <v>19</v>
      </c>
      <c r="B10" s="3" t="s">
        <v>25</v>
      </c>
      <c r="C10" s="9" t="s">
        <v>19</v>
      </c>
      <c r="D10" s="9" t="s">
        <v>10</v>
      </c>
      <c r="E10" s="9" t="s">
        <v>15</v>
      </c>
      <c r="F10" s="5">
        <v>24</v>
      </c>
      <c r="G10" s="15">
        <v>1.54</v>
      </c>
      <c r="H10" s="11">
        <f t="shared" si="0"/>
        <v>15.584415584415584</v>
      </c>
      <c r="I10" s="11">
        <f t="shared" si="1"/>
        <v>10.612987012987015</v>
      </c>
      <c r="J10" s="9">
        <f t="shared" si="2"/>
        <v>1</v>
      </c>
      <c r="L10" t="s">
        <v>40</v>
      </c>
      <c r="M10">
        <v>3</v>
      </c>
    </row>
    <row r="11" spans="1:13" x14ac:dyDescent="0.15">
      <c r="A11" s="9">
        <v>21</v>
      </c>
      <c r="B11" s="3" t="s">
        <v>25</v>
      </c>
      <c r="C11" s="9" t="s">
        <v>18</v>
      </c>
      <c r="D11" s="9" t="s">
        <v>10</v>
      </c>
      <c r="E11" s="9" t="s">
        <v>15</v>
      </c>
      <c r="F11" s="5">
        <v>39</v>
      </c>
      <c r="G11" s="15">
        <v>2.46</v>
      </c>
      <c r="H11" s="11">
        <f t="shared" si="0"/>
        <v>15.853658536585366</v>
      </c>
      <c r="I11" s="11">
        <f t="shared" si="1"/>
        <v>10.796341463414635</v>
      </c>
      <c r="J11" s="9">
        <f t="shared" si="2"/>
        <v>1</v>
      </c>
      <c r="L11" t="s">
        <v>41</v>
      </c>
      <c r="M11">
        <v>1</v>
      </c>
    </row>
    <row r="12" spans="1:13" x14ac:dyDescent="0.15">
      <c r="A12" s="9">
        <v>31</v>
      </c>
      <c r="B12" s="3" t="s">
        <v>29</v>
      </c>
      <c r="C12" s="9" t="s">
        <v>18</v>
      </c>
      <c r="D12" s="9" t="s">
        <v>10</v>
      </c>
      <c r="E12" s="9" t="s">
        <v>15</v>
      </c>
      <c r="F12" s="5">
        <v>47</v>
      </c>
      <c r="G12" s="15">
        <v>2.92</v>
      </c>
      <c r="H12" s="11">
        <f t="shared" si="0"/>
        <v>16.095890410958905</v>
      </c>
      <c r="I12" s="11">
        <f t="shared" si="1"/>
        <v>10.961301369863016</v>
      </c>
      <c r="J12" s="9">
        <f t="shared" si="2"/>
        <v>1</v>
      </c>
    </row>
    <row r="13" spans="1:13" x14ac:dyDescent="0.15">
      <c r="A13" s="9">
        <v>20</v>
      </c>
      <c r="B13" s="3" t="s">
        <v>25</v>
      </c>
      <c r="C13" s="9" t="s">
        <v>18</v>
      </c>
      <c r="D13" s="9" t="s">
        <v>10</v>
      </c>
      <c r="E13" s="9" t="s">
        <v>15</v>
      </c>
      <c r="F13" s="5">
        <v>39</v>
      </c>
      <c r="G13" s="15">
        <v>2.31</v>
      </c>
      <c r="H13" s="11">
        <f t="shared" si="0"/>
        <v>16.883116883116884</v>
      </c>
      <c r="I13" s="11">
        <f t="shared" si="1"/>
        <v>11.4974025974026</v>
      </c>
      <c r="J13" s="9">
        <f t="shared" si="2"/>
        <v>1</v>
      </c>
    </row>
    <row r="14" spans="1:13" x14ac:dyDescent="0.15">
      <c r="A14" s="9">
        <v>9</v>
      </c>
      <c r="B14" s="3" t="s">
        <v>14</v>
      </c>
      <c r="C14" s="9" t="s">
        <v>19</v>
      </c>
      <c r="D14" s="9" t="s">
        <v>10</v>
      </c>
      <c r="E14" s="9" t="s">
        <v>15</v>
      </c>
      <c r="F14" s="5">
        <v>25</v>
      </c>
      <c r="G14" s="15">
        <v>1.48</v>
      </c>
      <c r="H14" s="11">
        <f t="shared" si="0"/>
        <v>16.891891891891891</v>
      </c>
      <c r="I14" s="11">
        <f t="shared" si="1"/>
        <v>11.503378378378379</v>
      </c>
      <c r="J14" s="9">
        <f t="shared" si="2"/>
        <v>1</v>
      </c>
    </row>
    <row r="15" spans="1:13" x14ac:dyDescent="0.15">
      <c r="A15" s="9">
        <v>10</v>
      </c>
      <c r="B15" s="3" t="s">
        <v>14</v>
      </c>
      <c r="C15" s="9" t="s">
        <v>19</v>
      </c>
      <c r="D15" s="9" t="s">
        <v>10</v>
      </c>
      <c r="E15" s="9" t="s">
        <v>15</v>
      </c>
      <c r="F15" s="5">
        <v>25</v>
      </c>
      <c r="G15" s="15">
        <v>1.44</v>
      </c>
      <c r="H15" s="11">
        <f t="shared" si="0"/>
        <v>17.361111111111111</v>
      </c>
      <c r="I15" s="11">
        <f t="shared" si="1"/>
        <v>11.822916666666668</v>
      </c>
      <c r="J15" s="9">
        <f t="shared" si="2"/>
        <v>1</v>
      </c>
    </row>
    <row r="16" spans="1:13" x14ac:dyDescent="0.15">
      <c r="A16" s="9">
        <v>3</v>
      </c>
      <c r="B16" s="3" t="s">
        <v>14</v>
      </c>
      <c r="C16" s="9" t="s">
        <v>19</v>
      </c>
      <c r="D16" s="9" t="s">
        <v>10</v>
      </c>
      <c r="E16" s="9" t="s">
        <v>15</v>
      </c>
      <c r="F16" s="5">
        <v>25</v>
      </c>
      <c r="G16" s="15">
        <v>1.43</v>
      </c>
      <c r="H16" s="11">
        <f t="shared" si="0"/>
        <v>17.482517482517483</v>
      </c>
      <c r="I16" s="11">
        <f t="shared" si="1"/>
        <v>11.905594405594407</v>
      </c>
      <c r="J16" s="9">
        <f t="shared" si="2"/>
        <v>1</v>
      </c>
    </row>
    <row r="17" spans="1:10" x14ac:dyDescent="0.15">
      <c r="A17" s="9">
        <v>16</v>
      </c>
      <c r="B17" s="3" t="s">
        <v>25</v>
      </c>
      <c r="C17" s="9" t="s">
        <v>19</v>
      </c>
      <c r="D17" s="9" t="s">
        <v>10</v>
      </c>
      <c r="E17" s="9" t="s">
        <v>15</v>
      </c>
      <c r="F17" s="5">
        <v>12</v>
      </c>
      <c r="G17" s="15">
        <v>0.68</v>
      </c>
      <c r="H17" s="11">
        <f t="shared" si="0"/>
        <v>17.647058823529409</v>
      </c>
      <c r="I17" s="11">
        <f t="shared" si="1"/>
        <v>12.017647058823529</v>
      </c>
      <c r="J17" s="9">
        <f t="shared" si="2"/>
        <v>1</v>
      </c>
    </row>
    <row r="18" spans="1:10" x14ac:dyDescent="0.15">
      <c r="A18" s="9">
        <v>41</v>
      </c>
      <c r="B18" s="3" t="s">
        <v>23</v>
      </c>
      <c r="C18" s="9" t="s">
        <v>24</v>
      </c>
      <c r="D18" s="9" t="s">
        <v>10</v>
      </c>
      <c r="E18" s="9" t="s">
        <v>15</v>
      </c>
      <c r="F18" s="5">
        <v>32</v>
      </c>
      <c r="G18" s="15">
        <v>1.74</v>
      </c>
      <c r="H18" s="11">
        <f t="shared" si="0"/>
        <v>18.390804597701148</v>
      </c>
      <c r="I18" s="11">
        <f t="shared" si="1"/>
        <v>12.524137931034483</v>
      </c>
      <c r="J18" s="9">
        <f t="shared" si="2"/>
        <v>1</v>
      </c>
    </row>
    <row r="19" spans="1:10" x14ac:dyDescent="0.15">
      <c r="A19" s="9">
        <v>34</v>
      </c>
      <c r="B19" s="3" t="s">
        <v>25</v>
      </c>
      <c r="C19" s="9" t="s">
        <v>18</v>
      </c>
      <c r="D19" s="9" t="s">
        <v>10</v>
      </c>
      <c r="E19" s="9" t="s">
        <v>15</v>
      </c>
      <c r="F19" s="5">
        <v>39</v>
      </c>
      <c r="G19" s="15">
        <v>2.1</v>
      </c>
      <c r="H19" s="11">
        <f t="shared" si="0"/>
        <v>18.571428571428569</v>
      </c>
      <c r="I19" s="11">
        <f t="shared" si="1"/>
        <v>12.647142857142857</v>
      </c>
      <c r="J19" s="9">
        <f t="shared" si="2"/>
        <v>1</v>
      </c>
    </row>
    <row r="20" spans="1:10" x14ac:dyDescent="0.15">
      <c r="A20" s="9">
        <v>15</v>
      </c>
      <c r="B20" s="3" t="s">
        <v>23</v>
      </c>
      <c r="C20" s="9" t="s">
        <v>24</v>
      </c>
      <c r="D20" s="9" t="s">
        <v>10</v>
      </c>
      <c r="E20" s="9" t="s">
        <v>15</v>
      </c>
      <c r="F20" s="5">
        <v>67</v>
      </c>
      <c r="G20" s="15">
        <v>3.59</v>
      </c>
      <c r="H20" s="11">
        <f t="shared" si="0"/>
        <v>18.662952646239557</v>
      </c>
      <c r="I20" s="11">
        <f t="shared" si="1"/>
        <v>12.709470752089139</v>
      </c>
      <c r="J20" s="9">
        <f t="shared" si="2"/>
        <v>1</v>
      </c>
    </row>
    <row r="21" spans="1:10" x14ac:dyDescent="0.15">
      <c r="A21" s="9">
        <v>40</v>
      </c>
      <c r="B21" s="3" t="s">
        <v>23</v>
      </c>
      <c r="C21" s="9" t="s">
        <v>26</v>
      </c>
      <c r="D21" s="9" t="s">
        <v>10</v>
      </c>
      <c r="E21" s="9" t="s">
        <v>15</v>
      </c>
      <c r="F21" s="5">
        <v>32</v>
      </c>
      <c r="G21" s="15">
        <v>1.7</v>
      </c>
      <c r="H21" s="11">
        <f t="shared" si="0"/>
        <v>18.823529411764707</v>
      </c>
      <c r="I21" s="11">
        <f t="shared" si="1"/>
        <v>12.818823529411766</v>
      </c>
      <c r="J21" s="9">
        <f t="shared" si="2"/>
        <v>1</v>
      </c>
    </row>
    <row r="22" spans="1:10" x14ac:dyDescent="0.15">
      <c r="A22" s="9">
        <v>39</v>
      </c>
      <c r="B22" s="3" t="s">
        <v>25</v>
      </c>
      <c r="C22" s="9" t="s">
        <v>19</v>
      </c>
      <c r="D22" s="9" t="s">
        <v>10</v>
      </c>
      <c r="E22" s="9" t="s">
        <v>15</v>
      </c>
      <c r="F22" s="5">
        <v>24</v>
      </c>
      <c r="G22" s="15">
        <v>1.25</v>
      </c>
      <c r="H22" s="11">
        <f t="shared" si="0"/>
        <v>19.2</v>
      </c>
      <c r="I22" s="11">
        <f t="shared" si="1"/>
        <v>13.075200000000001</v>
      </c>
      <c r="J22" s="9">
        <f t="shared" si="2"/>
        <v>1</v>
      </c>
    </row>
    <row r="23" spans="1:10" x14ac:dyDescent="0.15">
      <c r="A23" s="9">
        <v>29</v>
      </c>
      <c r="B23" s="3" t="s">
        <v>23</v>
      </c>
      <c r="C23" s="9" t="s">
        <v>26</v>
      </c>
      <c r="D23" s="9" t="s">
        <v>10</v>
      </c>
      <c r="E23" s="9" t="s">
        <v>15</v>
      </c>
      <c r="F23" s="5">
        <v>32</v>
      </c>
      <c r="G23" s="15">
        <v>1.66</v>
      </c>
      <c r="H23" s="11">
        <f t="shared" si="0"/>
        <v>19.277108433734941</v>
      </c>
      <c r="I23" s="11">
        <f t="shared" si="1"/>
        <v>13.127710843373496</v>
      </c>
      <c r="J23" s="9">
        <f t="shared" si="2"/>
        <v>1</v>
      </c>
    </row>
    <row r="24" spans="1:10" x14ac:dyDescent="0.15">
      <c r="A24" s="9">
        <v>5</v>
      </c>
      <c r="B24" s="3" t="s">
        <v>14</v>
      </c>
      <c r="C24" s="9" t="s">
        <v>18</v>
      </c>
      <c r="D24" s="9" t="s">
        <v>10</v>
      </c>
      <c r="E24" s="9" t="s">
        <v>15</v>
      </c>
      <c r="F24" s="5">
        <v>48</v>
      </c>
      <c r="G24" s="15">
        <v>2.27</v>
      </c>
      <c r="H24" s="11">
        <f t="shared" si="0"/>
        <v>21.145374449339208</v>
      </c>
      <c r="I24" s="11">
        <f t="shared" si="1"/>
        <v>14.400000000000002</v>
      </c>
      <c r="J24" s="9">
        <f t="shared" si="2"/>
        <v>1</v>
      </c>
    </row>
    <row r="25" spans="1:10" x14ac:dyDescent="0.15">
      <c r="A25" s="9">
        <v>7</v>
      </c>
      <c r="B25" s="3" t="s">
        <v>14</v>
      </c>
      <c r="C25" s="9" t="s">
        <v>18</v>
      </c>
      <c r="D25" s="9" t="s">
        <v>10</v>
      </c>
      <c r="E25" s="9" t="s">
        <v>15</v>
      </c>
      <c r="F25" s="5">
        <v>48</v>
      </c>
      <c r="G25" s="15">
        <v>2.2000000000000002</v>
      </c>
      <c r="H25" s="11">
        <f t="shared" si="0"/>
        <v>21.818181818181817</v>
      </c>
      <c r="I25" s="11">
        <f t="shared" si="1"/>
        <v>14.858181818181817</v>
      </c>
      <c r="J25" s="9">
        <f t="shared" si="2"/>
        <v>1</v>
      </c>
    </row>
    <row r="26" spans="1:10" x14ac:dyDescent="0.15">
      <c r="A26" s="9">
        <v>4</v>
      </c>
      <c r="B26" s="3" t="s">
        <v>14</v>
      </c>
      <c r="C26" s="9" t="s">
        <v>18</v>
      </c>
      <c r="D26" s="9" t="s">
        <v>10</v>
      </c>
      <c r="E26" s="9" t="s">
        <v>15</v>
      </c>
      <c r="F26" s="5">
        <v>48</v>
      </c>
      <c r="G26" s="15">
        <v>2.12</v>
      </c>
      <c r="H26" s="11">
        <f t="shared" si="0"/>
        <v>22.641509433962263</v>
      </c>
      <c r="I26" s="11">
        <f t="shared" si="1"/>
        <v>15.418867924528302</v>
      </c>
      <c r="J26" s="9">
        <f t="shared" si="2"/>
        <v>1</v>
      </c>
    </row>
    <row r="27" spans="1:10" x14ac:dyDescent="0.15">
      <c r="A27" s="9">
        <v>11</v>
      </c>
      <c r="B27" s="3" t="s">
        <v>14</v>
      </c>
      <c r="C27" s="9" t="s">
        <v>19</v>
      </c>
      <c r="D27" s="9" t="s">
        <v>10</v>
      </c>
      <c r="E27" s="9" t="s">
        <v>15</v>
      </c>
      <c r="F27" s="5">
        <v>25</v>
      </c>
      <c r="G27" s="15">
        <v>1.0900000000000001</v>
      </c>
      <c r="H27" s="11">
        <f t="shared" si="0"/>
        <v>22.935779816513758</v>
      </c>
      <c r="I27" s="11">
        <f t="shared" si="1"/>
        <v>15.61926605504587</v>
      </c>
      <c r="J27" s="9">
        <f t="shared" si="2"/>
        <v>1</v>
      </c>
    </row>
    <row r="28" spans="1:10" x14ac:dyDescent="0.15">
      <c r="A28" s="9">
        <v>26</v>
      </c>
      <c r="B28" s="3" t="s">
        <v>23</v>
      </c>
      <c r="C28" s="9" t="s">
        <v>26</v>
      </c>
      <c r="D28" s="9" t="s">
        <v>10</v>
      </c>
      <c r="E28" s="9" t="s">
        <v>15</v>
      </c>
      <c r="F28" s="5">
        <v>32</v>
      </c>
      <c r="G28" s="15">
        <v>1.38</v>
      </c>
      <c r="H28" s="11">
        <f t="shared" si="0"/>
        <v>23.188405797101453</v>
      </c>
      <c r="I28" s="11">
        <f t="shared" si="1"/>
        <v>15.79130434782609</v>
      </c>
      <c r="J28" s="9">
        <f t="shared" si="2"/>
        <v>1</v>
      </c>
    </row>
    <row r="29" spans="1:10" x14ac:dyDescent="0.15">
      <c r="A29" s="9">
        <v>37</v>
      </c>
      <c r="B29" s="3" t="s">
        <v>25</v>
      </c>
      <c r="C29" s="9" t="s">
        <v>19</v>
      </c>
      <c r="D29" s="9" t="s">
        <v>10</v>
      </c>
      <c r="E29" s="9" t="s">
        <v>15</v>
      </c>
      <c r="F29" s="5">
        <v>24</v>
      </c>
      <c r="G29" s="15">
        <v>1.03</v>
      </c>
      <c r="H29" s="11">
        <f t="shared" si="0"/>
        <v>23.300970873786408</v>
      </c>
      <c r="I29" s="11">
        <f t="shared" si="1"/>
        <v>15.867961165048545</v>
      </c>
      <c r="J29" s="9">
        <f t="shared" si="2"/>
        <v>1</v>
      </c>
    </row>
    <row r="30" spans="1:10" x14ac:dyDescent="0.15">
      <c r="A30" s="9">
        <v>38</v>
      </c>
      <c r="B30" s="3" t="s">
        <v>25</v>
      </c>
      <c r="C30" s="9" t="s">
        <v>19</v>
      </c>
      <c r="D30" s="9" t="s">
        <v>10</v>
      </c>
      <c r="E30" s="9" t="s">
        <v>15</v>
      </c>
      <c r="F30" s="5">
        <v>24</v>
      </c>
      <c r="G30" s="15">
        <v>1.03</v>
      </c>
      <c r="H30" s="11">
        <f t="shared" si="0"/>
        <v>23.300970873786408</v>
      </c>
      <c r="I30" s="11">
        <f t="shared" si="1"/>
        <v>15.867961165048545</v>
      </c>
      <c r="J30" s="9">
        <f t="shared" si="2"/>
        <v>1</v>
      </c>
    </row>
    <row r="31" spans="1:10" x14ac:dyDescent="0.15">
      <c r="A31" s="9">
        <v>25</v>
      </c>
      <c r="B31" s="3" t="s">
        <v>23</v>
      </c>
      <c r="C31" s="9" t="s">
        <v>26</v>
      </c>
      <c r="D31" s="9" t="s">
        <v>10</v>
      </c>
      <c r="E31" s="9" t="s">
        <v>15</v>
      </c>
      <c r="F31" s="5">
        <v>32</v>
      </c>
      <c r="G31" s="15">
        <v>1.36</v>
      </c>
      <c r="H31" s="11">
        <f t="shared" si="0"/>
        <v>23.52941176470588</v>
      </c>
      <c r="I31" s="11">
        <f t="shared" si="1"/>
        <v>16.023529411764706</v>
      </c>
      <c r="J31" s="9">
        <f t="shared" si="2"/>
        <v>1</v>
      </c>
    </row>
    <row r="32" spans="1:10" x14ac:dyDescent="0.15">
      <c r="A32" s="9">
        <v>18</v>
      </c>
      <c r="B32" s="3" t="s">
        <v>25</v>
      </c>
      <c r="C32" s="9" t="s">
        <v>19</v>
      </c>
      <c r="D32" s="9" t="s">
        <v>10</v>
      </c>
      <c r="E32" s="9" t="s">
        <v>15</v>
      </c>
      <c r="F32" s="5">
        <v>24</v>
      </c>
      <c r="G32" s="15">
        <v>1.01</v>
      </c>
      <c r="H32" s="11">
        <f t="shared" si="0"/>
        <v>23.762376237623762</v>
      </c>
      <c r="I32" s="11">
        <f t="shared" si="1"/>
        <v>16.182178217821782</v>
      </c>
      <c r="J32" s="9">
        <f t="shared" si="2"/>
        <v>1</v>
      </c>
    </row>
    <row r="33" spans="1:10" x14ac:dyDescent="0.15">
      <c r="A33" s="9">
        <v>8</v>
      </c>
      <c r="B33" s="3" t="s">
        <v>14</v>
      </c>
      <c r="C33" s="9" t="s">
        <v>19</v>
      </c>
      <c r="D33" s="9" t="s">
        <v>10</v>
      </c>
      <c r="E33" s="9" t="s">
        <v>15</v>
      </c>
      <c r="F33" s="5">
        <v>25</v>
      </c>
      <c r="G33" s="15">
        <v>1.04</v>
      </c>
      <c r="H33" s="11">
        <f t="shared" si="0"/>
        <v>24.038461538461537</v>
      </c>
      <c r="I33" s="11">
        <f t="shared" si="1"/>
        <v>16.370192307692307</v>
      </c>
      <c r="J33" s="9">
        <f t="shared" si="2"/>
        <v>1</v>
      </c>
    </row>
    <row r="34" spans="1:10" x14ac:dyDescent="0.15">
      <c r="A34" s="9">
        <v>2</v>
      </c>
      <c r="B34" s="3" t="s">
        <v>14</v>
      </c>
      <c r="C34" s="9" t="s">
        <v>18</v>
      </c>
      <c r="D34" s="9" t="s">
        <v>10</v>
      </c>
      <c r="E34" s="9" t="s">
        <v>15</v>
      </c>
      <c r="F34" s="5">
        <v>48</v>
      </c>
      <c r="G34" s="15">
        <v>1.97</v>
      </c>
      <c r="H34" s="11">
        <f t="shared" si="0"/>
        <v>24.36548223350254</v>
      </c>
      <c r="I34" s="11">
        <f t="shared" si="1"/>
        <v>16.592893401015232</v>
      </c>
      <c r="J34" s="9">
        <f t="shared" si="2"/>
        <v>1</v>
      </c>
    </row>
    <row r="35" spans="1:10" x14ac:dyDescent="0.15">
      <c r="A35" s="9">
        <v>23</v>
      </c>
      <c r="B35" s="3" t="s">
        <v>23</v>
      </c>
      <c r="C35" s="9" t="s">
        <v>24</v>
      </c>
      <c r="D35" s="9" t="s">
        <v>10</v>
      </c>
      <c r="E35" s="9" t="s">
        <v>15</v>
      </c>
      <c r="F35" s="5">
        <v>32</v>
      </c>
      <c r="G35" s="15">
        <v>1.27</v>
      </c>
      <c r="H35" s="11">
        <f t="shared" si="0"/>
        <v>25.196850393700785</v>
      </c>
      <c r="I35" s="11">
        <f t="shared" si="1"/>
        <v>17.159055118110235</v>
      </c>
      <c r="J35" s="9">
        <f t="shared" si="2"/>
        <v>1</v>
      </c>
    </row>
    <row r="36" spans="1:10" x14ac:dyDescent="0.15">
      <c r="A36" s="9">
        <v>27</v>
      </c>
      <c r="B36" s="3" t="s">
        <v>23</v>
      </c>
      <c r="C36" s="9" t="s">
        <v>24</v>
      </c>
      <c r="D36" s="9" t="s">
        <v>10</v>
      </c>
      <c r="E36" s="9" t="s">
        <v>15</v>
      </c>
      <c r="F36" s="5">
        <v>32</v>
      </c>
      <c r="G36" s="15">
        <v>1.22</v>
      </c>
      <c r="H36" s="11">
        <f t="shared" si="0"/>
        <v>26.229508196721312</v>
      </c>
      <c r="I36" s="11">
        <f t="shared" si="1"/>
        <v>17.862295081967215</v>
      </c>
      <c r="J36" s="9">
        <f t="shared" si="2"/>
        <v>1</v>
      </c>
    </row>
    <row r="37" spans="1:10" x14ac:dyDescent="0.15">
      <c r="A37" s="9">
        <v>42</v>
      </c>
      <c r="B37" s="3" t="s">
        <v>23</v>
      </c>
      <c r="C37" s="9" t="s">
        <v>24</v>
      </c>
      <c r="D37" s="9" t="s">
        <v>10</v>
      </c>
      <c r="E37" s="9" t="s">
        <v>15</v>
      </c>
      <c r="F37" s="5">
        <v>32</v>
      </c>
      <c r="G37" s="15">
        <v>1.2</v>
      </c>
      <c r="H37" s="11">
        <f t="shared" si="0"/>
        <v>26.666666666666668</v>
      </c>
      <c r="I37" s="11">
        <f t="shared" si="1"/>
        <v>18.160000000000004</v>
      </c>
      <c r="J37" s="9">
        <f t="shared" si="2"/>
        <v>1</v>
      </c>
    </row>
    <row r="38" spans="1:10" x14ac:dyDescent="0.15">
      <c r="A38" s="9">
        <v>6</v>
      </c>
      <c r="B38" s="3" t="s">
        <v>14</v>
      </c>
      <c r="C38" s="9" t="s">
        <v>18</v>
      </c>
      <c r="D38" s="9" t="s">
        <v>10</v>
      </c>
      <c r="E38" s="9" t="s">
        <v>15</v>
      </c>
      <c r="F38" s="5">
        <v>48</v>
      </c>
      <c r="G38" s="15">
        <v>1.78</v>
      </c>
      <c r="H38" s="11">
        <f t="shared" si="0"/>
        <v>26.966292134831459</v>
      </c>
      <c r="I38" s="11">
        <f t="shared" si="1"/>
        <v>18.364044943820225</v>
      </c>
      <c r="J38" s="9">
        <f t="shared" si="2"/>
        <v>1</v>
      </c>
    </row>
    <row r="39" spans="1:10" x14ac:dyDescent="0.15">
      <c r="A39" s="9">
        <v>13</v>
      </c>
      <c r="B39" s="3" t="s">
        <v>14</v>
      </c>
      <c r="C39" s="9" t="s">
        <v>18</v>
      </c>
      <c r="D39" s="9" t="s">
        <v>10</v>
      </c>
      <c r="E39" s="9" t="s">
        <v>15</v>
      </c>
      <c r="F39" s="5">
        <v>48</v>
      </c>
      <c r="G39" s="15">
        <v>1.72</v>
      </c>
      <c r="H39" s="11">
        <f t="shared" si="0"/>
        <v>27.906976744186046</v>
      </c>
      <c r="I39" s="11">
        <f t="shared" si="1"/>
        <v>19.004651162790697</v>
      </c>
      <c r="J39" s="9">
        <f t="shared" si="2"/>
        <v>1</v>
      </c>
    </row>
    <row r="40" spans="1:10" x14ac:dyDescent="0.15">
      <c r="A40" s="9">
        <v>24</v>
      </c>
      <c r="B40" s="3" t="s">
        <v>23</v>
      </c>
      <c r="C40" s="9" t="s">
        <v>26</v>
      </c>
      <c r="D40" s="9" t="s">
        <v>10</v>
      </c>
      <c r="E40" s="9" t="s">
        <v>15</v>
      </c>
      <c r="F40" s="5">
        <v>32</v>
      </c>
      <c r="G40" s="15">
        <v>1.1299999999999999</v>
      </c>
      <c r="H40" s="11">
        <f t="shared" si="0"/>
        <v>28.318584070796462</v>
      </c>
      <c r="I40" s="11">
        <f t="shared" si="1"/>
        <v>19.28495575221239</v>
      </c>
      <c r="J40" s="9">
        <f t="shared" si="2"/>
        <v>1</v>
      </c>
    </row>
    <row r="41" spans="1:10" x14ac:dyDescent="0.15">
      <c r="A41" s="9">
        <v>28</v>
      </c>
      <c r="B41" s="3" t="s">
        <v>23</v>
      </c>
      <c r="C41" s="9" t="s">
        <v>26</v>
      </c>
      <c r="D41" s="9" t="s">
        <v>10</v>
      </c>
      <c r="E41" s="9" t="s">
        <v>15</v>
      </c>
      <c r="F41" s="5">
        <v>32</v>
      </c>
      <c r="G41" s="15">
        <v>1.1000000000000001</v>
      </c>
      <c r="H41" s="11">
        <f t="shared" si="0"/>
        <v>29.09090909090909</v>
      </c>
      <c r="I41" s="11">
        <f t="shared" si="1"/>
        <v>19.810909090909092</v>
      </c>
      <c r="J41" s="9">
        <f t="shared" si="2"/>
        <v>1</v>
      </c>
    </row>
    <row r="42" spans="1:10" x14ac:dyDescent="0.15">
      <c r="A42" s="9">
        <v>12</v>
      </c>
      <c r="B42" s="3" t="s">
        <v>14</v>
      </c>
      <c r="C42" s="9" t="s">
        <v>18</v>
      </c>
      <c r="D42" s="9" t="s">
        <v>10</v>
      </c>
      <c r="E42" s="9" t="s">
        <v>15</v>
      </c>
      <c r="F42" s="5">
        <v>48</v>
      </c>
      <c r="G42" s="15">
        <v>1.54</v>
      </c>
      <c r="H42" s="11">
        <f t="shared" si="0"/>
        <v>31.168831168831169</v>
      </c>
      <c r="I42" s="11">
        <f t="shared" si="1"/>
        <v>21.225974025974029</v>
      </c>
      <c r="J42" s="9">
        <f t="shared" si="2"/>
        <v>1</v>
      </c>
    </row>
    <row r="43" spans="1:10" x14ac:dyDescent="0.15">
      <c r="A43" s="9">
        <v>14</v>
      </c>
      <c r="B43" s="3" t="s">
        <v>14</v>
      </c>
      <c r="C43" s="9" t="s">
        <v>18</v>
      </c>
      <c r="D43" s="9" t="s">
        <v>10</v>
      </c>
      <c r="E43" s="9" t="s">
        <v>15</v>
      </c>
      <c r="F43" s="5">
        <v>48</v>
      </c>
      <c r="G43" s="15">
        <v>1.53</v>
      </c>
      <c r="H43" s="11">
        <f t="shared" si="0"/>
        <v>31.372549019607842</v>
      </c>
      <c r="I43" s="11">
        <f t="shared" si="1"/>
        <v>21.364705882352943</v>
      </c>
      <c r="J43" s="9">
        <f t="shared" si="2"/>
        <v>1</v>
      </c>
    </row>
    <row r="44" spans="1:10" x14ac:dyDescent="0.15">
      <c r="A44" s="9">
        <v>44</v>
      </c>
      <c r="B44" s="3" t="s">
        <v>23</v>
      </c>
      <c r="C44" s="9" t="s">
        <v>24</v>
      </c>
      <c r="D44" s="9" t="s">
        <v>10</v>
      </c>
      <c r="E44" s="9" t="s">
        <v>15</v>
      </c>
      <c r="F44" s="5">
        <v>32</v>
      </c>
      <c r="G44" s="15">
        <v>0.92</v>
      </c>
      <c r="H44" s="11">
        <f t="shared" si="0"/>
        <v>34.782608695652172</v>
      </c>
      <c r="I44" s="11">
        <f t="shared" si="1"/>
        <v>23.68695652173913</v>
      </c>
      <c r="J44" s="9">
        <f t="shared" si="2"/>
        <v>1</v>
      </c>
    </row>
    <row r="45" spans="1:10" x14ac:dyDescent="0.15">
      <c r="A45" s="9">
        <v>1</v>
      </c>
      <c r="B45" s="3" t="s">
        <v>14</v>
      </c>
      <c r="C45" s="9" t="s">
        <v>18</v>
      </c>
      <c r="D45" s="9" t="s">
        <v>10</v>
      </c>
      <c r="E45" s="9" t="s">
        <v>15</v>
      </c>
      <c r="F45" s="5">
        <v>48</v>
      </c>
      <c r="G45" s="15">
        <v>1.24</v>
      </c>
      <c r="H45" s="11">
        <f t="shared" si="0"/>
        <v>38.70967741935484</v>
      </c>
      <c r="I45" s="11">
        <f t="shared" si="1"/>
        <v>26.361290322580647</v>
      </c>
      <c r="J45" s="9">
        <f t="shared" si="2"/>
        <v>1</v>
      </c>
    </row>
  </sheetData>
  <sortState xmlns:xlrd2="http://schemas.microsoft.com/office/spreadsheetml/2017/richdata2" ref="A2:J45">
    <sortCondition ref="I2:I45"/>
  </sortState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72"/>
  <sheetViews>
    <sheetView workbookViewId="0">
      <pane xSplit="1" ySplit="11" topLeftCell="B24" activePane="bottomRight" state="frozen"/>
      <selection pane="topRight" activeCell="B1" sqref="B1"/>
      <selection pane="bottomLeft" activeCell="A12" sqref="A12"/>
      <selection pane="bottomRight" activeCell="S21" sqref="S21"/>
    </sheetView>
  </sheetViews>
  <sheetFormatPr baseColWidth="10" defaultColWidth="8.83203125" defaultRowHeight="14" x14ac:dyDescent="0.15"/>
  <cols>
    <col min="1" max="1" width="5.83203125" customWidth="1"/>
    <col min="3" max="3" width="6.6640625" style="8" customWidth="1"/>
    <col min="4" max="4" width="5.83203125" style="8" customWidth="1"/>
    <col min="5" max="5" width="7.5" style="8" customWidth="1"/>
    <col min="6" max="6" width="10" style="6" customWidth="1"/>
    <col min="7" max="7" width="7.5" style="12" customWidth="1"/>
    <col min="8" max="8" width="7.83203125" style="12" customWidth="1"/>
    <col min="9" max="9" width="8.83203125" style="12"/>
  </cols>
  <sheetData>
    <row r="1" spans="1:13" s="7" customFormat="1" ht="54" customHeight="1" x14ac:dyDescent="0.15">
      <c r="A1" s="4" t="s">
        <v>16</v>
      </c>
      <c r="B1" s="4" t="s">
        <v>0</v>
      </c>
      <c r="C1" s="4" t="s">
        <v>17</v>
      </c>
      <c r="D1" s="4" t="s">
        <v>7</v>
      </c>
      <c r="E1" s="4" t="s">
        <v>8</v>
      </c>
      <c r="F1" s="4" t="s">
        <v>21</v>
      </c>
      <c r="G1" s="10" t="s">
        <v>3</v>
      </c>
      <c r="H1" s="10" t="s">
        <v>5</v>
      </c>
      <c r="I1" s="10" t="s">
        <v>4</v>
      </c>
      <c r="J1" s="4" t="s">
        <v>20</v>
      </c>
      <c r="L1" s="7" t="s">
        <v>31</v>
      </c>
      <c r="M1" s="7" t="s">
        <v>16</v>
      </c>
    </row>
    <row r="2" spans="1:13" x14ac:dyDescent="0.15">
      <c r="A2" s="9">
        <v>61</v>
      </c>
      <c r="B2" s="3" t="s">
        <v>27</v>
      </c>
      <c r="C2" s="9"/>
      <c r="D2" s="9" t="s">
        <v>12</v>
      </c>
      <c r="E2" s="9"/>
      <c r="F2" s="5">
        <v>35</v>
      </c>
      <c r="G2" s="11">
        <v>4.1100000000000003</v>
      </c>
      <c r="H2" s="11">
        <f t="shared" ref="H2:H33" si="0">F2/G2</f>
        <v>8.5158150851581507</v>
      </c>
      <c r="I2" s="11">
        <f t="shared" ref="I2:I33" si="1">H2*0.681</f>
        <v>5.7992700729927007</v>
      </c>
      <c r="J2" s="9">
        <f t="shared" ref="J2:J33" si="2">IF(G2&gt;0,1,0)</f>
        <v>1</v>
      </c>
      <c r="L2" t="s">
        <v>32</v>
      </c>
      <c r="M2">
        <v>5</v>
      </c>
    </row>
    <row r="3" spans="1:13" x14ac:dyDescent="0.15">
      <c r="A3" s="9">
        <v>1</v>
      </c>
      <c r="B3" s="3" t="s">
        <v>11</v>
      </c>
      <c r="C3" s="9" t="s">
        <v>22</v>
      </c>
      <c r="D3" s="9" t="s">
        <v>12</v>
      </c>
      <c r="E3" s="9" t="s">
        <v>15</v>
      </c>
      <c r="F3" s="5">
        <v>24</v>
      </c>
      <c r="G3" s="11">
        <v>2.68</v>
      </c>
      <c r="H3" s="11">
        <f t="shared" si="0"/>
        <v>8.9552238805970141</v>
      </c>
      <c r="I3" s="11">
        <f t="shared" si="1"/>
        <v>6.098507462686567</v>
      </c>
      <c r="J3" s="9">
        <f t="shared" si="2"/>
        <v>1</v>
      </c>
      <c r="L3" t="s">
        <v>33</v>
      </c>
      <c r="M3">
        <v>18</v>
      </c>
    </row>
    <row r="4" spans="1:13" x14ac:dyDescent="0.15">
      <c r="A4" s="9">
        <v>53</v>
      </c>
      <c r="B4" s="3" t="s">
        <v>27</v>
      </c>
      <c r="C4" s="9"/>
      <c r="D4" s="9" t="s">
        <v>12</v>
      </c>
      <c r="E4" s="9"/>
      <c r="F4" s="5">
        <v>35</v>
      </c>
      <c r="G4" s="11">
        <v>3.33</v>
      </c>
      <c r="H4" s="11">
        <f t="shared" si="0"/>
        <v>10.51051051051051</v>
      </c>
      <c r="I4" s="11">
        <f t="shared" si="1"/>
        <v>7.1576576576576585</v>
      </c>
      <c r="J4" s="9">
        <f t="shared" si="2"/>
        <v>1</v>
      </c>
      <c r="L4" t="s">
        <v>34</v>
      </c>
      <c r="M4">
        <v>24</v>
      </c>
    </row>
    <row r="5" spans="1:13" x14ac:dyDescent="0.15">
      <c r="A5" s="9">
        <v>25</v>
      </c>
      <c r="B5" s="3" t="s">
        <v>11</v>
      </c>
      <c r="C5" s="9"/>
      <c r="D5" s="9" t="s">
        <v>12</v>
      </c>
      <c r="E5" s="9"/>
      <c r="F5" s="5">
        <v>43</v>
      </c>
      <c r="G5" s="11">
        <v>3.88</v>
      </c>
      <c r="H5" s="11">
        <f t="shared" si="0"/>
        <v>11.082474226804123</v>
      </c>
      <c r="I5" s="11">
        <f t="shared" si="1"/>
        <v>7.5471649484536085</v>
      </c>
      <c r="J5" s="9">
        <f t="shared" si="2"/>
        <v>1</v>
      </c>
      <c r="L5" t="s">
        <v>35</v>
      </c>
      <c r="M5">
        <v>7</v>
      </c>
    </row>
    <row r="6" spans="1:13" x14ac:dyDescent="0.15">
      <c r="A6" s="9">
        <v>6</v>
      </c>
      <c r="B6" s="3" t="s">
        <v>11</v>
      </c>
      <c r="C6" s="9"/>
      <c r="D6" s="9" t="s">
        <v>12</v>
      </c>
      <c r="E6" s="9"/>
      <c r="F6" s="5">
        <v>24</v>
      </c>
      <c r="G6" s="11">
        <v>2.0699999999999998</v>
      </c>
      <c r="H6" s="11">
        <f t="shared" si="0"/>
        <v>11.594202898550726</v>
      </c>
      <c r="I6" s="11">
        <f t="shared" si="1"/>
        <v>7.895652173913045</v>
      </c>
      <c r="J6" s="9">
        <f t="shared" si="2"/>
        <v>1</v>
      </c>
      <c r="L6" t="s">
        <v>36</v>
      </c>
      <c r="M6">
        <v>5</v>
      </c>
    </row>
    <row r="7" spans="1:13" x14ac:dyDescent="0.15">
      <c r="A7" s="9">
        <v>3</v>
      </c>
      <c r="B7" s="3" t="s">
        <v>11</v>
      </c>
      <c r="C7" s="9"/>
      <c r="D7" s="9" t="s">
        <v>12</v>
      </c>
      <c r="E7" s="9"/>
      <c r="F7" s="5">
        <v>24</v>
      </c>
      <c r="G7" s="11">
        <v>2.0099999999999998</v>
      </c>
      <c r="H7" s="11">
        <f t="shared" si="0"/>
        <v>11.940298507462687</v>
      </c>
      <c r="I7" s="11">
        <f t="shared" si="1"/>
        <v>8.1313432835820905</v>
      </c>
      <c r="J7" s="9">
        <f t="shared" si="2"/>
        <v>1</v>
      </c>
      <c r="L7" t="s">
        <v>37</v>
      </c>
      <c r="M7">
        <v>9</v>
      </c>
    </row>
    <row r="8" spans="1:13" x14ac:dyDescent="0.15">
      <c r="A8" s="9">
        <v>59</v>
      </c>
      <c r="B8" s="3" t="s">
        <v>27</v>
      </c>
      <c r="C8" s="9"/>
      <c r="D8" s="9" t="s">
        <v>12</v>
      </c>
      <c r="E8" s="9"/>
      <c r="F8" s="5">
        <v>35</v>
      </c>
      <c r="G8" s="11">
        <v>2.92</v>
      </c>
      <c r="H8" s="11">
        <f t="shared" si="0"/>
        <v>11.986301369863014</v>
      </c>
      <c r="I8" s="11">
        <f t="shared" si="1"/>
        <v>8.162671232876713</v>
      </c>
      <c r="J8" s="9">
        <f t="shared" si="2"/>
        <v>1</v>
      </c>
      <c r="L8" t="s">
        <v>38</v>
      </c>
      <c r="M8">
        <v>2</v>
      </c>
    </row>
    <row r="9" spans="1:13" x14ac:dyDescent="0.15">
      <c r="A9" s="9">
        <v>2</v>
      </c>
      <c r="B9" s="3" t="s">
        <v>11</v>
      </c>
      <c r="C9" s="9"/>
      <c r="D9" s="9" t="s">
        <v>12</v>
      </c>
      <c r="E9" s="9"/>
      <c r="F9" s="5">
        <v>24</v>
      </c>
      <c r="G9" s="11">
        <v>2</v>
      </c>
      <c r="H9" s="11">
        <f t="shared" si="0"/>
        <v>12</v>
      </c>
      <c r="I9" s="11">
        <f t="shared" si="1"/>
        <v>8.1720000000000006</v>
      </c>
      <c r="J9" s="9">
        <f t="shared" si="2"/>
        <v>1</v>
      </c>
      <c r="L9" t="s">
        <v>39</v>
      </c>
      <c r="M9">
        <v>1</v>
      </c>
    </row>
    <row r="10" spans="1:13" x14ac:dyDescent="0.15">
      <c r="A10" s="9">
        <v>41</v>
      </c>
      <c r="B10" s="3" t="s">
        <v>11</v>
      </c>
      <c r="C10" s="9"/>
      <c r="D10" s="9" t="s">
        <v>12</v>
      </c>
      <c r="E10" s="9"/>
      <c r="F10" s="5">
        <v>43</v>
      </c>
      <c r="G10" s="11">
        <v>3.49</v>
      </c>
      <c r="H10" s="11">
        <f t="shared" si="0"/>
        <v>12.320916905444125</v>
      </c>
      <c r="I10" s="11">
        <f t="shared" si="1"/>
        <v>8.3905444126074507</v>
      </c>
      <c r="J10" s="9">
        <f t="shared" si="2"/>
        <v>1</v>
      </c>
      <c r="L10" t="s">
        <v>40</v>
      </c>
      <c r="M10">
        <v>0</v>
      </c>
    </row>
    <row r="11" spans="1:13" x14ac:dyDescent="0.15">
      <c r="A11" s="9">
        <v>23</v>
      </c>
      <c r="B11" s="3" t="s">
        <v>11</v>
      </c>
      <c r="C11" s="9"/>
      <c r="D11" s="9" t="s">
        <v>12</v>
      </c>
      <c r="E11" s="9"/>
      <c r="F11" s="5">
        <v>43</v>
      </c>
      <c r="G11" s="11">
        <v>3.42</v>
      </c>
      <c r="H11" s="11">
        <f t="shared" si="0"/>
        <v>12.573099415204679</v>
      </c>
      <c r="I11" s="11">
        <f t="shared" si="1"/>
        <v>8.5622807017543874</v>
      </c>
      <c r="J11" s="9">
        <f t="shared" si="2"/>
        <v>1</v>
      </c>
      <c r="L11" t="s">
        <v>41</v>
      </c>
      <c r="M11">
        <v>0</v>
      </c>
    </row>
    <row r="12" spans="1:13" x14ac:dyDescent="0.15">
      <c r="A12" s="9">
        <v>34</v>
      </c>
      <c r="B12" s="3" t="s">
        <v>11</v>
      </c>
      <c r="C12" s="9"/>
      <c r="D12" s="9" t="s">
        <v>12</v>
      </c>
      <c r="E12" s="9"/>
      <c r="F12" s="5">
        <v>24</v>
      </c>
      <c r="G12" s="11">
        <v>1.84</v>
      </c>
      <c r="H12" s="11">
        <f t="shared" si="0"/>
        <v>13.043478260869565</v>
      </c>
      <c r="I12" s="11">
        <f t="shared" si="1"/>
        <v>8.8826086956521735</v>
      </c>
      <c r="J12" s="9">
        <f t="shared" si="2"/>
        <v>1</v>
      </c>
    </row>
    <row r="13" spans="1:13" x14ac:dyDescent="0.15">
      <c r="A13" s="9">
        <v>40</v>
      </c>
      <c r="B13" s="3" t="s">
        <v>11</v>
      </c>
      <c r="C13" s="9"/>
      <c r="D13" s="9" t="s">
        <v>12</v>
      </c>
      <c r="E13" s="9"/>
      <c r="F13" s="5">
        <v>43</v>
      </c>
      <c r="G13" s="11">
        <v>3.26</v>
      </c>
      <c r="H13" s="11">
        <f t="shared" si="0"/>
        <v>13.190184049079756</v>
      </c>
      <c r="I13" s="11">
        <f t="shared" si="1"/>
        <v>8.9825153374233135</v>
      </c>
      <c r="J13" s="9">
        <f t="shared" si="2"/>
        <v>1</v>
      </c>
    </row>
    <row r="14" spans="1:13" x14ac:dyDescent="0.15">
      <c r="A14" s="9">
        <v>45</v>
      </c>
      <c r="B14" s="3" t="s">
        <v>11</v>
      </c>
      <c r="C14" s="9"/>
      <c r="D14" s="9" t="s">
        <v>12</v>
      </c>
      <c r="E14" s="9"/>
      <c r="F14" s="5">
        <v>24</v>
      </c>
      <c r="G14" s="11">
        <v>1.8</v>
      </c>
      <c r="H14" s="11">
        <f t="shared" si="0"/>
        <v>13.333333333333332</v>
      </c>
      <c r="I14" s="11">
        <f t="shared" si="1"/>
        <v>9.08</v>
      </c>
      <c r="J14" s="9">
        <f t="shared" si="2"/>
        <v>1</v>
      </c>
    </row>
    <row r="15" spans="1:13" x14ac:dyDescent="0.15">
      <c r="A15" s="9">
        <v>55</v>
      </c>
      <c r="B15" s="3" t="s">
        <v>27</v>
      </c>
      <c r="C15" s="9"/>
      <c r="D15" s="9" t="s">
        <v>12</v>
      </c>
      <c r="E15" s="9"/>
      <c r="F15" s="5">
        <v>35</v>
      </c>
      <c r="G15" s="11">
        <v>2.6</v>
      </c>
      <c r="H15" s="11">
        <f t="shared" si="0"/>
        <v>13.461538461538462</v>
      </c>
      <c r="I15" s="11">
        <f t="shared" si="1"/>
        <v>9.167307692307693</v>
      </c>
      <c r="J15" s="9">
        <f t="shared" si="2"/>
        <v>1</v>
      </c>
    </row>
    <row r="16" spans="1:13" x14ac:dyDescent="0.15">
      <c r="A16" s="9">
        <v>48</v>
      </c>
      <c r="B16" s="3" t="s">
        <v>11</v>
      </c>
      <c r="C16" s="9"/>
      <c r="D16" s="9" t="s">
        <v>12</v>
      </c>
      <c r="E16" s="9"/>
      <c r="F16" s="5">
        <v>43</v>
      </c>
      <c r="G16" s="11">
        <v>3.18</v>
      </c>
      <c r="H16" s="11">
        <f t="shared" si="0"/>
        <v>13.522012578616351</v>
      </c>
      <c r="I16" s="11">
        <f t="shared" si="1"/>
        <v>9.2084905660377352</v>
      </c>
      <c r="J16" s="9">
        <f t="shared" si="2"/>
        <v>1</v>
      </c>
    </row>
    <row r="17" spans="1:10" x14ac:dyDescent="0.15">
      <c r="A17" s="9">
        <v>56</v>
      </c>
      <c r="B17" s="3" t="s">
        <v>27</v>
      </c>
      <c r="C17" s="9"/>
      <c r="D17" s="9" t="s">
        <v>12</v>
      </c>
      <c r="E17" s="9"/>
      <c r="F17" s="5">
        <v>35</v>
      </c>
      <c r="G17" s="11">
        <v>2.56</v>
      </c>
      <c r="H17" s="11">
        <f t="shared" si="0"/>
        <v>13.671875</v>
      </c>
      <c r="I17" s="11">
        <f t="shared" si="1"/>
        <v>9.310546875</v>
      </c>
      <c r="J17" s="9">
        <f t="shared" si="2"/>
        <v>1</v>
      </c>
    </row>
    <row r="18" spans="1:10" x14ac:dyDescent="0.15">
      <c r="A18" s="9">
        <v>33</v>
      </c>
      <c r="B18" s="3" t="s">
        <v>11</v>
      </c>
      <c r="C18" s="9"/>
      <c r="D18" s="9" t="s">
        <v>12</v>
      </c>
      <c r="E18" s="9"/>
      <c r="F18" s="5">
        <v>24</v>
      </c>
      <c r="G18" s="11">
        <v>1.74</v>
      </c>
      <c r="H18" s="11">
        <f t="shared" si="0"/>
        <v>13.793103448275863</v>
      </c>
      <c r="I18" s="11">
        <f t="shared" si="1"/>
        <v>9.3931034482758626</v>
      </c>
      <c r="J18" s="9">
        <f t="shared" si="2"/>
        <v>1</v>
      </c>
    </row>
    <row r="19" spans="1:10" x14ac:dyDescent="0.15">
      <c r="A19" s="9">
        <v>32</v>
      </c>
      <c r="B19" s="3" t="s">
        <v>11</v>
      </c>
      <c r="C19" s="9"/>
      <c r="D19" s="9" t="s">
        <v>12</v>
      </c>
      <c r="E19" s="9"/>
      <c r="F19" s="5">
        <v>24</v>
      </c>
      <c r="G19" s="11">
        <v>1.73</v>
      </c>
      <c r="H19" s="11">
        <f t="shared" si="0"/>
        <v>13.872832369942197</v>
      </c>
      <c r="I19" s="11">
        <f t="shared" si="1"/>
        <v>9.4473988439306371</v>
      </c>
      <c r="J19" s="9">
        <f t="shared" si="2"/>
        <v>1</v>
      </c>
    </row>
    <row r="20" spans="1:10" x14ac:dyDescent="0.15">
      <c r="A20" s="9">
        <v>35</v>
      </c>
      <c r="B20" s="3" t="s">
        <v>11</v>
      </c>
      <c r="C20" s="9"/>
      <c r="D20" s="9" t="s">
        <v>12</v>
      </c>
      <c r="E20" s="9"/>
      <c r="F20" s="5">
        <v>24</v>
      </c>
      <c r="G20" s="11">
        <v>1.72</v>
      </c>
      <c r="H20" s="11">
        <f t="shared" si="0"/>
        <v>13.953488372093023</v>
      </c>
      <c r="I20" s="11">
        <f t="shared" si="1"/>
        <v>9.5023255813953487</v>
      </c>
      <c r="J20" s="9">
        <f t="shared" si="2"/>
        <v>1</v>
      </c>
    </row>
    <row r="21" spans="1:10" x14ac:dyDescent="0.15">
      <c r="A21" s="9">
        <v>31</v>
      </c>
      <c r="B21" s="3" t="s">
        <v>11</v>
      </c>
      <c r="C21" s="9"/>
      <c r="D21" s="9" t="s">
        <v>12</v>
      </c>
      <c r="E21" s="9"/>
      <c r="F21" s="5">
        <v>43</v>
      </c>
      <c r="G21" s="11">
        <v>3.08</v>
      </c>
      <c r="H21" s="11">
        <f t="shared" si="0"/>
        <v>13.961038961038961</v>
      </c>
      <c r="I21" s="11">
        <f t="shared" si="1"/>
        <v>9.5074675324675333</v>
      </c>
      <c r="J21" s="9">
        <f t="shared" si="2"/>
        <v>1</v>
      </c>
    </row>
    <row r="22" spans="1:10" x14ac:dyDescent="0.15">
      <c r="A22" s="9">
        <v>68</v>
      </c>
      <c r="B22" s="3" t="s">
        <v>30</v>
      </c>
      <c r="C22" s="9" t="s">
        <v>18</v>
      </c>
      <c r="D22" s="9" t="s">
        <v>12</v>
      </c>
      <c r="E22" s="9"/>
      <c r="F22" s="5">
        <v>28</v>
      </c>
      <c r="G22" s="11">
        <v>1.98</v>
      </c>
      <c r="H22" s="11">
        <f t="shared" si="0"/>
        <v>14.141414141414142</v>
      </c>
      <c r="I22" s="11">
        <f t="shared" si="1"/>
        <v>9.6303030303030308</v>
      </c>
      <c r="J22" s="9">
        <f t="shared" si="2"/>
        <v>1</v>
      </c>
    </row>
    <row r="23" spans="1:10" x14ac:dyDescent="0.15">
      <c r="A23" s="9">
        <v>60</v>
      </c>
      <c r="B23" s="3" t="s">
        <v>27</v>
      </c>
      <c r="C23" s="9"/>
      <c r="D23" s="9" t="s">
        <v>12</v>
      </c>
      <c r="E23" s="9"/>
      <c r="F23" s="5">
        <v>35</v>
      </c>
      <c r="G23" s="11">
        <v>2.42</v>
      </c>
      <c r="H23" s="11">
        <f t="shared" si="0"/>
        <v>14.462809917355372</v>
      </c>
      <c r="I23" s="11">
        <f t="shared" si="1"/>
        <v>9.8491735537190088</v>
      </c>
      <c r="J23" s="9">
        <f t="shared" si="2"/>
        <v>1</v>
      </c>
    </row>
    <row r="24" spans="1:10" x14ac:dyDescent="0.15">
      <c r="A24" s="9">
        <v>16</v>
      </c>
      <c r="B24" s="3" t="s">
        <v>11</v>
      </c>
      <c r="C24" s="9"/>
      <c r="D24" s="9" t="s">
        <v>12</v>
      </c>
      <c r="E24" s="9"/>
      <c r="F24" s="5">
        <v>24</v>
      </c>
      <c r="G24" s="11">
        <v>1.65</v>
      </c>
      <c r="H24" s="11">
        <f t="shared" si="0"/>
        <v>14.545454545454547</v>
      </c>
      <c r="I24" s="11">
        <f t="shared" si="1"/>
        <v>9.9054545454545462</v>
      </c>
      <c r="J24" s="9">
        <f t="shared" si="2"/>
        <v>1</v>
      </c>
    </row>
    <row r="25" spans="1:10" x14ac:dyDescent="0.15">
      <c r="A25" s="9">
        <v>30</v>
      </c>
      <c r="B25" s="3" t="s">
        <v>11</v>
      </c>
      <c r="C25" s="9"/>
      <c r="D25" s="9" t="s">
        <v>12</v>
      </c>
      <c r="E25" s="9"/>
      <c r="F25" s="5">
        <v>43</v>
      </c>
      <c r="G25" s="11">
        <v>2.87</v>
      </c>
      <c r="H25" s="11">
        <f t="shared" si="0"/>
        <v>14.982578397212542</v>
      </c>
      <c r="I25" s="11">
        <f t="shared" si="1"/>
        <v>10.203135888501741</v>
      </c>
      <c r="J25" s="9">
        <f t="shared" si="2"/>
        <v>1</v>
      </c>
    </row>
    <row r="26" spans="1:10" x14ac:dyDescent="0.15">
      <c r="A26" s="9">
        <v>44</v>
      </c>
      <c r="B26" s="3" t="s">
        <v>11</v>
      </c>
      <c r="C26" s="9"/>
      <c r="D26" s="9" t="s">
        <v>12</v>
      </c>
      <c r="E26" s="9"/>
      <c r="F26" s="5">
        <v>43</v>
      </c>
      <c r="G26" s="11">
        <v>2.84</v>
      </c>
      <c r="H26" s="11">
        <f t="shared" si="0"/>
        <v>15.140845070422536</v>
      </c>
      <c r="I26" s="11">
        <f t="shared" si="1"/>
        <v>10.310915492957747</v>
      </c>
      <c r="J26" s="9">
        <f t="shared" si="2"/>
        <v>1</v>
      </c>
    </row>
    <row r="27" spans="1:10" x14ac:dyDescent="0.15">
      <c r="A27" s="9">
        <v>20</v>
      </c>
      <c r="B27" s="3" t="s">
        <v>11</v>
      </c>
      <c r="C27" s="9"/>
      <c r="D27" s="9" t="s">
        <v>12</v>
      </c>
      <c r="E27" s="9"/>
      <c r="F27" s="5">
        <v>43</v>
      </c>
      <c r="G27" s="11">
        <v>2.82</v>
      </c>
      <c r="H27" s="11">
        <f t="shared" si="0"/>
        <v>15.24822695035461</v>
      </c>
      <c r="I27" s="11">
        <f t="shared" si="1"/>
        <v>10.38404255319149</v>
      </c>
      <c r="J27" s="9">
        <f t="shared" si="2"/>
        <v>1</v>
      </c>
    </row>
    <row r="28" spans="1:10" x14ac:dyDescent="0.15">
      <c r="A28" s="9">
        <v>11</v>
      </c>
      <c r="B28" s="3" t="s">
        <v>11</v>
      </c>
      <c r="C28" s="9"/>
      <c r="D28" s="9" t="s">
        <v>12</v>
      </c>
      <c r="E28" s="9"/>
      <c r="F28" s="5">
        <v>24</v>
      </c>
      <c r="G28" s="11">
        <v>1.57</v>
      </c>
      <c r="H28" s="11">
        <f t="shared" si="0"/>
        <v>15.286624203821656</v>
      </c>
      <c r="I28" s="11">
        <f t="shared" si="1"/>
        <v>10.410191082802548</v>
      </c>
      <c r="J28" s="9">
        <f t="shared" si="2"/>
        <v>1</v>
      </c>
    </row>
    <row r="29" spans="1:10" x14ac:dyDescent="0.15">
      <c r="A29" s="9">
        <v>18</v>
      </c>
      <c r="B29" s="3" t="s">
        <v>11</v>
      </c>
      <c r="C29" s="9"/>
      <c r="D29" s="9" t="s">
        <v>12</v>
      </c>
      <c r="E29" s="9"/>
      <c r="F29" s="5">
        <v>24</v>
      </c>
      <c r="G29" s="11">
        <v>1.56</v>
      </c>
      <c r="H29" s="11">
        <f t="shared" si="0"/>
        <v>15.384615384615383</v>
      </c>
      <c r="I29" s="11">
        <f t="shared" si="1"/>
        <v>10.476923076923077</v>
      </c>
      <c r="J29" s="9">
        <f t="shared" si="2"/>
        <v>1</v>
      </c>
    </row>
    <row r="30" spans="1:10" x14ac:dyDescent="0.15">
      <c r="A30" s="9">
        <v>22</v>
      </c>
      <c r="B30" s="3" t="s">
        <v>11</v>
      </c>
      <c r="C30" s="9"/>
      <c r="D30" s="9" t="s">
        <v>12</v>
      </c>
      <c r="E30" s="9"/>
      <c r="F30" s="5">
        <v>43</v>
      </c>
      <c r="G30" s="11">
        <v>2.73</v>
      </c>
      <c r="H30" s="11">
        <f t="shared" si="0"/>
        <v>15.750915750915752</v>
      </c>
      <c r="I30" s="11">
        <f t="shared" si="1"/>
        <v>10.726373626373627</v>
      </c>
      <c r="J30" s="9">
        <f t="shared" si="2"/>
        <v>1</v>
      </c>
    </row>
    <row r="31" spans="1:10" x14ac:dyDescent="0.15">
      <c r="A31" s="9">
        <v>12</v>
      </c>
      <c r="B31" s="3" t="s">
        <v>11</v>
      </c>
      <c r="C31" s="9"/>
      <c r="D31" s="9" t="s">
        <v>12</v>
      </c>
      <c r="E31" s="9"/>
      <c r="F31" s="5">
        <v>24</v>
      </c>
      <c r="G31" s="11">
        <v>1.5</v>
      </c>
      <c r="H31" s="11">
        <f t="shared" si="0"/>
        <v>16</v>
      </c>
      <c r="I31" s="11">
        <f t="shared" si="1"/>
        <v>10.896000000000001</v>
      </c>
      <c r="J31" s="9">
        <f t="shared" si="2"/>
        <v>1</v>
      </c>
    </row>
    <row r="32" spans="1:10" x14ac:dyDescent="0.15">
      <c r="A32" s="9">
        <v>38</v>
      </c>
      <c r="B32" s="3" t="s">
        <v>11</v>
      </c>
      <c r="C32" s="9"/>
      <c r="D32" s="9" t="s">
        <v>12</v>
      </c>
      <c r="E32" s="9"/>
      <c r="F32" s="5">
        <v>24</v>
      </c>
      <c r="G32" s="11">
        <v>1.5</v>
      </c>
      <c r="H32" s="11">
        <f t="shared" si="0"/>
        <v>16</v>
      </c>
      <c r="I32" s="11">
        <f t="shared" si="1"/>
        <v>10.896000000000001</v>
      </c>
      <c r="J32" s="9">
        <f t="shared" si="2"/>
        <v>1</v>
      </c>
    </row>
    <row r="33" spans="1:10" x14ac:dyDescent="0.15">
      <c r="A33" s="9">
        <v>57</v>
      </c>
      <c r="B33" s="3" t="s">
        <v>27</v>
      </c>
      <c r="C33" s="9"/>
      <c r="D33" s="9" t="s">
        <v>12</v>
      </c>
      <c r="E33" s="9"/>
      <c r="F33" s="5">
        <v>35</v>
      </c>
      <c r="G33" s="11">
        <v>2.1800000000000002</v>
      </c>
      <c r="H33" s="11">
        <f t="shared" si="0"/>
        <v>16.055045871559631</v>
      </c>
      <c r="I33" s="11">
        <f t="shared" si="1"/>
        <v>10.93348623853211</v>
      </c>
      <c r="J33" s="9">
        <f t="shared" si="2"/>
        <v>1</v>
      </c>
    </row>
    <row r="34" spans="1:10" x14ac:dyDescent="0.15">
      <c r="A34" s="9">
        <v>4</v>
      </c>
      <c r="B34" s="3" t="s">
        <v>11</v>
      </c>
      <c r="C34" s="9"/>
      <c r="D34" s="9" t="s">
        <v>12</v>
      </c>
      <c r="E34" s="9"/>
      <c r="F34" s="5">
        <v>24</v>
      </c>
      <c r="G34" s="11">
        <v>1.49</v>
      </c>
      <c r="H34" s="11">
        <f t="shared" ref="H34:H65" si="3">F34/G34</f>
        <v>16.107382550335572</v>
      </c>
      <c r="I34" s="11">
        <f t="shared" ref="I34:I65" si="4">H34*0.681</f>
        <v>10.969127516778526</v>
      </c>
      <c r="J34" s="9">
        <f t="shared" ref="J34:J65" si="5">IF(G34&gt;0,1,0)</f>
        <v>1</v>
      </c>
    </row>
    <row r="35" spans="1:10" x14ac:dyDescent="0.15">
      <c r="A35" s="9">
        <v>62</v>
      </c>
      <c r="B35" s="3" t="s">
        <v>27</v>
      </c>
      <c r="C35" s="9"/>
      <c r="D35" s="9" t="s">
        <v>12</v>
      </c>
      <c r="E35" s="9"/>
      <c r="F35" s="5">
        <v>35</v>
      </c>
      <c r="G35" s="11">
        <v>2.15</v>
      </c>
      <c r="H35" s="11">
        <f t="shared" si="3"/>
        <v>16.279069767441861</v>
      </c>
      <c r="I35" s="11">
        <f t="shared" si="4"/>
        <v>11.086046511627908</v>
      </c>
      <c r="J35" s="9">
        <f t="shared" si="5"/>
        <v>1</v>
      </c>
    </row>
    <row r="36" spans="1:10" x14ac:dyDescent="0.15">
      <c r="A36" s="9">
        <v>46</v>
      </c>
      <c r="B36" s="3" t="s">
        <v>11</v>
      </c>
      <c r="C36" s="9"/>
      <c r="D36" s="9" t="s">
        <v>12</v>
      </c>
      <c r="E36" s="9"/>
      <c r="F36" s="5">
        <v>43</v>
      </c>
      <c r="G36" s="11">
        <v>2.64</v>
      </c>
      <c r="H36" s="11">
        <f t="shared" si="3"/>
        <v>16.287878787878785</v>
      </c>
      <c r="I36" s="11">
        <f t="shared" si="4"/>
        <v>11.092045454545454</v>
      </c>
      <c r="J36" s="9">
        <f t="shared" si="5"/>
        <v>1</v>
      </c>
    </row>
    <row r="37" spans="1:10" x14ac:dyDescent="0.15">
      <c r="A37" s="9">
        <v>5</v>
      </c>
      <c r="B37" s="3" t="s">
        <v>11</v>
      </c>
      <c r="C37" s="9"/>
      <c r="D37" s="9" t="s">
        <v>12</v>
      </c>
      <c r="E37" s="9"/>
      <c r="F37" s="5">
        <v>24</v>
      </c>
      <c r="G37" s="11">
        <v>1.46</v>
      </c>
      <c r="H37" s="11">
        <f t="shared" si="3"/>
        <v>16.438356164383563</v>
      </c>
      <c r="I37" s="11">
        <f t="shared" si="4"/>
        <v>11.194520547945208</v>
      </c>
      <c r="J37" s="9">
        <f t="shared" si="5"/>
        <v>1</v>
      </c>
    </row>
    <row r="38" spans="1:10" x14ac:dyDescent="0.15">
      <c r="A38" s="9">
        <v>66</v>
      </c>
      <c r="B38" s="3" t="s">
        <v>30</v>
      </c>
      <c r="C38" s="9" t="s">
        <v>19</v>
      </c>
      <c r="D38" s="9" t="s">
        <v>12</v>
      </c>
      <c r="E38" s="9"/>
      <c r="F38" s="5">
        <v>30</v>
      </c>
      <c r="G38" s="11">
        <v>1.82</v>
      </c>
      <c r="H38" s="11">
        <f t="shared" si="3"/>
        <v>16.483516483516482</v>
      </c>
      <c r="I38" s="11">
        <f t="shared" si="4"/>
        <v>11.225274725274724</v>
      </c>
      <c r="J38" s="9">
        <f t="shared" si="5"/>
        <v>1</v>
      </c>
    </row>
    <row r="39" spans="1:10" x14ac:dyDescent="0.15">
      <c r="A39" s="9">
        <v>67</v>
      </c>
      <c r="B39" s="3" t="s">
        <v>30</v>
      </c>
      <c r="C39" s="9" t="s">
        <v>18</v>
      </c>
      <c r="D39" s="9" t="s">
        <v>12</v>
      </c>
      <c r="E39" s="9"/>
      <c r="F39" s="5">
        <v>28</v>
      </c>
      <c r="G39" s="11">
        <v>1.68</v>
      </c>
      <c r="H39" s="11">
        <f t="shared" si="3"/>
        <v>16.666666666666668</v>
      </c>
      <c r="I39" s="11">
        <f t="shared" si="4"/>
        <v>11.350000000000001</v>
      </c>
      <c r="J39" s="9">
        <f t="shared" si="5"/>
        <v>1</v>
      </c>
    </row>
    <row r="40" spans="1:10" x14ac:dyDescent="0.15">
      <c r="A40" s="9">
        <v>71</v>
      </c>
      <c r="B40" s="3" t="s">
        <v>30</v>
      </c>
      <c r="C40" s="9" t="s">
        <v>19</v>
      </c>
      <c r="D40" s="9" t="s">
        <v>12</v>
      </c>
      <c r="E40" s="9"/>
      <c r="F40" s="5">
        <v>30</v>
      </c>
      <c r="G40" s="11">
        <v>1.8</v>
      </c>
      <c r="H40" s="11">
        <f t="shared" si="3"/>
        <v>16.666666666666668</v>
      </c>
      <c r="I40" s="11">
        <f t="shared" si="4"/>
        <v>11.350000000000001</v>
      </c>
      <c r="J40" s="9">
        <f t="shared" si="5"/>
        <v>1</v>
      </c>
    </row>
    <row r="41" spans="1:10" x14ac:dyDescent="0.15">
      <c r="A41" s="9">
        <v>65</v>
      </c>
      <c r="B41" s="3" t="s">
        <v>30</v>
      </c>
      <c r="C41" s="9" t="s">
        <v>18</v>
      </c>
      <c r="D41" s="9" t="s">
        <v>12</v>
      </c>
      <c r="E41" s="9"/>
      <c r="F41" s="5">
        <v>28</v>
      </c>
      <c r="G41" s="11">
        <v>1.67</v>
      </c>
      <c r="H41" s="11">
        <f t="shared" si="3"/>
        <v>16.766467065868266</v>
      </c>
      <c r="I41" s="11">
        <f t="shared" si="4"/>
        <v>11.417964071856289</v>
      </c>
      <c r="J41" s="9">
        <f t="shared" si="5"/>
        <v>1</v>
      </c>
    </row>
    <row r="42" spans="1:10" x14ac:dyDescent="0.15">
      <c r="A42" s="9">
        <v>9</v>
      </c>
      <c r="B42" s="3" t="s">
        <v>11</v>
      </c>
      <c r="C42" s="9"/>
      <c r="D42" s="9" t="s">
        <v>12</v>
      </c>
      <c r="E42" s="9"/>
      <c r="F42" s="5">
        <v>24</v>
      </c>
      <c r="G42" s="11">
        <v>1.43</v>
      </c>
      <c r="H42" s="11">
        <f t="shared" si="3"/>
        <v>16.783216783216783</v>
      </c>
      <c r="I42" s="11">
        <f t="shared" si="4"/>
        <v>11.429370629370631</v>
      </c>
      <c r="J42" s="9">
        <f t="shared" si="5"/>
        <v>1</v>
      </c>
    </row>
    <row r="43" spans="1:10" x14ac:dyDescent="0.15">
      <c r="A43" s="9">
        <v>64</v>
      </c>
      <c r="B43" s="3" t="s">
        <v>30</v>
      </c>
      <c r="C43" s="9" t="s">
        <v>18</v>
      </c>
      <c r="D43" s="9" t="s">
        <v>12</v>
      </c>
      <c r="E43" s="9"/>
      <c r="F43" s="5">
        <v>28</v>
      </c>
      <c r="G43" s="11">
        <v>1.66</v>
      </c>
      <c r="H43" s="11">
        <f t="shared" si="3"/>
        <v>16.867469879518072</v>
      </c>
      <c r="I43" s="11">
        <f t="shared" si="4"/>
        <v>11.486746987951808</v>
      </c>
      <c r="J43" s="9">
        <f t="shared" si="5"/>
        <v>1</v>
      </c>
    </row>
    <row r="44" spans="1:10" x14ac:dyDescent="0.15">
      <c r="A44" s="9">
        <v>15</v>
      </c>
      <c r="B44" s="3" t="s">
        <v>11</v>
      </c>
      <c r="C44" s="9"/>
      <c r="D44" s="9" t="s">
        <v>12</v>
      </c>
      <c r="E44" s="9"/>
      <c r="F44" s="5">
        <v>43</v>
      </c>
      <c r="G44" s="11">
        <v>2.54</v>
      </c>
      <c r="H44" s="11">
        <f t="shared" si="3"/>
        <v>16.929133858267715</v>
      </c>
      <c r="I44" s="11">
        <f t="shared" si="4"/>
        <v>11.528740157480314</v>
      </c>
      <c r="J44" s="9">
        <f t="shared" si="5"/>
        <v>1</v>
      </c>
    </row>
    <row r="45" spans="1:10" x14ac:dyDescent="0.15">
      <c r="A45" s="9">
        <v>7</v>
      </c>
      <c r="B45" s="3" t="s">
        <v>11</v>
      </c>
      <c r="C45" s="9"/>
      <c r="D45" s="9" t="s">
        <v>12</v>
      </c>
      <c r="E45" s="9"/>
      <c r="F45" s="5">
        <v>24</v>
      </c>
      <c r="G45" s="11">
        <v>1.41</v>
      </c>
      <c r="H45" s="11">
        <f t="shared" si="3"/>
        <v>17.021276595744681</v>
      </c>
      <c r="I45" s="11">
        <f t="shared" si="4"/>
        <v>11.591489361702129</v>
      </c>
      <c r="J45" s="9">
        <f t="shared" si="5"/>
        <v>1</v>
      </c>
    </row>
    <row r="46" spans="1:10" x14ac:dyDescent="0.15">
      <c r="A46" s="9">
        <v>8</v>
      </c>
      <c r="B46" s="3" t="s">
        <v>11</v>
      </c>
      <c r="C46" s="9"/>
      <c r="D46" s="9" t="s">
        <v>12</v>
      </c>
      <c r="E46" s="9"/>
      <c r="F46" s="5">
        <v>24</v>
      </c>
      <c r="G46" s="11">
        <v>1.4</v>
      </c>
      <c r="H46" s="11">
        <f t="shared" si="3"/>
        <v>17.142857142857142</v>
      </c>
      <c r="I46" s="11">
        <f t="shared" si="4"/>
        <v>11.674285714285714</v>
      </c>
      <c r="J46" s="9">
        <f t="shared" si="5"/>
        <v>1</v>
      </c>
    </row>
    <row r="47" spans="1:10" x14ac:dyDescent="0.15">
      <c r="A47" s="9">
        <v>24</v>
      </c>
      <c r="B47" s="3" t="s">
        <v>11</v>
      </c>
      <c r="C47" s="9"/>
      <c r="D47" s="9" t="s">
        <v>12</v>
      </c>
      <c r="E47" s="9"/>
      <c r="F47" s="5">
        <v>24</v>
      </c>
      <c r="G47" s="11">
        <v>1.38</v>
      </c>
      <c r="H47" s="11">
        <f t="shared" si="3"/>
        <v>17.39130434782609</v>
      </c>
      <c r="I47" s="11">
        <f t="shared" si="4"/>
        <v>11.843478260869567</v>
      </c>
      <c r="J47" s="9">
        <f t="shared" si="5"/>
        <v>1</v>
      </c>
    </row>
    <row r="48" spans="1:10" x14ac:dyDescent="0.15">
      <c r="A48" s="9">
        <v>58</v>
      </c>
      <c r="B48" s="3" t="s">
        <v>27</v>
      </c>
      <c r="C48" s="9"/>
      <c r="D48" s="9" t="s">
        <v>12</v>
      </c>
      <c r="E48" s="9"/>
      <c r="F48" s="5">
        <v>35</v>
      </c>
      <c r="G48" s="11">
        <v>2</v>
      </c>
      <c r="H48" s="11">
        <f t="shared" si="3"/>
        <v>17.5</v>
      </c>
      <c r="I48" s="11">
        <f t="shared" si="4"/>
        <v>11.9175</v>
      </c>
      <c r="J48" s="9">
        <f t="shared" si="5"/>
        <v>1</v>
      </c>
    </row>
    <row r="49" spans="1:10" x14ac:dyDescent="0.15">
      <c r="A49" s="9">
        <v>29</v>
      </c>
      <c r="B49" s="3" t="s">
        <v>11</v>
      </c>
      <c r="C49" s="9"/>
      <c r="D49" s="9" t="s">
        <v>12</v>
      </c>
      <c r="E49" s="9"/>
      <c r="F49" s="5">
        <v>43</v>
      </c>
      <c r="G49" s="11">
        <v>2.4</v>
      </c>
      <c r="H49" s="11">
        <f t="shared" si="3"/>
        <v>17.916666666666668</v>
      </c>
      <c r="I49" s="11">
        <f t="shared" si="4"/>
        <v>12.201250000000002</v>
      </c>
      <c r="J49" s="9">
        <f t="shared" si="5"/>
        <v>1</v>
      </c>
    </row>
    <row r="50" spans="1:10" x14ac:dyDescent="0.15">
      <c r="A50" s="9">
        <v>19</v>
      </c>
      <c r="B50" s="3" t="s">
        <v>11</v>
      </c>
      <c r="C50" s="9"/>
      <c r="D50" s="9" t="s">
        <v>12</v>
      </c>
      <c r="E50" s="9"/>
      <c r="F50" s="5">
        <v>43</v>
      </c>
      <c r="G50" s="11">
        <v>2.37</v>
      </c>
      <c r="H50" s="11">
        <f t="shared" si="3"/>
        <v>18.143459915611814</v>
      </c>
      <c r="I50" s="11">
        <f t="shared" si="4"/>
        <v>12.355696202531647</v>
      </c>
      <c r="J50" s="9">
        <f t="shared" si="5"/>
        <v>1</v>
      </c>
    </row>
    <row r="51" spans="1:10" x14ac:dyDescent="0.15">
      <c r="A51" s="9">
        <v>17</v>
      </c>
      <c r="B51" s="3" t="s">
        <v>11</v>
      </c>
      <c r="C51" s="9"/>
      <c r="D51" s="9" t="s">
        <v>12</v>
      </c>
      <c r="E51" s="9"/>
      <c r="F51" s="5">
        <v>24</v>
      </c>
      <c r="G51" s="11">
        <v>1.25</v>
      </c>
      <c r="H51" s="11">
        <f t="shared" si="3"/>
        <v>19.2</v>
      </c>
      <c r="I51" s="11">
        <f t="shared" si="4"/>
        <v>13.075200000000001</v>
      </c>
      <c r="J51" s="9">
        <f t="shared" si="5"/>
        <v>1</v>
      </c>
    </row>
    <row r="52" spans="1:10" x14ac:dyDescent="0.15">
      <c r="A52" s="9">
        <v>10</v>
      </c>
      <c r="B52" s="3" t="s">
        <v>11</v>
      </c>
      <c r="C52" s="9"/>
      <c r="D52" s="9" t="s">
        <v>12</v>
      </c>
      <c r="E52" s="9"/>
      <c r="F52" s="5">
        <v>43</v>
      </c>
      <c r="G52" s="11">
        <v>2.23</v>
      </c>
      <c r="H52" s="11">
        <f t="shared" si="3"/>
        <v>19.282511210762333</v>
      </c>
      <c r="I52" s="11">
        <f t="shared" si="4"/>
        <v>13.13139013452915</v>
      </c>
      <c r="J52" s="9">
        <f t="shared" si="5"/>
        <v>1</v>
      </c>
    </row>
    <row r="53" spans="1:10" x14ac:dyDescent="0.15">
      <c r="A53" s="9">
        <v>63</v>
      </c>
      <c r="B53" s="3" t="s">
        <v>30</v>
      </c>
      <c r="C53" s="9" t="s">
        <v>19</v>
      </c>
      <c r="D53" s="9" t="s">
        <v>12</v>
      </c>
      <c r="E53" s="9"/>
      <c r="F53" s="5">
        <v>30</v>
      </c>
      <c r="G53" s="11">
        <v>1.5</v>
      </c>
      <c r="H53" s="11">
        <f t="shared" si="3"/>
        <v>20</v>
      </c>
      <c r="I53" s="11">
        <f t="shared" si="4"/>
        <v>13.620000000000001</v>
      </c>
      <c r="J53" s="9">
        <f t="shared" si="5"/>
        <v>1</v>
      </c>
    </row>
    <row r="54" spans="1:10" x14ac:dyDescent="0.15">
      <c r="A54" s="9">
        <v>51</v>
      </c>
      <c r="B54" s="3" t="s">
        <v>27</v>
      </c>
      <c r="C54" s="9"/>
      <c r="D54" s="9" t="s">
        <v>12</v>
      </c>
      <c r="E54" s="9"/>
      <c r="F54" s="5">
        <v>35</v>
      </c>
      <c r="G54" s="11">
        <v>1.73</v>
      </c>
      <c r="H54" s="11">
        <f t="shared" si="3"/>
        <v>20.23121387283237</v>
      </c>
      <c r="I54" s="11">
        <f t="shared" si="4"/>
        <v>13.777456647398845</v>
      </c>
      <c r="J54" s="9">
        <f t="shared" si="5"/>
        <v>1</v>
      </c>
    </row>
    <row r="55" spans="1:10" x14ac:dyDescent="0.15">
      <c r="A55" s="9">
        <v>49</v>
      </c>
      <c r="B55" s="3" t="s">
        <v>11</v>
      </c>
      <c r="C55" s="9"/>
      <c r="D55" s="9" t="s">
        <v>12</v>
      </c>
      <c r="E55" s="9"/>
      <c r="F55" s="5">
        <v>43</v>
      </c>
      <c r="G55" s="11">
        <v>2.09</v>
      </c>
      <c r="H55" s="11">
        <f t="shared" si="3"/>
        <v>20.574162679425839</v>
      </c>
      <c r="I55" s="11">
        <f t="shared" si="4"/>
        <v>14.011004784688998</v>
      </c>
      <c r="J55" s="9">
        <f t="shared" si="5"/>
        <v>1</v>
      </c>
    </row>
    <row r="56" spans="1:10" x14ac:dyDescent="0.15">
      <c r="A56" s="9">
        <v>70</v>
      </c>
      <c r="B56" s="3" t="s">
        <v>30</v>
      </c>
      <c r="C56" s="9" t="s">
        <v>19</v>
      </c>
      <c r="D56" s="9" t="s">
        <v>12</v>
      </c>
      <c r="E56" s="9"/>
      <c r="F56" s="5">
        <v>30</v>
      </c>
      <c r="G56" s="11">
        <v>1.37</v>
      </c>
      <c r="H56" s="11">
        <f t="shared" si="3"/>
        <v>21.897810218978101</v>
      </c>
      <c r="I56" s="11">
        <f t="shared" si="4"/>
        <v>14.912408759124087</v>
      </c>
      <c r="J56" s="9">
        <f t="shared" si="5"/>
        <v>1</v>
      </c>
    </row>
    <row r="57" spans="1:10" x14ac:dyDescent="0.15">
      <c r="A57" s="9">
        <v>39</v>
      </c>
      <c r="B57" s="3" t="s">
        <v>11</v>
      </c>
      <c r="C57" s="9"/>
      <c r="D57" s="9" t="s">
        <v>12</v>
      </c>
      <c r="E57" s="9"/>
      <c r="F57" s="5">
        <v>43</v>
      </c>
      <c r="G57" s="11">
        <v>1.96</v>
      </c>
      <c r="H57" s="11">
        <f t="shared" si="3"/>
        <v>21.938775510204081</v>
      </c>
      <c r="I57" s="11">
        <f t="shared" si="4"/>
        <v>14.94030612244898</v>
      </c>
      <c r="J57" s="9">
        <f t="shared" si="5"/>
        <v>1</v>
      </c>
    </row>
    <row r="58" spans="1:10" x14ac:dyDescent="0.15">
      <c r="A58" s="9">
        <v>43</v>
      </c>
      <c r="B58" s="3" t="s">
        <v>11</v>
      </c>
      <c r="C58" s="9"/>
      <c r="D58" s="9" t="s">
        <v>12</v>
      </c>
      <c r="E58" s="9"/>
      <c r="F58" s="5">
        <v>24</v>
      </c>
      <c r="G58" s="11">
        <v>1.0900000000000001</v>
      </c>
      <c r="H58" s="11">
        <f t="shared" si="3"/>
        <v>22.01834862385321</v>
      </c>
      <c r="I58" s="11">
        <f t="shared" si="4"/>
        <v>14.994495412844037</v>
      </c>
      <c r="J58" s="9">
        <f t="shared" si="5"/>
        <v>1</v>
      </c>
    </row>
    <row r="59" spans="1:10" x14ac:dyDescent="0.15">
      <c r="A59" s="9">
        <v>69</v>
      </c>
      <c r="B59" s="3" t="s">
        <v>30</v>
      </c>
      <c r="C59" s="9" t="s">
        <v>18</v>
      </c>
      <c r="D59" s="9" t="s">
        <v>12</v>
      </c>
      <c r="E59" s="9"/>
      <c r="F59" s="5">
        <v>28</v>
      </c>
      <c r="G59" s="11">
        <v>1.26</v>
      </c>
      <c r="H59" s="11">
        <f t="shared" si="3"/>
        <v>22.222222222222221</v>
      </c>
      <c r="I59" s="11">
        <f t="shared" si="4"/>
        <v>15.133333333333335</v>
      </c>
      <c r="J59" s="9">
        <f t="shared" si="5"/>
        <v>1</v>
      </c>
    </row>
    <row r="60" spans="1:10" x14ac:dyDescent="0.15">
      <c r="A60" s="9">
        <v>37</v>
      </c>
      <c r="B60" s="3" t="s">
        <v>11</v>
      </c>
      <c r="C60" s="9"/>
      <c r="D60" s="9" t="s">
        <v>12</v>
      </c>
      <c r="E60" s="9"/>
      <c r="F60" s="5">
        <v>24</v>
      </c>
      <c r="G60" s="11">
        <v>1.04</v>
      </c>
      <c r="H60" s="11">
        <f t="shared" si="3"/>
        <v>23.076923076923077</v>
      </c>
      <c r="I60" s="11">
        <f t="shared" si="4"/>
        <v>15.715384615384616</v>
      </c>
      <c r="J60" s="9">
        <f t="shared" si="5"/>
        <v>1</v>
      </c>
    </row>
    <row r="61" spans="1:10" x14ac:dyDescent="0.15">
      <c r="A61" s="9">
        <v>54</v>
      </c>
      <c r="B61" s="3" t="s">
        <v>27</v>
      </c>
      <c r="C61" s="9"/>
      <c r="D61" s="9" t="s">
        <v>12</v>
      </c>
      <c r="E61" s="9"/>
      <c r="F61" s="5">
        <v>35</v>
      </c>
      <c r="G61" s="11">
        <v>1.46</v>
      </c>
      <c r="H61" s="11">
        <f t="shared" si="3"/>
        <v>23.972602739726028</v>
      </c>
      <c r="I61" s="11">
        <f t="shared" si="4"/>
        <v>16.325342465753426</v>
      </c>
      <c r="J61" s="9">
        <f t="shared" si="5"/>
        <v>1</v>
      </c>
    </row>
    <row r="62" spans="1:10" x14ac:dyDescent="0.15">
      <c r="A62" s="9">
        <v>27</v>
      </c>
      <c r="B62" s="3" t="s">
        <v>11</v>
      </c>
      <c r="C62" s="9"/>
      <c r="D62" s="9" t="s">
        <v>12</v>
      </c>
      <c r="E62" s="9"/>
      <c r="F62" s="5">
        <v>24</v>
      </c>
      <c r="G62" s="11">
        <v>1</v>
      </c>
      <c r="H62" s="11">
        <f t="shared" si="3"/>
        <v>24</v>
      </c>
      <c r="I62" s="11">
        <f t="shared" si="4"/>
        <v>16.344000000000001</v>
      </c>
      <c r="J62" s="9">
        <f t="shared" si="5"/>
        <v>1</v>
      </c>
    </row>
    <row r="63" spans="1:10" x14ac:dyDescent="0.15">
      <c r="A63" s="9">
        <v>42</v>
      </c>
      <c r="B63" s="3" t="s">
        <v>11</v>
      </c>
      <c r="C63" s="9"/>
      <c r="D63" s="9" t="s">
        <v>12</v>
      </c>
      <c r="E63" s="9"/>
      <c r="F63" s="5">
        <v>24</v>
      </c>
      <c r="G63" s="11">
        <v>1</v>
      </c>
      <c r="H63" s="11">
        <f t="shared" si="3"/>
        <v>24</v>
      </c>
      <c r="I63" s="11">
        <f t="shared" si="4"/>
        <v>16.344000000000001</v>
      </c>
      <c r="J63" s="9">
        <f t="shared" si="5"/>
        <v>1</v>
      </c>
    </row>
    <row r="64" spans="1:10" x14ac:dyDescent="0.15">
      <c r="A64" s="9">
        <v>47</v>
      </c>
      <c r="B64" s="3" t="s">
        <v>11</v>
      </c>
      <c r="C64" s="9"/>
      <c r="D64" s="9" t="s">
        <v>12</v>
      </c>
      <c r="E64" s="9"/>
      <c r="F64" s="5">
        <v>43</v>
      </c>
      <c r="G64" s="11">
        <v>1.77</v>
      </c>
      <c r="H64" s="11">
        <f t="shared" si="3"/>
        <v>24.293785310734464</v>
      </c>
      <c r="I64" s="11">
        <f t="shared" si="4"/>
        <v>16.544067796610172</v>
      </c>
      <c r="J64" s="9">
        <f t="shared" si="5"/>
        <v>1</v>
      </c>
    </row>
    <row r="65" spans="1:11" x14ac:dyDescent="0.15">
      <c r="A65" s="9">
        <v>36</v>
      </c>
      <c r="B65" s="3" t="s">
        <v>11</v>
      </c>
      <c r="C65" s="9"/>
      <c r="D65" s="9" t="s">
        <v>12</v>
      </c>
      <c r="E65" s="9"/>
      <c r="F65" s="5">
        <v>24</v>
      </c>
      <c r="G65" s="11">
        <v>0.98</v>
      </c>
      <c r="H65" s="11">
        <f t="shared" si="3"/>
        <v>24.489795918367346</v>
      </c>
      <c r="I65" s="11">
        <f t="shared" si="4"/>
        <v>16.677551020408163</v>
      </c>
      <c r="J65" s="9">
        <f t="shared" si="5"/>
        <v>1</v>
      </c>
    </row>
    <row r="66" spans="1:11" x14ac:dyDescent="0.15">
      <c r="A66" s="9">
        <v>13</v>
      </c>
      <c r="B66" s="3" t="s">
        <v>11</v>
      </c>
      <c r="C66" s="9"/>
      <c r="D66" s="9" t="s">
        <v>12</v>
      </c>
      <c r="E66" s="9"/>
      <c r="F66" s="5">
        <v>24</v>
      </c>
      <c r="G66" s="11">
        <v>0.95</v>
      </c>
      <c r="H66" s="11">
        <f t="shared" ref="H66:H72" si="6">F66/G66</f>
        <v>25.263157894736842</v>
      </c>
      <c r="I66" s="11">
        <f t="shared" ref="I66:I72" si="7">H66*0.681</f>
        <v>17.204210526315791</v>
      </c>
      <c r="J66" s="9">
        <f t="shared" ref="J66:J72" si="8">IF(G66&gt;0,1,0)</f>
        <v>1</v>
      </c>
    </row>
    <row r="67" spans="1:11" x14ac:dyDescent="0.15">
      <c r="A67" s="9">
        <v>14</v>
      </c>
      <c r="B67" s="3" t="s">
        <v>11</v>
      </c>
      <c r="C67" s="9"/>
      <c r="D67" s="9" t="s">
        <v>12</v>
      </c>
      <c r="E67" s="9"/>
      <c r="F67" s="5">
        <v>24</v>
      </c>
      <c r="G67" s="11">
        <v>0.95</v>
      </c>
      <c r="H67" s="11">
        <f t="shared" si="6"/>
        <v>25.263157894736842</v>
      </c>
      <c r="I67" s="11">
        <f t="shared" si="7"/>
        <v>17.204210526315791</v>
      </c>
      <c r="J67" s="9">
        <f t="shared" si="8"/>
        <v>1</v>
      </c>
    </row>
    <row r="68" spans="1:11" x14ac:dyDescent="0.15">
      <c r="A68" s="9">
        <v>21</v>
      </c>
      <c r="B68" s="3" t="s">
        <v>11</v>
      </c>
      <c r="C68" s="9"/>
      <c r="D68" s="9" t="s">
        <v>12</v>
      </c>
      <c r="E68" s="9"/>
      <c r="F68" s="5">
        <v>24</v>
      </c>
      <c r="G68" s="11">
        <v>0.93</v>
      </c>
      <c r="H68" s="11">
        <f t="shared" si="6"/>
        <v>25.806451612903224</v>
      </c>
      <c r="I68" s="11">
        <f t="shared" si="7"/>
        <v>17.574193548387097</v>
      </c>
      <c r="J68" s="9">
        <f t="shared" si="8"/>
        <v>1</v>
      </c>
    </row>
    <row r="69" spans="1:11" x14ac:dyDescent="0.15">
      <c r="A69" s="9">
        <v>50</v>
      </c>
      <c r="B69" s="3" t="s">
        <v>11</v>
      </c>
      <c r="C69" s="9"/>
      <c r="D69" s="9" t="s">
        <v>12</v>
      </c>
      <c r="E69" s="9"/>
      <c r="F69" s="5">
        <v>24</v>
      </c>
      <c r="G69" s="11">
        <v>0.92</v>
      </c>
      <c r="H69" s="11">
        <f t="shared" si="6"/>
        <v>26.086956521739129</v>
      </c>
      <c r="I69" s="11">
        <f t="shared" si="7"/>
        <v>17.765217391304347</v>
      </c>
      <c r="J69" s="9">
        <f t="shared" si="8"/>
        <v>1</v>
      </c>
    </row>
    <row r="70" spans="1:11" x14ac:dyDescent="0.15">
      <c r="A70" s="9">
        <v>28</v>
      </c>
      <c r="B70" s="3" t="s">
        <v>11</v>
      </c>
      <c r="C70" s="9"/>
      <c r="D70" s="9" t="s">
        <v>12</v>
      </c>
      <c r="E70" s="9"/>
      <c r="F70" s="5">
        <v>43</v>
      </c>
      <c r="G70" s="11">
        <v>1.5</v>
      </c>
      <c r="H70" s="11">
        <f t="shared" si="6"/>
        <v>28.666666666666668</v>
      </c>
      <c r="I70" s="11">
        <f t="shared" si="7"/>
        <v>19.522000000000002</v>
      </c>
      <c r="J70" s="9">
        <f t="shared" si="8"/>
        <v>1</v>
      </c>
    </row>
    <row r="71" spans="1:11" x14ac:dyDescent="0.15">
      <c r="A71" s="9">
        <v>52</v>
      </c>
      <c r="B71" s="3" t="s">
        <v>27</v>
      </c>
      <c r="C71" s="9"/>
      <c r="D71" s="9" t="s">
        <v>12</v>
      </c>
      <c r="E71" s="9"/>
      <c r="F71" s="5">
        <v>35</v>
      </c>
      <c r="G71" s="11">
        <v>1.2</v>
      </c>
      <c r="H71" s="11">
        <f t="shared" si="6"/>
        <v>29.166666666666668</v>
      </c>
      <c r="I71" s="11">
        <f t="shared" si="7"/>
        <v>19.862500000000001</v>
      </c>
      <c r="J71" s="9">
        <f t="shared" si="8"/>
        <v>1</v>
      </c>
      <c r="K71" t="s">
        <v>28</v>
      </c>
    </row>
    <row r="72" spans="1:11" x14ac:dyDescent="0.15">
      <c r="A72" s="9">
        <v>26</v>
      </c>
      <c r="B72" s="3" t="s">
        <v>11</v>
      </c>
      <c r="C72" s="9"/>
      <c r="D72" s="9" t="s">
        <v>12</v>
      </c>
      <c r="E72" s="9"/>
      <c r="F72" s="5">
        <v>43</v>
      </c>
      <c r="G72" s="11">
        <v>1.38</v>
      </c>
      <c r="H72" s="11">
        <f t="shared" si="6"/>
        <v>31.159420289855074</v>
      </c>
      <c r="I72" s="11">
        <f t="shared" si="7"/>
        <v>21.219565217391306</v>
      </c>
      <c r="J72" s="9">
        <f t="shared" si="8"/>
        <v>1</v>
      </c>
    </row>
  </sheetData>
  <sortState xmlns:xlrd2="http://schemas.microsoft.com/office/spreadsheetml/2017/richdata2" ref="A2:K72">
    <sortCondition ref="I2:I72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8"/>
  <sheetViews>
    <sheetView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K56" sqref="K56"/>
    </sheetView>
  </sheetViews>
  <sheetFormatPr baseColWidth="10" defaultColWidth="8.83203125" defaultRowHeight="14" x14ac:dyDescent="0.15"/>
  <cols>
    <col min="1" max="1" width="7" customWidth="1"/>
    <col min="4" max="5" width="8.83203125" style="8"/>
    <col min="6" max="6" width="9.83203125" style="6" customWidth="1"/>
    <col min="7" max="9" width="8.83203125" style="12"/>
  </cols>
  <sheetData>
    <row r="1" spans="1:10" s="7" customFormat="1" ht="54" customHeight="1" x14ac:dyDescent="0.15">
      <c r="A1" s="4" t="s">
        <v>16</v>
      </c>
      <c r="B1" s="4" t="s">
        <v>0</v>
      </c>
      <c r="C1" s="4" t="s">
        <v>17</v>
      </c>
      <c r="D1" s="4" t="s">
        <v>7</v>
      </c>
      <c r="E1" s="4" t="s">
        <v>8</v>
      </c>
      <c r="F1" s="4" t="s">
        <v>9</v>
      </c>
      <c r="G1" s="10" t="s">
        <v>3</v>
      </c>
      <c r="H1" s="10" t="s">
        <v>5</v>
      </c>
      <c r="I1" s="10" t="s">
        <v>4</v>
      </c>
      <c r="J1" s="4" t="s">
        <v>20</v>
      </c>
    </row>
    <row r="2" spans="1:10" x14ac:dyDescent="0.15">
      <c r="A2" s="9">
        <v>1</v>
      </c>
      <c r="B2" s="3" t="s">
        <v>13</v>
      </c>
      <c r="C2" s="3" t="s">
        <v>19</v>
      </c>
      <c r="D2" s="9" t="s">
        <v>1</v>
      </c>
      <c r="E2" s="9" t="s">
        <v>6</v>
      </c>
      <c r="F2" s="5">
        <v>55</v>
      </c>
      <c r="G2" s="11">
        <v>4.82</v>
      </c>
      <c r="H2" s="11">
        <f t="shared" ref="H2:H19" si="0">F2/G2</f>
        <v>11.410788381742737</v>
      </c>
      <c r="I2" s="11">
        <f t="shared" ref="I2:I19" si="1">H2*0.681</f>
        <v>7.7707468879668049</v>
      </c>
      <c r="J2" s="9">
        <f t="shared" ref="J2:J19" si="2">IF(G2&gt;0,1,0)</f>
        <v>1</v>
      </c>
    </row>
    <row r="3" spans="1:10" x14ac:dyDescent="0.15">
      <c r="A3" s="9">
        <v>2</v>
      </c>
      <c r="B3" s="3" t="s">
        <v>13</v>
      </c>
      <c r="C3" s="3" t="s">
        <v>19</v>
      </c>
      <c r="D3" s="9" t="s">
        <v>1</v>
      </c>
      <c r="E3" s="9" t="s">
        <v>6</v>
      </c>
      <c r="F3" s="5">
        <v>55</v>
      </c>
      <c r="G3" s="11">
        <v>4.6500000000000004</v>
      </c>
      <c r="H3" s="11">
        <f t="shared" si="0"/>
        <v>11.82795698924731</v>
      </c>
      <c r="I3" s="11">
        <f t="shared" si="1"/>
        <v>8.0548387096774192</v>
      </c>
      <c r="J3" s="9">
        <f t="shared" si="2"/>
        <v>1</v>
      </c>
    </row>
    <row r="4" spans="1:10" x14ac:dyDescent="0.15">
      <c r="A4" s="9">
        <v>9</v>
      </c>
      <c r="B4" s="3" t="s">
        <v>13</v>
      </c>
      <c r="C4" s="3" t="s">
        <v>19</v>
      </c>
      <c r="D4" s="9" t="s">
        <v>1</v>
      </c>
      <c r="E4" s="9" t="s">
        <v>6</v>
      </c>
      <c r="F4" s="5">
        <v>55</v>
      </c>
      <c r="G4" s="11">
        <v>4.59</v>
      </c>
      <c r="H4" s="11">
        <f t="shared" si="0"/>
        <v>11.982570806100219</v>
      </c>
      <c r="I4" s="11">
        <f t="shared" si="1"/>
        <v>8.1601307189542496</v>
      </c>
      <c r="J4" s="9">
        <f t="shared" si="2"/>
        <v>1</v>
      </c>
    </row>
    <row r="5" spans="1:10" x14ac:dyDescent="0.15">
      <c r="A5" s="9">
        <v>17</v>
      </c>
      <c r="B5" s="3" t="s">
        <v>13</v>
      </c>
      <c r="C5" s="3" t="s">
        <v>19</v>
      </c>
      <c r="D5" s="9" t="s">
        <v>1</v>
      </c>
      <c r="E5" s="9" t="s">
        <v>6</v>
      </c>
      <c r="F5" s="5">
        <v>55</v>
      </c>
      <c r="G5" s="11">
        <v>3.45</v>
      </c>
      <c r="H5" s="11">
        <f t="shared" si="0"/>
        <v>15.942028985507246</v>
      </c>
      <c r="I5" s="11">
        <f t="shared" si="1"/>
        <v>10.856521739130436</v>
      </c>
      <c r="J5" s="9">
        <f t="shared" si="2"/>
        <v>1</v>
      </c>
    </row>
    <row r="6" spans="1:10" x14ac:dyDescent="0.15">
      <c r="A6" s="9">
        <v>19</v>
      </c>
      <c r="B6" s="3" t="s">
        <v>13</v>
      </c>
      <c r="C6" s="3" t="s">
        <v>19</v>
      </c>
      <c r="D6" s="9" t="s">
        <v>1</v>
      </c>
      <c r="E6" s="9" t="s">
        <v>6</v>
      </c>
      <c r="F6" s="5">
        <v>55</v>
      </c>
      <c r="G6" s="11">
        <v>5.44</v>
      </c>
      <c r="H6" s="11">
        <f t="shared" si="0"/>
        <v>10.110294117647058</v>
      </c>
      <c r="I6" s="11">
        <f t="shared" si="1"/>
        <v>6.8851102941176467</v>
      </c>
      <c r="J6" s="9">
        <f t="shared" si="2"/>
        <v>1</v>
      </c>
    </row>
    <row r="7" spans="1:10" x14ac:dyDescent="0.15">
      <c r="A7" s="9">
        <v>23</v>
      </c>
      <c r="B7" s="3" t="s">
        <v>13</v>
      </c>
      <c r="C7" s="3" t="s">
        <v>19</v>
      </c>
      <c r="D7" s="9" t="s">
        <v>1</v>
      </c>
      <c r="E7" s="9" t="s">
        <v>6</v>
      </c>
      <c r="F7" s="5">
        <v>55</v>
      </c>
      <c r="G7" s="11">
        <v>5</v>
      </c>
      <c r="H7" s="11">
        <f t="shared" si="0"/>
        <v>11</v>
      </c>
      <c r="I7" s="11">
        <f t="shared" si="1"/>
        <v>7.4910000000000005</v>
      </c>
      <c r="J7" s="9">
        <f t="shared" si="2"/>
        <v>1</v>
      </c>
    </row>
    <row r="8" spans="1:10" x14ac:dyDescent="0.15">
      <c r="A8" s="9">
        <v>25</v>
      </c>
      <c r="B8" s="3" t="s">
        <v>13</v>
      </c>
      <c r="C8" s="3" t="s">
        <v>19</v>
      </c>
      <c r="D8" s="9" t="s">
        <v>1</v>
      </c>
      <c r="E8" s="9" t="s">
        <v>6</v>
      </c>
      <c r="F8" s="5">
        <v>55</v>
      </c>
      <c r="G8" s="11">
        <v>5.21</v>
      </c>
      <c r="H8" s="11">
        <f t="shared" si="0"/>
        <v>10.556621880998081</v>
      </c>
      <c r="I8" s="11">
        <f t="shared" si="1"/>
        <v>7.1890595009596936</v>
      </c>
      <c r="J8" s="9">
        <f t="shared" si="2"/>
        <v>1</v>
      </c>
    </row>
    <row r="9" spans="1:10" x14ac:dyDescent="0.15">
      <c r="A9" s="9">
        <v>27</v>
      </c>
      <c r="B9" s="3" t="s">
        <v>13</v>
      </c>
      <c r="C9" s="3" t="s">
        <v>19</v>
      </c>
      <c r="D9" s="9" t="s">
        <v>1</v>
      </c>
      <c r="E9" s="9" t="s">
        <v>6</v>
      </c>
      <c r="F9" s="5">
        <v>55</v>
      </c>
      <c r="G9" s="11">
        <v>7.5</v>
      </c>
      <c r="H9" s="11">
        <f t="shared" si="0"/>
        <v>7.333333333333333</v>
      </c>
      <c r="I9" s="11">
        <f t="shared" si="1"/>
        <v>4.9939999999999998</v>
      </c>
      <c r="J9" s="9">
        <f t="shared" si="2"/>
        <v>1</v>
      </c>
    </row>
    <row r="10" spans="1:10" x14ac:dyDescent="0.15">
      <c r="A10" s="9">
        <v>33</v>
      </c>
      <c r="B10" s="3" t="s">
        <v>13</v>
      </c>
      <c r="C10" s="3" t="s">
        <v>19</v>
      </c>
      <c r="D10" s="9" t="s">
        <v>1</v>
      </c>
      <c r="E10" s="9" t="s">
        <v>6</v>
      </c>
      <c r="F10" s="5">
        <v>55</v>
      </c>
      <c r="G10" s="11">
        <v>4</v>
      </c>
      <c r="H10" s="11">
        <f t="shared" si="0"/>
        <v>13.75</v>
      </c>
      <c r="I10" s="11">
        <f t="shared" si="1"/>
        <v>9.3637500000000014</v>
      </c>
      <c r="J10" s="9">
        <f t="shared" si="2"/>
        <v>1</v>
      </c>
    </row>
    <row r="11" spans="1:10" x14ac:dyDescent="0.15">
      <c r="A11" s="9">
        <v>35</v>
      </c>
      <c r="B11" s="3" t="s">
        <v>13</v>
      </c>
      <c r="C11" s="3" t="s">
        <v>19</v>
      </c>
      <c r="D11" s="9" t="s">
        <v>1</v>
      </c>
      <c r="E11" s="9" t="s">
        <v>6</v>
      </c>
      <c r="F11" s="5">
        <v>55</v>
      </c>
      <c r="G11" s="11">
        <v>4</v>
      </c>
      <c r="H11" s="11">
        <f t="shared" si="0"/>
        <v>13.75</v>
      </c>
      <c r="I11" s="11">
        <f t="shared" si="1"/>
        <v>9.3637500000000014</v>
      </c>
      <c r="J11" s="9">
        <f t="shared" si="2"/>
        <v>1</v>
      </c>
    </row>
    <row r="12" spans="1:10" x14ac:dyDescent="0.15">
      <c r="A12" s="9">
        <v>36</v>
      </c>
      <c r="B12" s="3" t="s">
        <v>13</v>
      </c>
      <c r="C12" s="3" t="s">
        <v>19</v>
      </c>
      <c r="D12" s="9" t="s">
        <v>1</v>
      </c>
      <c r="E12" s="9" t="s">
        <v>6</v>
      </c>
      <c r="F12" s="5">
        <v>55</v>
      </c>
      <c r="G12" s="11">
        <v>4.04</v>
      </c>
      <c r="H12" s="11">
        <f t="shared" si="0"/>
        <v>13.613861386138614</v>
      </c>
      <c r="I12" s="11">
        <f t="shared" si="1"/>
        <v>9.2710396039603964</v>
      </c>
      <c r="J12" s="9">
        <f t="shared" si="2"/>
        <v>1</v>
      </c>
    </row>
    <row r="13" spans="1:10" x14ac:dyDescent="0.15">
      <c r="A13" s="9">
        <v>41</v>
      </c>
      <c r="B13" s="3" t="s">
        <v>13</v>
      </c>
      <c r="C13" s="3" t="s">
        <v>19</v>
      </c>
      <c r="D13" s="9" t="s">
        <v>1</v>
      </c>
      <c r="E13" s="9" t="s">
        <v>6</v>
      </c>
      <c r="F13" s="5">
        <v>55</v>
      </c>
      <c r="G13" s="11">
        <v>2.92</v>
      </c>
      <c r="H13" s="11">
        <f t="shared" si="0"/>
        <v>18.835616438356166</v>
      </c>
      <c r="I13" s="11">
        <f t="shared" si="1"/>
        <v>12.827054794520549</v>
      </c>
      <c r="J13" s="9">
        <f t="shared" si="2"/>
        <v>1</v>
      </c>
    </row>
    <row r="14" spans="1:10" x14ac:dyDescent="0.15">
      <c r="A14" s="9">
        <v>42</v>
      </c>
      <c r="B14" s="3" t="s">
        <v>13</v>
      </c>
      <c r="C14" s="3" t="s">
        <v>19</v>
      </c>
      <c r="D14" s="9" t="s">
        <v>1</v>
      </c>
      <c r="E14" s="9" t="s">
        <v>6</v>
      </c>
      <c r="F14" s="5">
        <v>55</v>
      </c>
      <c r="G14" s="11">
        <v>2.19</v>
      </c>
      <c r="H14" s="11">
        <f t="shared" si="0"/>
        <v>25.114155251141554</v>
      </c>
      <c r="I14" s="11">
        <f t="shared" si="1"/>
        <v>17.102739726027398</v>
      </c>
      <c r="J14" s="9">
        <f t="shared" si="2"/>
        <v>1</v>
      </c>
    </row>
    <row r="15" spans="1:10" x14ac:dyDescent="0.15">
      <c r="A15" s="9">
        <v>43</v>
      </c>
      <c r="B15" s="3" t="s">
        <v>13</v>
      </c>
      <c r="C15" s="3" t="s">
        <v>19</v>
      </c>
      <c r="D15" s="9" t="s">
        <v>1</v>
      </c>
      <c r="E15" s="9" t="s">
        <v>6</v>
      </c>
      <c r="F15" s="5">
        <v>55</v>
      </c>
      <c r="G15" s="11">
        <v>2.96</v>
      </c>
      <c r="H15" s="11">
        <f t="shared" si="0"/>
        <v>18.581081081081081</v>
      </c>
      <c r="I15" s="11">
        <f t="shared" si="1"/>
        <v>12.653716216216218</v>
      </c>
      <c r="J15" s="9">
        <f t="shared" si="2"/>
        <v>1</v>
      </c>
    </row>
    <row r="16" spans="1:10" x14ac:dyDescent="0.15">
      <c r="A16" s="9">
        <v>45</v>
      </c>
      <c r="B16" s="3" t="s">
        <v>13</v>
      </c>
      <c r="C16" s="3" t="s">
        <v>19</v>
      </c>
      <c r="D16" s="9" t="s">
        <v>1</v>
      </c>
      <c r="E16" s="9" t="s">
        <v>6</v>
      </c>
      <c r="F16" s="5">
        <v>55</v>
      </c>
      <c r="G16" s="11">
        <v>2.79</v>
      </c>
      <c r="H16" s="11">
        <f t="shared" si="0"/>
        <v>19.713261648745519</v>
      </c>
      <c r="I16" s="11">
        <f t="shared" si="1"/>
        <v>13.4247311827957</v>
      </c>
      <c r="J16" s="9">
        <f t="shared" si="2"/>
        <v>1</v>
      </c>
    </row>
    <row r="17" spans="1:10" x14ac:dyDescent="0.15">
      <c r="A17" s="9">
        <v>46</v>
      </c>
      <c r="B17" s="3" t="s">
        <v>13</v>
      </c>
      <c r="C17" s="3" t="s">
        <v>19</v>
      </c>
      <c r="D17" s="9" t="s">
        <v>1</v>
      </c>
      <c r="E17" s="9" t="s">
        <v>6</v>
      </c>
      <c r="F17" s="5">
        <v>55</v>
      </c>
      <c r="G17" s="11">
        <v>2.79</v>
      </c>
      <c r="H17" s="11">
        <f t="shared" si="0"/>
        <v>19.713261648745519</v>
      </c>
      <c r="I17" s="11">
        <f t="shared" si="1"/>
        <v>13.4247311827957</v>
      </c>
      <c r="J17" s="9">
        <f t="shared" si="2"/>
        <v>1</v>
      </c>
    </row>
    <row r="18" spans="1:10" x14ac:dyDescent="0.15">
      <c r="A18" s="9">
        <v>50</v>
      </c>
      <c r="B18" s="3" t="s">
        <v>13</v>
      </c>
      <c r="C18" s="3" t="s">
        <v>19</v>
      </c>
      <c r="D18" s="9" t="s">
        <v>1</v>
      </c>
      <c r="E18" s="9" t="s">
        <v>6</v>
      </c>
      <c r="F18" s="5">
        <v>55</v>
      </c>
      <c r="G18" s="11">
        <v>7</v>
      </c>
      <c r="H18" s="11">
        <f t="shared" si="0"/>
        <v>7.8571428571428568</v>
      </c>
      <c r="I18" s="11">
        <f t="shared" si="1"/>
        <v>5.350714285714286</v>
      </c>
      <c r="J18" s="9">
        <f t="shared" si="2"/>
        <v>1</v>
      </c>
    </row>
    <row r="19" spans="1:10" x14ac:dyDescent="0.15">
      <c r="A19" s="9">
        <v>51</v>
      </c>
      <c r="B19" s="3" t="s">
        <v>13</v>
      </c>
      <c r="C19" s="3" t="s">
        <v>19</v>
      </c>
      <c r="D19" s="9" t="s">
        <v>1</v>
      </c>
      <c r="E19" s="9" t="s">
        <v>6</v>
      </c>
      <c r="F19" s="5">
        <v>55</v>
      </c>
      <c r="G19" s="11">
        <v>3.22</v>
      </c>
      <c r="H19" s="11">
        <f t="shared" si="0"/>
        <v>17.080745341614907</v>
      </c>
      <c r="I19" s="11">
        <f t="shared" si="1"/>
        <v>11.631987577639753</v>
      </c>
      <c r="J19" s="9">
        <f t="shared" si="2"/>
        <v>1</v>
      </c>
    </row>
    <row r="20" spans="1:10" x14ac:dyDescent="0.15">
      <c r="A20" s="9"/>
      <c r="B20" s="3"/>
      <c r="C20" s="3"/>
      <c r="D20" s="9"/>
      <c r="E20" s="9"/>
      <c r="F20" s="5"/>
      <c r="G20" s="11"/>
      <c r="H20" s="11"/>
      <c r="I20" s="17">
        <f>SUM(I2:I19)/J20</f>
        <v>9.7675345789153489</v>
      </c>
      <c r="J20" s="9">
        <f>SUM(J2:J19)</f>
        <v>18</v>
      </c>
    </row>
    <row r="21" spans="1:10" x14ac:dyDescent="0.15">
      <c r="A21" s="9"/>
      <c r="B21" s="3"/>
      <c r="C21" s="3"/>
      <c r="D21" s="9"/>
      <c r="E21" s="9"/>
      <c r="F21" s="5"/>
      <c r="G21" s="11"/>
      <c r="H21" s="11"/>
      <c r="I21" s="11"/>
      <c r="J21" s="9"/>
    </row>
    <row r="22" spans="1:10" x14ac:dyDescent="0.15">
      <c r="A22" s="9">
        <v>3</v>
      </c>
      <c r="B22" s="3" t="s">
        <v>13</v>
      </c>
      <c r="C22" s="3" t="s">
        <v>18</v>
      </c>
      <c r="D22" s="9" t="s">
        <v>1</v>
      </c>
      <c r="E22" s="9" t="s">
        <v>15</v>
      </c>
      <c r="F22" s="5">
        <v>55</v>
      </c>
      <c r="G22" s="11">
        <v>5.5</v>
      </c>
      <c r="H22" s="11">
        <f t="shared" ref="H22:H56" si="3">F22/G22</f>
        <v>10</v>
      </c>
      <c r="I22" s="11">
        <f t="shared" ref="I22:I56" si="4">H22*0.681</f>
        <v>6.8100000000000005</v>
      </c>
      <c r="J22" s="9">
        <f t="shared" ref="J22:J56" si="5">IF(G22&gt;0,1,0)</f>
        <v>1</v>
      </c>
    </row>
    <row r="23" spans="1:10" x14ac:dyDescent="0.15">
      <c r="A23" s="9">
        <v>4</v>
      </c>
      <c r="B23" s="3" t="s">
        <v>13</v>
      </c>
      <c r="C23" s="3" t="s">
        <v>18</v>
      </c>
      <c r="D23" s="9" t="s">
        <v>1</v>
      </c>
      <c r="E23" s="9" t="s">
        <v>15</v>
      </c>
      <c r="F23" s="5">
        <v>55</v>
      </c>
      <c r="G23" s="11">
        <v>3.77</v>
      </c>
      <c r="H23" s="11">
        <f t="shared" si="3"/>
        <v>14.588859416445624</v>
      </c>
      <c r="I23" s="11">
        <f t="shared" si="4"/>
        <v>9.9350132625994707</v>
      </c>
      <c r="J23" s="9">
        <f t="shared" si="5"/>
        <v>1</v>
      </c>
    </row>
    <row r="24" spans="1:10" x14ac:dyDescent="0.15">
      <c r="A24" s="9">
        <v>5</v>
      </c>
      <c r="B24" s="3" t="s">
        <v>13</v>
      </c>
      <c r="C24" s="3" t="s">
        <v>18</v>
      </c>
      <c r="D24" s="9" t="s">
        <v>1</v>
      </c>
      <c r="E24" s="9" t="s">
        <v>15</v>
      </c>
      <c r="F24" s="5">
        <v>55</v>
      </c>
      <c r="G24" s="11">
        <v>4.3</v>
      </c>
      <c r="H24" s="11">
        <f t="shared" si="3"/>
        <v>12.790697674418606</v>
      </c>
      <c r="I24" s="11">
        <f t="shared" si="4"/>
        <v>8.7104651162790709</v>
      </c>
      <c r="J24" s="9">
        <f t="shared" si="5"/>
        <v>1</v>
      </c>
    </row>
    <row r="25" spans="1:10" x14ac:dyDescent="0.15">
      <c r="A25" s="9">
        <v>6</v>
      </c>
      <c r="B25" s="3" t="s">
        <v>13</v>
      </c>
      <c r="C25" s="3" t="s">
        <v>18</v>
      </c>
      <c r="D25" s="9" t="s">
        <v>1</v>
      </c>
      <c r="E25" s="9" t="s">
        <v>15</v>
      </c>
      <c r="F25" s="5">
        <v>55</v>
      </c>
      <c r="G25" s="11">
        <v>3.15</v>
      </c>
      <c r="H25" s="11">
        <f t="shared" si="3"/>
        <v>17.460317460317462</v>
      </c>
      <c r="I25" s="11">
        <f t="shared" si="4"/>
        <v>11.890476190476193</v>
      </c>
      <c r="J25" s="9">
        <f t="shared" si="5"/>
        <v>1</v>
      </c>
    </row>
    <row r="26" spans="1:10" x14ac:dyDescent="0.15">
      <c r="A26" s="9">
        <v>7</v>
      </c>
      <c r="B26" s="3" t="s">
        <v>13</v>
      </c>
      <c r="C26" s="3" t="s">
        <v>18</v>
      </c>
      <c r="D26" s="9" t="s">
        <v>1</v>
      </c>
      <c r="E26" s="9" t="s">
        <v>15</v>
      </c>
      <c r="F26" s="5">
        <v>55</v>
      </c>
      <c r="G26" s="11">
        <v>4.9400000000000004</v>
      </c>
      <c r="H26" s="11">
        <f t="shared" si="3"/>
        <v>11.133603238866396</v>
      </c>
      <c r="I26" s="11">
        <f t="shared" si="4"/>
        <v>7.581983805668016</v>
      </c>
      <c r="J26" s="9">
        <f t="shared" si="5"/>
        <v>1</v>
      </c>
    </row>
    <row r="27" spans="1:10" x14ac:dyDescent="0.15">
      <c r="A27" s="9">
        <v>8</v>
      </c>
      <c r="B27" s="3" t="s">
        <v>13</v>
      </c>
      <c r="C27" s="3" t="s">
        <v>18</v>
      </c>
      <c r="D27" s="9" t="s">
        <v>1</v>
      </c>
      <c r="E27" s="9" t="s">
        <v>15</v>
      </c>
      <c r="F27" s="5">
        <v>55</v>
      </c>
      <c r="G27" s="11">
        <v>5.85</v>
      </c>
      <c r="H27" s="11">
        <f t="shared" si="3"/>
        <v>9.4017094017094021</v>
      </c>
      <c r="I27" s="11">
        <f t="shared" si="4"/>
        <v>6.4025641025641029</v>
      </c>
      <c r="J27" s="9">
        <f t="shared" si="5"/>
        <v>1</v>
      </c>
    </row>
    <row r="28" spans="1:10" x14ac:dyDescent="0.15">
      <c r="A28" s="9">
        <v>10</v>
      </c>
      <c r="B28" s="3" t="s">
        <v>13</v>
      </c>
      <c r="C28" s="3" t="s">
        <v>18</v>
      </c>
      <c r="D28" s="9" t="s">
        <v>1</v>
      </c>
      <c r="E28" s="9" t="s">
        <v>15</v>
      </c>
      <c r="F28" s="5">
        <v>55</v>
      </c>
      <c r="G28" s="11">
        <v>4.43</v>
      </c>
      <c r="H28" s="11">
        <f t="shared" si="3"/>
        <v>12.415349887133184</v>
      </c>
      <c r="I28" s="11">
        <f t="shared" si="4"/>
        <v>8.4548532731376991</v>
      </c>
      <c r="J28" s="9">
        <f t="shared" si="5"/>
        <v>1</v>
      </c>
    </row>
    <row r="29" spans="1:10" x14ac:dyDescent="0.15">
      <c r="A29" s="9">
        <v>11</v>
      </c>
      <c r="B29" s="3" t="s">
        <v>13</v>
      </c>
      <c r="C29" s="3" t="s">
        <v>18</v>
      </c>
      <c r="D29" s="9" t="s">
        <v>1</v>
      </c>
      <c r="E29" s="9" t="s">
        <v>15</v>
      </c>
      <c r="F29" s="5">
        <v>55</v>
      </c>
      <c r="G29" s="11">
        <v>4.63</v>
      </c>
      <c r="H29" s="11">
        <f t="shared" si="3"/>
        <v>11.879049676025918</v>
      </c>
      <c r="I29" s="11">
        <f t="shared" si="4"/>
        <v>8.0896328293736506</v>
      </c>
      <c r="J29" s="9">
        <f t="shared" si="5"/>
        <v>1</v>
      </c>
    </row>
    <row r="30" spans="1:10" x14ac:dyDescent="0.15">
      <c r="A30" s="9">
        <v>12</v>
      </c>
      <c r="B30" s="3" t="s">
        <v>13</v>
      </c>
      <c r="C30" s="3" t="s">
        <v>18</v>
      </c>
      <c r="D30" s="9" t="s">
        <v>1</v>
      </c>
      <c r="E30" s="9" t="s">
        <v>15</v>
      </c>
      <c r="F30" s="5">
        <v>55</v>
      </c>
      <c r="G30" s="11">
        <v>3.5</v>
      </c>
      <c r="H30" s="11">
        <f t="shared" si="3"/>
        <v>15.714285714285714</v>
      </c>
      <c r="I30" s="11">
        <f t="shared" si="4"/>
        <v>10.701428571428572</v>
      </c>
      <c r="J30" s="9">
        <f t="shared" si="5"/>
        <v>1</v>
      </c>
    </row>
    <row r="31" spans="1:10" x14ac:dyDescent="0.15">
      <c r="A31" s="9">
        <v>13</v>
      </c>
      <c r="B31" s="3" t="s">
        <v>13</v>
      </c>
      <c r="C31" s="3" t="s">
        <v>18</v>
      </c>
      <c r="D31" s="9" t="s">
        <v>1</v>
      </c>
      <c r="E31" s="9" t="s">
        <v>15</v>
      </c>
      <c r="F31" s="5">
        <v>55</v>
      </c>
      <c r="G31" s="11">
        <v>6.09</v>
      </c>
      <c r="H31" s="11">
        <f t="shared" si="3"/>
        <v>9.0311986863711002</v>
      </c>
      <c r="I31" s="11">
        <f t="shared" si="4"/>
        <v>6.1502463054187197</v>
      </c>
      <c r="J31" s="9">
        <f t="shared" si="5"/>
        <v>1</v>
      </c>
    </row>
    <row r="32" spans="1:10" x14ac:dyDescent="0.15">
      <c r="A32" s="9">
        <v>14</v>
      </c>
      <c r="B32" s="3" t="s">
        <v>13</v>
      </c>
      <c r="C32" s="3" t="s">
        <v>18</v>
      </c>
      <c r="D32" s="9" t="s">
        <v>1</v>
      </c>
      <c r="E32" s="9" t="s">
        <v>15</v>
      </c>
      <c r="F32" s="5">
        <v>55</v>
      </c>
      <c r="G32" s="11">
        <v>5.65</v>
      </c>
      <c r="H32" s="11">
        <f t="shared" si="3"/>
        <v>9.7345132743362832</v>
      </c>
      <c r="I32" s="11">
        <f t="shared" si="4"/>
        <v>6.6292035398230089</v>
      </c>
      <c r="J32" s="9">
        <f t="shared" si="5"/>
        <v>1</v>
      </c>
    </row>
    <row r="33" spans="1:10" x14ac:dyDescent="0.15">
      <c r="A33" s="9">
        <v>15</v>
      </c>
      <c r="B33" s="3" t="s">
        <v>13</v>
      </c>
      <c r="C33" s="3" t="s">
        <v>18</v>
      </c>
      <c r="D33" s="9" t="s">
        <v>1</v>
      </c>
      <c r="E33" s="9" t="s">
        <v>15</v>
      </c>
      <c r="F33" s="5">
        <v>55</v>
      </c>
      <c r="G33" s="11">
        <v>4.5599999999999996</v>
      </c>
      <c r="H33" s="11">
        <f t="shared" si="3"/>
        <v>12.061403508771932</v>
      </c>
      <c r="I33" s="11">
        <f t="shared" si="4"/>
        <v>8.2138157894736867</v>
      </c>
      <c r="J33" s="9">
        <f t="shared" si="5"/>
        <v>1</v>
      </c>
    </row>
    <row r="34" spans="1:10" x14ac:dyDescent="0.15">
      <c r="A34" s="9">
        <v>16</v>
      </c>
      <c r="B34" s="3" t="s">
        <v>13</v>
      </c>
      <c r="C34" s="3" t="s">
        <v>18</v>
      </c>
      <c r="D34" s="9" t="s">
        <v>1</v>
      </c>
      <c r="E34" s="9" t="s">
        <v>15</v>
      </c>
      <c r="F34" s="5">
        <v>55</v>
      </c>
      <c r="G34" s="11">
        <v>2.25</v>
      </c>
      <c r="H34" s="11">
        <f t="shared" si="3"/>
        <v>24.444444444444443</v>
      </c>
      <c r="I34" s="11">
        <f t="shared" si="4"/>
        <v>16.646666666666668</v>
      </c>
      <c r="J34" s="9">
        <f t="shared" si="5"/>
        <v>1</v>
      </c>
    </row>
    <row r="35" spans="1:10" x14ac:dyDescent="0.15">
      <c r="A35" s="9">
        <v>18</v>
      </c>
      <c r="B35" s="3" t="s">
        <v>13</v>
      </c>
      <c r="C35" s="3" t="s">
        <v>18</v>
      </c>
      <c r="D35" s="9" t="s">
        <v>1</v>
      </c>
      <c r="E35" s="9" t="s">
        <v>15</v>
      </c>
      <c r="F35" s="5">
        <v>55</v>
      </c>
      <c r="G35" s="11">
        <v>6.7</v>
      </c>
      <c r="H35" s="11">
        <f t="shared" si="3"/>
        <v>8.2089552238805972</v>
      </c>
      <c r="I35" s="11">
        <f t="shared" si="4"/>
        <v>5.5902985074626868</v>
      </c>
      <c r="J35" s="9">
        <f t="shared" si="5"/>
        <v>1</v>
      </c>
    </row>
    <row r="36" spans="1:10" x14ac:dyDescent="0.15">
      <c r="A36" s="9">
        <v>20</v>
      </c>
      <c r="B36" s="3" t="s">
        <v>13</v>
      </c>
      <c r="C36" s="3" t="s">
        <v>18</v>
      </c>
      <c r="D36" s="9" t="s">
        <v>1</v>
      </c>
      <c r="E36" s="9" t="s">
        <v>15</v>
      </c>
      <c r="F36" s="5">
        <v>55</v>
      </c>
      <c r="G36" s="11">
        <v>4.24</v>
      </c>
      <c r="H36" s="11">
        <f t="shared" si="3"/>
        <v>12.971698113207546</v>
      </c>
      <c r="I36" s="11">
        <f t="shared" si="4"/>
        <v>8.8337264150943398</v>
      </c>
      <c r="J36" s="9">
        <f t="shared" si="5"/>
        <v>1</v>
      </c>
    </row>
    <row r="37" spans="1:10" x14ac:dyDescent="0.15">
      <c r="A37" s="9">
        <v>21</v>
      </c>
      <c r="B37" s="3" t="s">
        <v>13</v>
      </c>
      <c r="C37" s="3" t="s">
        <v>18</v>
      </c>
      <c r="D37" s="9" t="s">
        <v>1</v>
      </c>
      <c r="E37" s="9" t="s">
        <v>15</v>
      </c>
      <c r="F37" s="5">
        <v>55</v>
      </c>
      <c r="G37" s="11">
        <v>4.7</v>
      </c>
      <c r="H37" s="11">
        <f t="shared" si="3"/>
        <v>11.702127659574467</v>
      </c>
      <c r="I37" s="11">
        <f t="shared" si="4"/>
        <v>7.969148936170213</v>
      </c>
      <c r="J37" s="9">
        <f t="shared" si="5"/>
        <v>1</v>
      </c>
    </row>
    <row r="38" spans="1:10" x14ac:dyDescent="0.15">
      <c r="A38" s="9">
        <v>22</v>
      </c>
      <c r="B38" s="3" t="s">
        <v>13</v>
      </c>
      <c r="C38" s="3" t="s">
        <v>18</v>
      </c>
      <c r="D38" s="9" t="s">
        <v>1</v>
      </c>
      <c r="E38" s="9" t="s">
        <v>15</v>
      </c>
      <c r="F38" s="5">
        <v>55</v>
      </c>
      <c r="G38" s="11">
        <v>6.68</v>
      </c>
      <c r="H38" s="11">
        <f t="shared" si="3"/>
        <v>8.2335329341317376</v>
      </c>
      <c r="I38" s="11">
        <f t="shared" si="4"/>
        <v>5.6070359281437137</v>
      </c>
      <c r="J38" s="9">
        <f t="shared" si="5"/>
        <v>1</v>
      </c>
    </row>
    <row r="39" spans="1:10" x14ac:dyDescent="0.15">
      <c r="A39" s="9">
        <v>24</v>
      </c>
      <c r="B39" s="3" t="s">
        <v>13</v>
      </c>
      <c r="C39" s="3" t="s">
        <v>18</v>
      </c>
      <c r="D39" s="9" t="s">
        <v>1</v>
      </c>
      <c r="E39" s="9" t="s">
        <v>15</v>
      </c>
      <c r="F39" s="5">
        <v>55</v>
      </c>
      <c r="G39" s="11">
        <v>4.05</v>
      </c>
      <c r="H39" s="11">
        <f t="shared" si="3"/>
        <v>13.580246913580247</v>
      </c>
      <c r="I39" s="11">
        <f t="shared" si="4"/>
        <v>9.2481481481481485</v>
      </c>
      <c r="J39" s="9">
        <f t="shared" si="5"/>
        <v>1</v>
      </c>
    </row>
    <row r="40" spans="1:10" x14ac:dyDescent="0.15">
      <c r="A40" s="9">
        <v>26</v>
      </c>
      <c r="B40" s="3" t="s">
        <v>13</v>
      </c>
      <c r="C40" s="3" t="s">
        <v>18</v>
      </c>
      <c r="D40" s="9" t="s">
        <v>1</v>
      </c>
      <c r="E40" s="9" t="s">
        <v>15</v>
      </c>
      <c r="F40" s="5">
        <v>55</v>
      </c>
      <c r="G40" s="11">
        <v>2.54</v>
      </c>
      <c r="H40" s="11">
        <f t="shared" si="3"/>
        <v>21.653543307086615</v>
      </c>
      <c r="I40" s="11">
        <f t="shared" si="4"/>
        <v>14.746062992125985</v>
      </c>
      <c r="J40" s="9">
        <f t="shared" si="5"/>
        <v>1</v>
      </c>
    </row>
    <row r="41" spans="1:10" x14ac:dyDescent="0.15">
      <c r="A41" s="9">
        <v>28</v>
      </c>
      <c r="B41" s="3" t="s">
        <v>13</v>
      </c>
      <c r="C41" s="3" t="s">
        <v>18</v>
      </c>
      <c r="D41" s="9" t="s">
        <v>1</v>
      </c>
      <c r="E41" s="9" t="s">
        <v>15</v>
      </c>
      <c r="F41" s="5">
        <v>55</v>
      </c>
      <c r="G41" s="11">
        <v>4.7</v>
      </c>
      <c r="H41" s="11">
        <f t="shared" si="3"/>
        <v>11.702127659574467</v>
      </c>
      <c r="I41" s="11">
        <f t="shared" si="4"/>
        <v>7.969148936170213</v>
      </c>
      <c r="J41" s="9">
        <f t="shared" si="5"/>
        <v>1</v>
      </c>
    </row>
    <row r="42" spans="1:10" x14ac:dyDescent="0.15">
      <c r="A42" s="9">
        <v>29</v>
      </c>
      <c r="B42" s="3" t="s">
        <v>13</v>
      </c>
      <c r="C42" s="3" t="s">
        <v>18</v>
      </c>
      <c r="D42" s="9" t="s">
        <v>1</v>
      </c>
      <c r="E42" s="9" t="s">
        <v>15</v>
      </c>
      <c r="F42" s="5">
        <v>55</v>
      </c>
      <c r="G42" s="11">
        <v>3.5</v>
      </c>
      <c r="H42" s="11">
        <f t="shared" si="3"/>
        <v>15.714285714285714</v>
      </c>
      <c r="I42" s="11">
        <f t="shared" si="4"/>
        <v>10.701428571428572</v>
      </c>
      <c r="J42" s="9">
        <f t="shared" si="5"/>
        <v>1</v>
      </c>
    </row>
    <row r="43" spans="1:10" x14ac:dyDescent="0.15">
      <c r="A43" s="9">
        <v>30</v>
      </c>
      <c r="B43" s="3" t="s">
        <v>13</v>
      </c>
      <c r="C43" s="3" t="s">
        <v>18</v>
      </c>
      <c r="D43" s="9" t="s">
        <v>1</v>
      </c>
      <c r="E43" s="9" t="s">
        <v>15</v>
      </c>
      <c r="F43" s="5">
        <v>55</v>
      </c>
      <c r="G43" s="11">
        <v>4.82</v>
      </c>
      <c r="H43" s="11">
        <f t="shared" si="3"/>
        <v>11.410788381742737</v>
      </c>
      <c r="I43" s="11">
        <f t="shared" si="4"/>
        <v>7.7707468879668049</v>
      </c>
      <c r="J43" s="9">
        <f t="shared" si="5"/>
        <v>1</v>
      </c>
    </row>
    <row r="44" spans="1:10" x14ac:dyDescent="0.15">
      <c r="A44" s="9">
        <v>31</v>
      </c>
      <c r="B44" s="3" t="s">
        <v>13</v>
      </c>
      <c r="C44" s="3" t="s">
        <v>18</v>
      </c>
      <c r="D44" s="9" t="s">
        <v>1</v>
      </c>
      <c r="E44" s="9" t="s">
        <v>15</v>
      </c>
      <c r="F44" s="5">
        <v>55</v>
      </c>
      <c r="G44" s="11">
        <v>5.63</v>
      </c>
      <c r="H44" s="11">
        <f t="shared" si="3"/>
        <v>9.769094138543517</v>
      </c>
      <c r="I44" s="11">
        <f t="shared" si="4"/>
        <v>6.6527531083481355</v>
      </c>
      <c r="J44" s="9">
        <f t="shared" si="5"/>
        <v>1</v>
      </c>
    </row>
    <row r="45" spans="1:10" x14ac:dyDescent="0.15">
      <c r="A45" s="9">
        <v>32</v>
      </c>
      <c r="B45" s="3" t="s">
        <v>13</v>
      </c>
      <c r="C45" s="3" t="s">
        <v>18</v>
      </c>
      <c r="D45" s="9" t="s">
        <v>1</v>
      </c>
      <c r="E45" s="9" t="s">
        <v>15</v>
      </c>
      <c r="F45" s="5">
        <v>55</v>
      </c>
      <c r="G45" s="11">
        <v>3.89</v>
      </c>
      <c r="H45" s="11">
        <f t="shared" si="3"/>
        <v>14.138817480719794</v>
      </c>
      <c r="I45" s="11">
        <f t="shared" si="4"/>
        <v>9.6285347043701801</v>
      </c>
      <c r="J45" s="9">
        <f t="shared" si="5"/>
        <v>1</v>
      </c>
    </row>
    <row r="46" spans="1:10" x14ac:dyDescent="0.15">
      <c r="A46" s="9">
        <v>34</v>
      </c>
      <c r="B46" s="3" t="s">
        <v>13</v>
      </c>
      <c r="C46" s="3" t="s">
        <v>18</v>
      </c>
      <c r="D46" s="9" t="s">
        <v>1</v>
      </c>
      <c r="E46" s="9" t="s">
        <v>15</v>
      </c>
      <c r="F46" s="5">
        <v>55</v>
      </c>
      <c r="G46" s="11">
        <v>4.2</v>
      </c>
      <c r="H46" s="11">
        <f t="shared" si="3"/>
        <v>13.095238095238095</v>
      </c>
      <c r="I46" s="11">
        <f t="shared" si="4"/>
        <v>8.9178571428571427</v>
      </c>
      <c r="J46" s="9">
        <f t="shared" si="5"/>
        <v>1</v>
      </c>
    </row>
    <row r="47" spans="1:10" x14ac:dyDescent="0.15">
      <c r="A47" s="9">
        <v>37</v>
      </c>
      <c r="B47" s="3" t="s">
        <v>13</v>
      </c>
      <c r="C47" s="3" t="s">
        <v>18</v>
      </c>
      <c r="D47" s="9" t="s">
        <v>1</v>
      </c>
      <c r="E47" s="9" t="s">
        <v>15</v>
      </c>
      <c r="F47" s="5">
        <v>55</v>
      </c>
      <c r="G47" s="11">
        <v>6.89</v>
      </c>
      <c r="H47" s="11">
        <f t="shared" si="3"/>
        <v>7.9825834542815679</v>
      </c>
      <c r="I47" s="11">
        <f t="shared" si="4"/>
        <v>5.4361393323657481</v>
      </c>
      <c r="J47" s="9">
        <f t="shared" si="5"/>
        <v>1</v>
      </c>
    </row>
    <row r="48" spans="1:10" x14ac:dyDescent="0.15">
      <c r="A48" s="9">
        <v>38</v>
      </c>
      <c r="B48" s="3" t="s">
        <v>13</v>
      </c>
      <c r="C48" s="3" t="s">
        <v>18</v>
      </c>
      <c r="D48" s="9" t="s">
        <v>1</v>
      </c>
      <c r="E48" s="9" t="s">
        <v>15</v>
      </c>
      <c r="F48" s="5">
        <v>55</v>
      </c>
      <c r="G48" s="11">
        <v>3.37</v>
      </c>
      <c r="H48" s="11">
        <f t="shared" si="3"/>
        <v>16.320474777448069</v>
      </c>
      <c r="I48" s="11">
        <f t="shared" si="4"/>
        <v>11.114243323442135</v>
      </c>
      <c r="J48" s="9">
        <f t="shared" si="5"/>
        <v>1</v>
      </c>
    </row>
    <row r="49" spans="1:10" x14ac:dyDescent="0.15">
      <c r="A49" s="9">
        <v>39</v>
      </c>
      <c r="B49" s="3" t="s">
        <v>13</v>
      </c>
      <c r="C49" s="3" t="s">
        <v>18</v>
      </c>
      <c r="D49" s="9" t="s">
        <v>1</v>
      </c>
      <c r="E49" s="9" t="s">
        <v>15</v>
      </c>
      <c r="F49" s="5">
        <v>55</v>
      </c>
      <c r="G49" s="11">
        <v>3.15</v>
      </c>
      <c r="H49" s="11">
        <f t="shared" si="3"/>
        <v>17.460317460317462</v>
      </c>
      <c r="I49" s="11">
        <f t="shared" si="4"/>
        <v>11.890476190476193</v>
      </c>
      <c r="J49" s="9">
        <f t="shared" si="5"/>
        <v>1</v>
      </c>
    </row>
    <row r="50" spans="1:10" x14ac:dyDescent="0.15">
      <c r="A50" s="9">
        <v>40</v>
      </c>
      <c r="B50" s="3" t="s">
        <v>13</v>
      </c>
      <c r="C50" s="3" t="s">
        <v>18</v>
      </c>
      <c r="D50" s="9" t="s">
        <v>1</v>
      </c>
      <c r="E50" s="9" t="s">
        <v>15</v>
      </c>
      <c r="F50" s="5">
        <v>55</v>
      </c>
      <c r="G50" s="11">
        <v>3.39</v>
      </c>
      <c r="H50" s="11">
        <f t="shared" si="3"/>
        <v>16.224188790560472</v>
      </c>
      <c r="I50" s="11">
        <f t="shared" si="4"/>
        <v>11.048672566371682</v>
      </c>
      <c r="J50" s="9">
        <f t="shared" si="5"/>
        <v>1</v>
      </c>
    </row>
    <row r="51" spans="1:10" x14ac:dyDescent="0.15">
      <c r="A51" s="9">
        <v>44</v>
      </c>
      <c r="B51" s="3" t="s">
        <v>13</v>
      </c>
      <c r="C51" s="3" t="s">
        <v>18</v>
      </c>
      <c r="D51" s="9" t="s">
        <v>1</v>
      </c>
      <c r="E51" s="9" t="s">
        <v>15</v>
      </c>
      <c r="F51" s="5">
        <v>55</v>
      </c>
      <c r="G51" s="11">
        <v>2.94</v>
      </c>
      <c r="H51" s="11">
        <f t="shared" si="3"/>
        <v>18.707482993197278</v>
      </c>
      <c r="I51" s="11">
        <f t="shared" si="4"/>
        <v>12.739795918367347</v>
      </c>
      <c r="J51" s="9">
        <f t="shared" si="5"/>
        <v>1</v>
      </c>
    </row>
    <row r="52" spans="1:10" x14ac:dyDescent="0.15">
      <c r="A52" s="9">
        <v>47</v>
      </c>
      <c r="B52" s="3" t="s">
        <v>13</v>
      </c>
      <c r="C52" s="3" t="s">
        <v>18</v>
      </c>
      <c r="D52" s="9" t="s">
        <v>1</v>
      </c>
      <c r="E52" s="9" t="s">
        <v>15</v>
      </c>
      <c r="F52" s="5">
        <v>55</v>
      </c>
      <c r="G52" s="11">
        <v>3.77</v>
      </c>
      <c r="H52" s="11">
        <f t="shared" si="3"/>
        <v>14.588859416445624</v>
      </c>
      <c r="I52" s="11">
        <f t="shared" si="4"/>
        <v>9.9350132625994707</v>
      </c>
      <c r="J52" s="9">
        <f t="shared" si="5"/>
        <v>1</v>
      </c>
    </row>
    <row r="53" spans="1:10" x14ac:dyDescent="0.15">
      <c r="A53" s="9">
        <v>48</v>
      </c>
      <c r="B53" s="3" t="s">
        <v>13</v>
      </c>
      <c r="C53" s="3" t="s">
        <v>18</v>
      </c>
      <c r="D53" s="9" t="s">
        <v>1</v>
      </c>
      <c r="E53" s="9" t="s">
        <v>15</v>
      </c>
      <c r="F53" s="5">
        <v>55</v>
      </c>
      <c r="G53" s="11">
        <v>4.1500000000000004</v>
      </c>
      <c r="H53" s="11">
        <f t="shared" si="3"/>
        <v>13.253012048192771</v>
      </c>
      <c r="I53" s="11">
        <f t="shared" si="4"/>
        <v>9.0253012048192769</v>
      </c>
      <c r="J53" s="9">
        <f t="shared" si="5"/>
        <v>1</v>
      </c>
    </row>
    <row r="54" spans="1:10" x14ac:dyDescent="0.15">
      <c r="A54" s="9">
        <v>49</v>
      </c>
      <c r="B54" s="3" t="s">
        <v>13</v>
      </c>
      <c r="C54" s="3" t="s">
        <v>18</v>
      </c>
      <c r="D54" s="9" t="s">
        <v>1</v>
      </c>
      <c r="E54" s="9" t="s">
        <v>15</v>
      </c>
      <c r="F54" s="5">
        <v>55</v>
      </c>
      <c r="G54" s="11">
        <v>4.72</v>
      </c>
      <c r="H54" s="11">
        <f t="shared" si="3"/>
        <v>11.652542372881356</v>
      </c>
      <c r="I54" s="11">
        <f t="shared" si="4"/>
        <v>7.9353813559322042</v>
      </c>
      <c r="J54" s="9">
        <f t="shared" si="5"/>
        <v>1</v>
      </c>
    </row>
    <row r="55" spans="1:10" x14ac:dyDescent="0.15">
      <c r="A55" s="9">
        <v>52</v>
      </c>
      <c r="B55" s="3" t="s">
        <v>13</v>
      </c>
      <c r="C55" s="3" t="s">
        <v>18</v>
      </c>
      <c r="D55" s="9" t="s">
        <v>1</v>
      </c>
      <c r="E55" s="9" t="s">
        <v>15</v>
      </c>
      <c r="F55" s="5">
        <v>55</v>
      </c>
      <c r="G55" s="11">
        <v>3.19</v>
      </c>
      <c r="H55" s="11">
        <f t="shared" si="3"/>
        <v>17.241379310344829</v>
      </c>
      <c r="I55" s="11">
        <f t="shared" si="4"/>
        <v>11.741379310344829</v>
      </c>
      <c r="J55" s="9">
        <f t="shared" si="5"/>
        <v>1</v>
      </c>
    </row>
    <row r="56" spans="1:10" x14ac:dyDescent="0.15">
      <c r="A56" s="9">
        <v>53</v>
      </c>
      <c r="B56" s="3" t="s">
        <v>13</v>
      </c>
      <c r="C56" s="3" t="s">
        <v>18</v>
      </c>
      <c r="D56" s="9" t="s">
        <v>1</v>
      </c>
      <c r="E56" s="9" t="s">
        <v>15</v>
      </c>
      <c r="F56" s="5">
        <v>55</v>
      </c>
      <c r="G56" s="11">
        <v>3.29</v>
      </c>
      <c r="H56" s="11">
        <f t="shared" si="3"/>
        <v>16.717325227963524</v>
      </c>
      <c r="I56" s="11">
        <f t="shared" si="4"/>
        <v>11.384498480243161</v>
      </c>
      <c r="J56" s="9">
        <f t="shared" si="5"/>
        <v>1</v>
      </c>
    </row>
    <row r="57" spans="1:10" x14ac:dyDescent="0.15">
      <c r="A57" s="8"/>
      <c r="I57" s="17">
        <f>SUM(I22:I56)/J57</f>
        <v>9.202918305033057</v>
      </c>
      <c r="J57" s="9">
        <f>SUM(J22:J56)</f>
        <v>35</v>
      </c>
    </row>
    <row r="58" spans="1:10" x14ac:dyDescent="0.15">
      <c r="I58" s="17"/>
      <c r="J58" s="9"/>
    </row>
  </sheetData>
  <sortState xmlns:xlrd2="http://schemas.microsoft.com/office/spreadsheetml/2017/richdata2" ref="A2:J54">
    <sortCondition ref="E2:E5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EC9E-0BEA-42D8-9A92-2C75388F69F1}">
  <dimension ref="A1:AL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K46" sqref="AK46"/>
    </sheetView>
  </sheetViews>
  <sheetFormatPr baseColWidth="10" defaultColWidth="8.83203125" defaultRowHeight="14" x14ac:dyDescent="0.15"/>
  <cols>
    <col min="1" max="1" width="7" hidden="1" customWidth="1"/>
    <col min="3" max="3" width="7.83203125" customWidth="1"/>
    <col min="4" max="4" width="7.83203125" style="8" customWidth="1"/>
    <col min="5" max="5" width="7.6640625" style="8" customWidth="1"/>
    <col min="6" max="6" width="7.5" style="6" customWidth="1"/>
    <col min="7" max="7" width="7.1640625" style="12" customWidth="1"/>
    <col min="8" max="8" width="6.83203125" style="12" customWidth="1"/>
    <col min="9" max="9" width="6.6640625" style="12" customWidth="1"/>
    <col min="10" max="10" width="6.1640625" customWidth="1"/>
    <col min="11" max="11" width="5.83203125" customWidth="1"/>
  </cols>
  <sheetData>
    <row r="1" spans="1:37" s="7" customFormat="1" ht="48" customHeight="1" x14ac:dyDescent="0.15">
      <c r="A1" s="4" t="s">
        <v>16</v>
      </c>
      <c r="B1" s="4" t="s">
        <v>0</v>
      </c>
      <c r="C1" s="4" t="s">
        <v>17</v>
      </c>
      <c r="D1" s="4" t="s">
        <v>7</v>
      </c>
      <c r="E1" s="4" t="s">
        <v>8</v>
      </c>
      <c r="F1" s="4" t="s">
        <v>9</v>
      </c>
      <c r="G1" s="10" t="s">
        <v>3</v>
      </c>
      <c r="H1" s="10" t="s">
        <v>5</v>
      </c>
      <c r="I1" s="10" t="s">
        <v>4</v>
      </c>
      <c r="J1" s="4" t="s">
        <v>20</v>
      </c>
      <c r="M1" s="4" t="s">
        <v>0</v>
      </c>
      <c r="N1" s="4" t="s">
        <v>17</v>
      </c>
      <c r="O1" s="4" t="s">
        <v>7</v>
      </c>
      <c r="P1" s="4" t="s">
        <v>8</v>
      </c>
      <c r="Q1" s="4" t="s">
        <v>9</v>
      </c>
      <c r="R1" s="10" t="s">
        <v>3</v>
      </c>
      <c r="S1" s="10" t="s">
        <v>5</v>
      </c>
      <c r="T1" s="10" t="s">
        <v>4</v>
      </c>
      <c r="U1" s="4" t="s">
        <v>20</v>
      </c>
      <c r="W1" s="4" t="s">
        <v>0</v>
      </c>
      <c r="X1" s="4" t="s">
        <v>17</v>
      </c>
      <c r="Y1" s="4" t="s">
        <v>7</v>
      </c>
      <c r="Z1" s="4" t="s">
        <v>8</v>
      </c>
      <c r="AA1" s="4" t="s">
        <v>9</v>
      </c>
      <c r="AB1" s="10" t="s">
        <v>3</v>
      </c>
      <c r="AC1" s="10" t="s">
        <v>5</v>
      </c>
      <c r="AD1" s="10" t="s">
        <v>4</v>
      </c>
      <c r="AE1" s="4" t="s">
        <v>20</v>
      </c>
      <c r="AG1" s="4" t="s">
        <v>8</v>
      </c>
      <c r="AH1" s="4" t="s">
        <v>9</v>
      </c>
      <c r="AI1" s="10" t="s">
        <v>3</v>
      </c>
      <c r="AJ1" s="10" t="s">
        <v>5</v>
      </c>
      <c r="AK1" s="10" t="s">
        <v>4</v>
      </c>
    </row>
    <row r="2" spans="1:37" x14ac:dyDescent="0.15">
      <c r="A2" s="9">
        <v>1</v>
      </c>
      <c r="B2" s="3" t="s">
        <v>76</v>
      </c>
      <c r="C2" s="3" t="s">
        <v>18</v>
      </c>
      <c r="D2" s="9" t="s">
        <v>1</v>
      </c>
      <c r="E2" s="9" t="s">
        <v>15</v>
      </c>
      <c r="F2" s="5">
        <v>63</v>
      </c>
      <c r="G2" s="11">
        <v>11.3</v>
      </c>
      <c r="H2" s="11">
        <f>F2/(G2/2)</f>
        <v>11.150442477876105</v>
      </c>
      <c r="I2" s="11">
        <f t="shared" ref="I2:I44" si="0">H2*0.681</f>
        <v>7.5934513274336277</v>
      </c>
      <c r="J2" s="9">
        <f t="shared" ref="J2:J44" si="1">IF(G2&gt;0,1,0)</f>
        <v>1</v>
      </c>
      <c r="M2" s="3" t="s">
        <v>76</v>
      </c>
      <c r="N2" s="3" t="s">
        <v>18</v>
      </c>
      <c r="O2" s="9" t="s">
        <v>1</v>
      </c>
      <c r="P2" s="9" t="s">
        <v>15</v>
      </c>
      <c r="Q2" s="5">
        <v>63</v>
      </c>
      <c r="R2" s="11">
        <v>11.3</v>
      </c>
      <c r="S2" s="11">
        <f>Q2/(R2/2)</f>
        <v>11.150442477876105</v>
      </c>
      <c r="T2" s="11">
        <f t="shared" ref="T2:T23" si="2">S2*0.681</f>
        <v>7.5934513274336277</v>
      </c>
      <c r="U2" s="9">
        <v>1</v>
      </c>
      <c r="W2" s="3" t="s">
        <v>76</v>
      </c>
      <c r="X2" s="3" t="s">
        <v>18</v>
      </c>
      <c r="Y2" s="9" t="s">
        <v>1</v>
      </c>
      <c r="Z2" s="9" t="s">
        <v>6</v>
      </c>
      <c r="AA2" s="5">
        <v>83.5</v>
      </c>
      <c r="AB2" s="11">
        <v>8.5</v>
      </c>
      <c r="AC2" s="11">
        <f t="shared" ref="AC2:AC22" si="3">AA2/(AB2/2)</f>
        <v>19.647058823529413</v>
      </c>
      <c r="AD2" s="11">
        <f t="shared" ref="AD2:AD22" si="4">AC2*0.681</f>
        <v>13.379647058823531</v>
      </c>
      <c r="AE2" s="9">
        <f t="shared" ref="AE2:AE22" si="5">IF(AB2&gt;0,1,0)</f>
        <v>1</v>
      </c>
      <c r="AG2" s="9" t="s">
        <v>15</v>
      </c>
      <c r="AH2" s="5">
        <v>63</v>
      </c>
      <c r="AI2" s="11">
        <v>13</v>
      </c>
      <c r="AJ2" s="11">
        <v>9.6923076923076916</v>
      </c>
      <c r="AK2" s="11">
        <v>6.6004615384615386</v>
      </c>
    </row>
    <row r="3" spans="1:37" x14ac:dyDescent="0.15">
      <c r="A3" s="9">
        <f>A2+1</f>
        <v>2</v>
      </c>
      <c r="B3" s="3" t="s">
        <v>76</v>
      </c>
      <c r="C3" s="3" t="s">
        <v>18</v>
      </c>
      <c r="D3" s="9" t="s">
        <v>1</v>
      </c>
      <c r="E3" s="9" t="s">
        <v>15</v>
      </c>
      <c r="F3" s="5">
        <v>63</v>
      </c>
      <c r="G3" s="11">
        <v>8.9</v>
      </c>
      <c r="H3" s="11">
        <f t="shared" ref="H3:H44" si="6">F3/(G3/2)</f>
        <v>14.157303370786517</v>
      </c>
      <c r="I3" s="11">
        <f t="shared" si="0"/>
        <v>9.6411235955056185</v>
      </c>
      <c r="J3" s="9">
        <f t="shared" si="1"/>
        <v>1</v>
      </c>
      <c r="M3" s="3" t="s">
        <v>76</v>
      </c>
      <c r="N3" s="3" t="s">
        <v>18</v>
      </c>
      <c r="O3" s="9" t="s">
        <v>1</v>
      </c>
      <c r="P3" s="9" t="s">
        <v>15</v>
      </c>
      <c r="Q3" s="5">
        <v>63</v>
      </c>
      <c r="R3" s="11">
        <v>8.9</v>
      </c>
      <c r="S3" s="11">
        <f t="shared" ref="S3:S23" si="7">Q3/(R3/2)</f>
        <v>14.157303370786517</v>
      </c>
      <c r="T3" s="11">
        <f t="shared" si="2"/>
        <v>9.6411235955056185</v>
      </c>
      <c r="U3" s="9">
        <v>1</v>
      </c>
      <c r="W3" s="3" t="s">
        <v>76</v>
      </c>
      <c r="X3" s="3" t="s">
        <v>18</v>
      </c>
      <c r="Y3" s="9" t="s">
        <v>1</v>
      </c>
      <c r="Z3" s="9" t="s">
        <v>6</v>
      </c>
      <c r="AA3" s="5">
        <v>83.5</v>
      </c>
      <c r="AB3" s="11">
        <v>13.5</v>
      </c>
      <c r="AC3" s="11">
        <f t="shared" si="3"/>
        <v>12.37037037037037</v>
      </c>
      <c r="AD3" s="11">
        <f t="shared" si="4"/>
        <v>8.4242222222222232</v>
      </c>
      <c r="AE3" s="9">
        <f t="shared" si="5"/>
        <v>1</v>
      </c>
      <c r="AG3" s="9" t="s">
        <v>15</v>
      </c>
      <c r="AH3" s="5">
        <v>63</v>
      </c>
      <c r="AI3" s="11">
        <v>11.3</v>
      </c>
      <c r="AJ3" s="11">
        <v>11.150442477876105</v>
      </c>
      <c r="AK3" s="11">
        <v>7.5934513274336277</v>
      </c>
    </row>
    <row r="4" spans="1:37" x14ac:dyDescent="0.15">
      <c r="A4" s="9">
        <f t="shared" ref="A4:A61" si="8">A3+1</f>
        <v>3</v>
      </c>
      <c r="B4" s="3" t="s">
        <v>76</v>
      </c>
      <c r="C4" s="3" t="s">
        <v>18</v>
      </c>
      <c r="D4" s="9" t="s">
        <v>1</v>
      </c>
      <c r="E4" s="9" t="s">
        <v>15</v>
      </c>
      <c r="F4" s="5">
        <v>63</v>
      </c>
      <c r="G4" s="11">
        <v>6.8</v>
      </c>
      <c r="H4" s="11">
        <f t="shared" si="6"/>
        <v>18.529411764705884</v>
      </c>
      <c r="I4" s="11">
        <f t="shared" si="0"/>
        <v>12.618529411764708</v>
      </c>
      <c r="J4" s="9">
        <f t="shared" si="1"/>
        <v>1</v>
      </c>
      <c r="M4" s="3" t="s">
        <v>76</v>
      </c>
      <c r="N4" s="3" t="s">
        <v>18</v>
      </c>
      <c r="O4" s="9" t="s">
        <v>1</v>
      </c>
      <c r="P4" s="9" t="s">
        <v>15</v>
      </c>
      <c r="Q4" s="5">
        <v>63</v>
      </c>
      <c r="R4" s="11">
        <v>6.8</v>
      </c>
      <c r="S4" s="11">
        <f t="shared" si="7"/>
        <v>18.529411764705884</v>
      </c>
      <c r="T4" s="11">
        <f t="shared" si="2"/>
        <v>12.618529411764708</v>
      </c>
      <c r="U4" s="9">
        <v>1</v>
      </c>
      <c r="W4" s="3" t="s">
        <v>76</v>
      </c>
      <c r="X4" s="3" t="s">
        <v>18</v>
      </c>
      <c r="Y4" s="9" t="s">
        <v>1</v>
      </c>
      <c r="Z4" s="9" t="s">
        <v>6</v>
      </c>
      <c r="AA4" s="5">
        <v>83.5</v>
      </c>
      <c r="AB4" s="11">
        <v>6.5</v>
      </c>
      <c r="AC4" s="11">
        <f t="shared" si="3"/>
        <v>25.692307692307693</v>
      </c>
      <c r="AD4" s="11">
        <f t="shared" si="4"/>
        <v>17.496461538461542</v>
      </c>
      <c r="AE4" s="9">
        <f t="shared" si="5"/>
        <v>1</v>
      </c>
      <c r="AG4" s="9" t="s">
        <v>6</v>
      </c>
      <c r="AH4" s="5">
        <v>83.5</v>
      </c>
      <c r="AI4" s="11">
        <v>13.5</v>
      </c>
      <c r="AJ4" s="11">
        <v>12.37037037037037</v>
      </c>
      <c r="AK4" s="11">
        <v>8.4242222222222232</v>
      </c>
    </row>
    <row r="5" spans="1:37" x14ac:dyDescent="0.15">
      <c r="A5" s="9">
        <f t="shared" si="8"/>
        <v>4</v>
      </c>
      <c r="B5" s="3" t="s">
        <v>76</v>
      </c>
      <c r="C5" s="3" t="s">
        <v>18</v>
      </c>
      <c r="D5" s="9" t="s">
        <v>1</v>
      </c>
      <c r="E5" s="9" t="s">
        <v>15</v>
      </c>
      <c r="F5" s="5">
        <v>63</v>
      </c>
      <c r="G5" s="11">
        <v>5.4</v>
      </c>
      <c r="H5" s="11">
        <f t="shared" si="6"/>
        <v>23.333333333333332</v>
      </c>
      <c r="I5" s="11">
        <f t="shared" si="0"/>
        <v>15.89</v>
      </c>
      <c r="J5" s="9">
        <f t="shared" si="1"/>
        <v>1</v>
      </c>
      <c r="M5" s="3" t="s">
        <v>76</v>
      </c>
      <c r="N5" s="3" t="s">
        <v>18</v>
      </c>
      <c r="O5" s="9" t="s">
        <v>1</v>
      </c>
      <c r="P5" s="9" t="s">
        <v>15</v>
      </c>
      <c r="Q5" s="5">
        <v>63</v>
      </c>
      <c r="R5" s="11">
        <v>5.4</v>
      </c>
      <c r="S5" s="11">
        <f t="shared" si="7"/>
        <v>23.333333333333332</v>
      </c>
      <c r="T5" s="11">
        <f t="shared" si="2"/>
        <v>15.89</v>
      </c>
      <c r="U5" s="9">
        <v>1</v>
      </c>
      <c r="W5" s="3" t="s">
        <v>76</v>
      </c>
      <c r="X5" s="3" t="s">
        <v>18</v>
      </c>
      <c r="Y5" s="9" t="s">
        <v>1</v>
      </c>
      <c r="Z5" s="9" t="s">
        <v>6</v>
      </c>
      <c r="AA5" s="5">
        <v>83.5</v>
      </c>
      <c r="AB5" s="11">
        <v>11.4</v>
      </c>
      <c r="AC5" s="11">
        <f t="shared" si="3"/>
        <v>14.649122807017543</v>
      </c>
      <c r="AD5" s="11">
        <f t="shared" si="4"/>
        <v>9.9760526315789466</v>
      </c>
      <c r="AE5" s="9">
        <f t="shared" si="5"/>
        <v>1</v>
      </c>
      <c r="AG5" s="9" t="s">
        <v>15</v>
      </c>
      <c r="AH5" s="5">
        <v>63</v>
      </c>
      <c r="AI5" s="11">
        <v>8.9</v>
      </c>
      <c r="AJ5" s="11">
        <v>14.157303370786517</v>
      </c>
      <c r="AK5" s="11">
        <v>9.6411235955056185</v>
      </c>
    </row>
    <row r="6" spans="1:37" x14ac:dyDescent="0.15">
      <c r="A6" s="9">
        <f t="shared" si="8"/>
        <v>5</v>
      </c>
      <c r="B6" s="3" t="s">
        <v>76</v>
      </c>
      <c r="C6" s="3" t="s">
        <v>18</v>
      </c>
      <c r="D6" s="9" t="s">
        <v>1</v>
      </c>
      <c r="E6" s="9" t="s">
        <v>15</v>
      </c>
      <c r="F6" s="5">
        <v>63</v>
      </c>
      <c r="G6" s="11">
        <v>6</v>
      </c>
      <c r="H6" s="11">
        <f t="shared" si="6"/>
        <v>21</v>
      </c>
      <c r="I6" s="11">
        <f t="shared" si="0"/>
        <v>14.301000000000002</v>
      </c>
      <c r="J6" s="9">
        <f t="shared" si="1"/>
        <v>1</v>
      </c>
      <c r="M6" s="3" t="s">
        <v>76</v>
      </c>
      <c r="N6" s="3" t="s">
        <v>18</v>
      </c>
      <c r="O6" s="9" t="s">
        <v>1</v>
      </c>
      <c r="P6" s="9" t="s">
        <v>15</v>
      </c>
      <c r="Q6" s="5">
        <v>63</v>
      </c>
      <c r="R6" s="11">
        <v>6</v>
      </c>
      <c r="S6" s="11">
        <f t="shared" si="7"/>
        <v>21</v>
      </c>
      <c r="T6" s="11">
        <f t="shared" si="2"/>
        <v>14.301000000000002</v>
      </c>
      <c r="U6" s="9">
        <v>1</v>
      </c>
      <c r="W6" s="3" t="s">
        <v>76</v>
      </c>
      <c r="X6" s="3" t="s">
        <v>18</v>
      </c>
      <c r="Y6" s="9" t="s">
        <v>1</v>
      </c>
      <c r="Z6" s="9" t="s">
        <v>6</v>
      </c>
      <c r="AA6" s="5">
        <v>83.5</v>
      </c>
      <c r="AB6" s="11">
        <v>10.5</v>
      </c>
      <c r="AC6" s="11">
        <f t="shared" si="3"/>
        <v>15.904761904761905</v>
      </c>
      <c r="AD6" s="11">
        <f t="shared" si="4"/>
        <v>10.831142857142858</v>
      </c>
      <c r="AE6" s="9">
        <f t="shared" si="5"/>
        <v>1</v>
      </c>
      <c r="AG6" s="9" t="s">
        <v>6</v>
      </c>
      <c r="AH6" s="5">
        <v>83.5</v>
      </c>
      <c r="AI6" s="11">
        <v>11.4</v>
      </c>
      <c r="AJ6" s="11">
        <v>14.649122807017543</v>
      </c>
      <c r="AK6" s="11">
        <v>9.9760526315789466</v>
      </c>
    </row>
    <row r="7" spans="1:37" x14ac:dyDescent="0.15">
      <c r="A7" s="9">
        <f t="shared" si="8"/>
        <v>6</v>
      </c>
      <c r="B7" s="3" t="s">
        <v>76</v>
      </c>
      <c r="C7" s="3" t="s">
        <v>18</v>
      </c>
      <c r="D7" s="9" t="s">
        <v>1</v>
      </c>
      <c r="E7" s="9" t="s">
        <v>15</v>
      </c>
      <c r="F7" s="5">
        <v>63</v>
      </c>
      <c r="G7" s="11">
        <v>6.8</v>
      </c>
      <c r="H7" s="11">
        <f t="shared" si="6"/>
        <v>18.529411764705884</v>
      </c>
      <c r="I7" s="11">
        <f t="shared" si="0"/>
        <v>12.618529411764708</v>
      </c>
      <c r="J7" s="9">
        <f t="shared" si="1"/>
        <v>1</v>
      </c>
      <c r="M7" s="3" t="s">
        <v>76</v>
      </c>
      <c r="N7" s="3" t="s">
        <v>18</v>
      </c>
      <c r="O7" s="9" t="s">
        <v>1</v>
      </c>
      <c r="P7" s="9" t="s">
        <v>15</v>
      </c>
      <c r="Q7" s="5">
        <v>63</v>
      </c>
      <c r="R7" s="11">
        <v>6.8</v>
      </c>
      <c r="S7" s="11">
        <f t="shared" si="7"/>
        <v>18.529411764705884</v>
      </c>
      <c r="T7" s="11">
        <f t="shared" si="2"/>
        <v>12.618529411764708</v>
      </c>
      <c r="U7" s="9">
        <v>1</v>
      </c>
      <c r="W7" s="3" t="s">
        <v>76</v>
      </c>
      <c r="X7" s="3" t="s">
        <v>18</v>
      </c>
      <c r="Y7" s="9" t="s">
        <v>1</v>
      </c>
      <c r="Z7" s="9" t="s">
        <v>6</v>
      </c>
      <c r="AA7" s="5">
        <v>83.5</v>
      </c>
      <c r="AB7" s="11">
        <v>9.5</v>
      </c>
      <c r="AC7" s="11">
        <f t="shared" si="3"/>
        <v>17.578947368421051</v>
      </c>
      <c r="AD7" s="11">
        <f t="shared" si="4"/>
        <v>11.971263157894736</v>
      </c>
      <c r="AE7" s="9">
        <f t="shared" si="5"/>
        <v>1</v>
      </c>
      <c r="AG7" s="9" t="s">
        <v>15</v>
      </c>
      <c r="AH7" s="5">
        <v>63</v>
      </c>
      <c r="AI7" s="11">
        <v>8.6</v>
      </c>
      <c r="AJ7" s="11">
        <v>14.651162790697676</v>
      </c>
      <c r="AK7" s="11">
        <v>9.9774418604651185</v>
      </c>
    </row>
    <row r="8" spans="1:37" x14ac:dyDescent="0.15">
      <c r="A8" s="9">
        <f t="shared" si="8"/>
        <v>7</v>
      </c>
      <c r="B8" s="3" t="s">
        <v>76</v>
      </c>
      <c r="C8" s="3" t="s">
        <v>18</v>
      </c>
      <c r="D8" s="9" t="s">
        <v>1</v>
      </c>
      <c r="E8" s="9" t="s">
        <v>15</v>
      </c>
      <c r="F8" s="5">
        <v>63</v>
      </c>
      <c r="G8" s="11">
        <v>4.9000000000000004</v>
      </c>
      <c r="H8" s="11">
        <f t="shared" si="6"/>
        <v>25.714285714285712</v>
      </c>
      <c r="I8" s="11">
        <f t="shared" si="0"/>
        <v>17.511428571428571</v>
      </c>
      <c r="J8" s="9">
        <f t="shared" si="1"/>
        <v>1</v>
      </c>
      <c r="M8" s="3" t="s">
        <v>76</v>
      </c>
      <c r="N8" s="3" t="s">
        <v>18</v>
      </c>
      <c r="O8" s="9" t="s">
        <v>1</v>
      </c>
      <c r="P8" s="9" t="s">
        <v>15</v>
      </c>
      <c r="Q8" s="5">
        <v>63</v>
      </c>
      <c r="R8" s="11">
        <v>4.9000000000000004</v>
      </c>
      <c r="S8" s="11">
        <f t="shared" si="7"/>
        <v>25.714285714285712</v>
      </c>
      <c r="T8" s="11">
        <f t="shared" si="2"/>
        <v>17.511428571428571</v>
      </c>
      <c r="U8" s="9">
        <v>1</v>
      </c>
      <c r="W8" s="3" t="s">
        <v>76</v>
      </c>
      <c r="X8" s="3" t="s">
        <v>18</v>
      </c>
      <c r="Y8" s="9" t="s">
        <v>1</v>
      </c>
      <c r="Z8" s="9" t="s">
        <v>6</v>
      </c>
      <c r="AA8" s="5">
        <v>83.5</v>
      </c>
      <c r="AB8" s="11">
        <v>8.8000000000000007</v>
      </c>
      <c r="AC8" s="11">
        <f t="shared" si="3"/>
        <v>18.977272727272727</v>
      </c>
      <c r="AD8" s="11">
        <f t="shared" si="4"/>
        <v>12.923522727272728</v>
      </c>
      <c r="AE8" s="9">
        <f t="shared" si="5"/>
        <v>1</v>
      </c>
      <c r="AG8" s="9" t="s">
        <v>6</v>
      </c>
      <c r="AH8" s="5">
        <v>83.5</v>
      </c>
      <c r="AI8" s="11">
        <v>10.6</v>
      </c>
      <c r="AJ8" s="11">
        <v>15.754716981132075</v>
      </c>
      <c r="AK8" s="11">
        <v>10.728962264150944</v>
      </c>
    </row>
    <row r="9" spans="1:37" x14ac:dyDescent="0.15">
      <c r="A9" s="9">
        <f t="shared" si="8"/>
        <v>8</v>
      </c>
      <c r="B9" s="3" t="s">
        <v>76</v>
      </c>
      <c r="C9" s="3" t="s">
        <v>18</v>
      </c>
      <c r="D9" s="9" t="s">
        <v>1</v>
      </c>
      <c r="E9" s="9" t="s">
        <v>15</v>
      </c>
      <c r="F9" s="5">
        <v>63</v>
      </c>
      <c r="G9" s="11">
        <v>8.6</v>
      </c>
      <c r="H9" s="11">
        <f t="shared" si="6"/>
        <v>14.651162790697676</v>
      </c>
      <c r="I9" s="11">
        <f t="shared" si="0"/>
        <v>9.9774418604651185</v>
      </c>
      <c r="J9" s="9">
        <f t="shared" si="1"/>
        <v>1</v>
      </c>
      <c r="M9" s="3" t="s">
        <v>76</v>
      </c>
      <c r="N9" s="3" t="s">
        <v>18</v>
      </c>
      <c r="O9" s="9" t="s">
        <v>1</v>
      </c>
      <c r="P9" s="9" t="s">
        <v>15</v>
      </c>
      <c r="Q9" s="5">
        <v>63</v>
      </c>
      <c r="R9" s="11">
        <v>8.6</v>
      </c>
      <c r="S9" s="11">
        <f t="shared" si="7"/>
        <v>14.651162790697676</v>
      </c>
      <c r="T9" s="11">
        <f t="shared" si="2"/>
        <v>9.9774418604651185</v>
      </c>
      <c r="U9" s="9">
        <v>1</v>
      </c>
      <c r="W9" s="3" t="s">
        <v>76</v>
      </c>
      <c r="X9" s="3" t="s">
        <v>18</v>
      </c>
      <c r="Y9" s="9" t="s">
        <v>1</v>
      </c>
      <c r="Z9" s="9" t="s">
        <v>6</v>
      </c>
      <c r="AA9" s="5">
        <v>83.5</v>
      </c>
      <c r="AB9" s="11">
        <v>8</v>
      </c>
      <c r="AC9" s="11">
        <f t="shared" si="3"/>
        <v>20.875</v>
      </c>
      <c r="AD9" s="11">
        <f t="shared" si="4"/>
        <v>14.215875</v>
      </c>
      <c r="AE9" s="9">
        <f t="shared" si="5"/>
        <v>1</v>
      </c>
      <c r="AG9" s="9" t="s">
        <v>6</v>
      </c>
      <c r="AH9" s="5">
        <v>83.5</v>
      </c>
      <c r="AI9" s="11">
        <v>10.5</v>
      </c>
      <c r="AJ9" s="11">
        <v>15.904761904761905</v>
      </c>
      <c r="AK9" s="11">
        <v>10.831142857142858</v>
      </c>
    </row>
    <row r="10" spans="1:37" x14ac:dyDescent="0.15">
      <c r="A10" s="9">
        <f t="shared" si="8"/>
        <v>9</v>
      </c>
      <c r="B10" s="3" t="s">
        <v>76</v>
      </c>
      <c r="C10" s="3" t="s">
        <v>18</v>
      </c>
      <c r="D10" s="9" t="s">
        <v>1</v>
      </c>
      <c r="E10" s="9" t="s">
        <v>15</v>
      </c>
      <c r="F10" s="5">
        <v>63</v>
      </c>
      <c r="G10" s="11">
        <v>6.7</v>
      </c>
      <c r="H10" s="11">
        <f t="shared" si="6"/>
        <v>18.805970149253731</v>
      </c>
      <c r="I10" s="11">
        <f t="shared" si="0"/>
        <v>12.806865671641791</v>
      </c>
      <c r="J10" s="9">
        <f t="shared" si="1"/>
        <v>1</v>
      </c>
      <c r="M10" s="3" t="s">
        <v>76</v>
      </c>
      <c r="N10" s="3" t="s">
        <v>18</v>
      </c>
      <c r="O10" s="9" t="s">
        <v>1</v>
      </c>
      <c r="P10" s="9" t="s">
        <v>15</v>
      </c>
      <c r="Q10" s="5">
        <v>63</v>
      </c>
      <c r="R10" s="11">
        <v>6.7</v>
      </c>
      <c r="S10" s="11">
        <f t="shared" si="7"/>
        <v>18.805970149253731</v>
      </c>
      <c r="T10" s="11">
        <f t="shared" si="2"/>
        <v>12.806865671641791</v>
      </c>
      <c r="U10" s="9">
        <v>1</v>
      </c>
      <c r="W10" s="3" t="s">
        <v>76</v>
      </c>
      <c r="X10" s="3" t="s">
        <v>18</v>
      </c>
      <c r="Y10" s="9" t="s">
        <v>1</v>
      </c>
      <c r="Z10" s="9" t="s">
        <v>6</v>
      </c>
      <c r="AA10" s="5">
        <v>83.5</v>
      </c>
      <c r="AB10" s="11">
        <v>9</v>
      </c>
      <c r="AC10" s="11">
        <f t="shared" si="3"/>
        <v>18.555555555555557</v>
      </c>
      <c r="AD10" s="11">
        <f t="shared" si="4"/>
        <v>12.636333333333335</v>
      </c>
      <c r="AE10" s="9">
        <f t="shared" si="5"/>
        <v>1</v>
      </c>
      <c r="AG10" s="9" t="s">
        <v>6</v>
      </c>
      <c r="AH10" s="5">
        <v>83.5</v>
      </c>
      <c r="AI10" s="11">
        <v>10.5</v>
      </c>
      <c r="AJ10" s="11">
        <v>15.904761904761905</v>
      </c>
      <c r="AK10" s="11">
        <v>10.831142857142858</v>
      </c>
    </row>
    <row r="11" spans="1:37" x14ac:dyDescent="0.15">
      <c r="A11" s="9">
        <f t="shared" si="8"/>
        <v>10</v>
      </c>
      <c r="B11" s="3" t="s">
        <v>76</v>
      </c>
      <c r="C11" s="3" t="s">
        <v>18</v>
      </c>
      <c r="D11" s="9" t="s">
        <v>1</v>
      </c>
      <c r="E11" s="9" t="s">
        <v>15</v>
      </c>
      <c r="F11" s="5">
        <v>63</v>
      </c>
      <c r="G11" s="11">
        <v>5.9</v>
      </c>
      <c r="H11" s="11">
        <f t="shared" si="6"/>
        <v>21.35593220338983</v>
      </c>
      <c r="I11" s="11">
        <f t="shared" si="0"/>
        <v>14.543389830508476</v>
      </c>
      <c r="J11" s="9">
        <f t="shared" si="1"/>
        <v>1</v>
      </c>
      <c r="M11" s="3" t="s">
        <v>76</v>
      </c>
      <c r="N11" s="3" t="s">
        <v>18</v>
      </c>
      <c r="O11" s="9" t="s">
        <v>1</v>
      </c>
      <c r="P11" s="9" t="s">
        <v>15</v>
      </c>
      <c r="Q11" s="5">
        <v>63</v>
      </c>
      <c r="R11" s="11">
        <v>5.9</v>
      </c>
      <c r="S11" s="11">
        <f t="shared" si="7"/>
        <v>21.35593220338983</v>
      </c>
      <c r="T11" s="11">
        <f t="shared" si="2"/>
        <v>14.543389830508476</v>
      </c>
      <c r="U11" s="9">
        <v>1</v>
      </c>
      <c r="W11" s="3" t="s">
        <v>76</v>
      </c>
      <c r="X11" s="3" t="s">
        <v>18</v>
      </c>
      <c r="Y11" s="9" t="s">
        <v>1</v>
      </c>
      <c r="Z11" s="9" t="s">
        <v>6</v>
      </c>
      <c r="AA11" s="5">
        <v>83.5</v>
      </c>
      <c r="AB11" s="11">
        <v>10</v>
      </c>
      <c r="AC11" s="11">
        <f t="shared" si="3"/>
        <v>16.7</v>
      </c>
      <c r="AD11" s="11">
        <f t="shared" si="4"/>
        <v>11.3727</v>
      </c>
      <c r="AE11" s="9">
        <f t="shared" si="5"/>
        <v>1</v>
      </c>
      <c r="AG11" s="9" t="s">
        <v>6</v>
      </c>
      <c r="AH11" s="5">
        <v>83.5</v>
      </c>
      <c r="AI11" s="11">
        <v>10</v>
      </c>
      <c r="AJ11" s="11">
        <v>16.7</v>
      </c>
      <c r="AK11" s="11">
        <v>11.3727</v>
      </c>
    </row>
    <row r="12" spans="1:37" x14ac:dyDescent="0.15">
      <c r="A12" s="9">
        <f t="shared" si="8"/>
        <v>11</v>
      </c>
      <c r="B12" s="3" t="s">
        <v>76</v>
      </c>
      <c r="C12" s="3" t="s">
        <v>18</v>
      </c>
      <c r="D12" s="9" t="s">
        <v>1</v>
      </c>
      <c r="E12" s="9" t="s">
        <v>15</v>
      </c>
      <c r="F12" s="5">
        <v>63</v>
      </c>
      <c r="G12" s="11">
        <v>6.8</v>
      </c>
      <c r="H12" s="11">
        <f t="shared" si="6"/>
        <v>18.529411764705884</v>
      </c>
      <c r="I12" s="11">
        <f t="shared" si="0"/>
        <v>12.618529411764708</v>
      </c>
      <c r="J12" s="9">
        <f t="shared" si="1"/>
        <v>1</v>
      </c>
      <c r="M12" s="3" t="s">
        <v>76</v>
      </c>
      <c r="N12" s="3" t="s">
        <v>18</v>
      </c>
      <c r="O12" s="9" t="s">
        <v>1</v>
      </c>
      <c r="P12" s="9" t="s">
        <v>15</v>
      </c>
      <c r="Q12" s="5">
        <v>63</v>
      </c>
      <c r="R12" s="11">
        <v>6.8</v>
      </c>
      <c r="S12" s="11">
        <f t="shared" si="7"/>
        <v>18.529411764705884</v>
      </c>
      <c r="T12" s="11">
        <f t="shared" si="2"/>
        <v>12.618529411764708</v>
      </c>
      <c r="U12" s="9">
        <v>1</v>
      </c>
      <c r="W12" s="3" t="s">
        <v>76</v>
      </c>
      <c r="X12" s="3" t="s">
        <v>18</v>
      </c>
      <c r="Y12" s="9" t="s">
        <v>1</v>
      </c>
      <c r="Z12" s="9" t="s">
        <v>6</v>
      </c>
      <c r="AA12" s="5">
        <v>83.5</v>
      </c>
      <c r="AB12" s="11">
        <v>8.6</v>
      </c>
      <c r="AC12" s="11">
        <f t="shared" si="3"/>
        <v>19.418604651162791</v>
      </c>
      <c r="AD12" s="11">
        <f t="shared" si="4"/>
        <v>13.224069767441861</v>
      </c>
      <c r="AE12" s="9">
        <f t="shared" si="5"/>
        <v>1</v>
      </c>
      <c r="AG12" s="9" t="s">
        <v>15</v>
      </c>
      <c r="AH12" s="5">
        <v>63</v>
      </c>
      <c r="AI12" s="11">
        <v>7.3</v>
      </c>
      <c r="AJ12" s="11">
        <v>17.260273972602739</v>
      </c>
      <c r="AK12" s="11">
        <v>11.754246575342467</v>
      </c>
    </row>
    <row r="13" spans="1:37" x14ac:dyDescent="0.15">
      <c r="A13" s="9">
        <f t="shared" si="8"/>
        <v>12</v>
      </c>
      <c r="B13" s="3" t="s">
        <v>76</v>
      </c>
      <c r="C13" s="3" t="s">
        <v>18</v>
      </c>
      <c r="D13" s="9" t="s">
        <v>1</v>
      </c>
      <c r="E13" s="9" t="s">
        <v>15</v>
      </c>
      <c r="F13" s="5">
        <v>63</v>
      </c>
      <c r="G13" s="11">
        <v>5.8</v>
      </c>
      <c r="H13" s="11">
        <f t="shared" si="6"/>
        <v>21.724137931034484</v>
      </c>
      <c r="I13" s="11">
        <f t="shared" si="0"/>
        <v>14.794137931034484</v>
      </c>
      <c r="J13" s="9">
        <f t="shared" si="1"/>
        <v>1</v>
      </c>
      <c r="M13" s="3" t="s">
        <v>76</v>
      </c>
      <c r="N13" s="3" t="s">
        <v>18</v>
      </c>
      <c r="O13" s="9" t="s">
        <v>1</v>
      </c>
      <c r="P13" s="9" t="s">
        <v>15</v>
      </c>
      <c r="Q13" s="5">
        <v>63</v>
      </c>
      <c r="R13" s="11">
        <v>5.8</v>
      </c>
      <c r="S13" s="11">
        <f t="shared" si="7"/>
        <v>21.724137931034484</v>
      </c>
      <c r="T13" s="11">
        <f t="shared" si="2"/>
        <v>14.794137931034484</v>
      </c>
      <c r="U13" s="9">
        <v>1</v>
      </c>
      <c r="W13" s="3" t="s">
        <v>76</v>
      </c>
      <c r="X13" s="3" t="s">
        <v>18</v>
      </c>
      <c r="Y13" s="9" t="s">
        <v>1</v>
      </c>
      <c r="Z13" s="9" t="s">
        <v>6</v>
      </c>
      <c r="AA13" s="5">
        <v>83.5</v>
      </c>
      <c r="AB13" s="11">
        <v>10.5</v>
      </c>
      <c r="AC13" s="11">
        <f t="shared" si="3"/>
        <v>15.904761904761905</v>
      </c>
      <c r="AD13" s="11">
        <f t="shared" si="4"/>
        <v>10.831142857142858</v>
      </c>
      <c r="AE13" s="9">
        <f t="shared" si="5"/>
        <v>1</v>
      </c>
      <c r="AG13" s="9" t="s">
        <v>6</v>
      </c>
      <c r="AH13" s="5">
        <v>83.5</v>
      </c>
      <c r="AI13" s="11">
        <v>9.6</v>
      </c>
      <c r="AJ13" s="11">
        <v>17.395833333333336</v>
      </c>
      <c r="AK13" s="11">
        <v>11.846562500000003</v>
      </c>
    </row>
    <row r="14" spans="1:37" x14ac:dyDescent="0.15">
      <c r="A14" s="9">
        <f t="shared" si="8"/>
        <v>13</v>
      </c>
      <c r="B14" s="3" t="s">
        <v>76</v>
      </c>
      <c r="C14" s="3" t="s">
        <v>18</v>
      </c>
      <c r="D14" s="9" t="s">
        <v>1</v>
      </c>
      <c r="E14" s="9" t="s">
        <v>15</v>
      </c>
      <c r="F14" s="5">
        <v>63</v>
      </c>
      <c r="G14" s="11">
        <v>4.5</v>
      </c>
      <c r="H14" s="11">
        <f t="shared" si="6"/>
        <v>28</v>
      </c>
      <c r="I14" s="11">
        <f t="shared" si="0"/>
        <v>19.068000000000001</v>
      </c>
      <c r="J14" s="9">
        <f t="shared" si="1"/>
        <v>1</v>
      </c>
      <c r="M14" s="3" t="s">
        <v>76</v>
      </c>
      <c r="N14" s="3" t="s">
        <v>18</v>
      </c>
      <c r="O14" s="9" t="s">
        <v>1</v>
      </c>
      <c r="P14" s="9" t="s">
        <v>15</v>
      </c>
      <c r="Q14" s="5">
        <v>63</v>
      </c>
      <c r="R14" s="11">
        <v>4.5</v>
      </c>
      <c r="S14" s="11">
        <f t="shared" si="7"/>
        <v>28</v>
      </c>
      <c r="T14" s="11">
        <f t="shared" si="2"/>
        <v>19.068000000000001</v>
      </c>
      <c r="U14" s="9">
        <v>1</v>
      </c>
      <c r="W14" s="3" t="s">
        <v>76</v>
      </c>
      <c r="X14" s="3" t="s">
        <v>18</v>
      </c>
      <c r="Y14" s="9" t="s">
        <v>1</v>
      </c>
      <c r="Z14" s="9" t="s">
        <v>6</v>
      </c>
      <c r="AA14" s="5">
        <v>83.5</v>
      </c>
      <c r="AB14" s="11">
        <v>10.6</v>
      </c>
      <c r="AC14" s="11">
        <f t="shared" si="3"/>
        <v>15.754716981132075</v>
      </c>
      <c r="AD14" s="11">
        <f t="shared" si="4"/>
        <v>10.728962264150944</v>
      </c>
      <c r="AE14" s="9">
        <f t="shared" si="5"/>
        <v>1</v>
      </c>
      <c r="AG14" s="9" t="s">
        <v>6</v>
      </c>
      <c r="AH14" s="5">
        <v>83.5</v>
      </c>
      <c r="AI14" s="11">
        <v>9.5</v>
      </c>
      <c r="AJ14" s="11">
        <v>17.578947368421051</v>
      </c>
      <c r="AK14" s="11">
        <v>11.971263157894736</v>
      </c>
    </row>
    <row r="15" spans="1:37" x14ac:dyDescent="0.15">
      <c r="A15" s="9">
        <f t="shared" si="8"/>
        <v>14</v>
      </c>
      <c r="B15" s="3" t="s">
        <v>76</v>
      </c>
      <c r="C15" s="3" t="s">
        <v>18</v>
      </c>
      <c r="D15" s="9" t="s">
        <v>1</v>
      </c>
      <c r="E15" s="9" t="s">
        <v>15</v>
      </c>
      <c r="F15" s="5">
        <v>63</v>
      </c>
      <c r="G15" s="11">
        <v>13</v>
      </c>
      <c r="H15" s="11">
        <f t="shared" si="6"/>
        <v>9.6923076923076916</v>
      </c>
      <c r="I15" s="11">
        <f t="shared" si="0"/>
        <v>6.6004615384615386</v>
      </c>
      <c r="J15" s="9">
        <f t="shared" si="1"/>
        <v>1</v>
      </c>
      <c r="M15" s="3" t="s">
        <v>76</v>
      </c>
      <c r="N15" s="3" t="s">
        <v>18</v>
      </c>
      <c r="O15" s="9" t="s">
        <v>1</v>
      </c>
      <c r="P15" s="9" t="s">
        <v>15</v>
      </c>
      <c r="Q15" s="5">
        <v>63</v>
      </c>
      <c r="R15" s="11">
        <v>13</v>
      </c>
      <c r="S15" s="11">
        <f t="shared" si="7"/>
        <v>9.6923076923076916</v>
      </c>
      <c r="T15" s="11">
        <f t="shared" si="2"/>
        <v>6.6004615384615386</v>
      </c>
      <c r="U15" s="9">
        <v>1</v>
      </c>
      <c r="W15" s="3" t="s">
        <v>76</v>
      </c>
      <c r="X15" s="3" t="s">
        <v>18</v>
      </c>
      <c r="Y15" s="9" t="s">
        <v>1</v>
      </c>
      <c r="Z15" s="9" t="s">
        <v>6</v>
      </c>
      <c r="AA15" s="5">
        <v>83.5</v>
      </c>
      <c r="AB15" s="11">
        <v>9.1</v>
      </c>
      <c r="AC15" s="11">
        <f t="shared" si="3"/>
        <v>18.351648351648354</v>
      </c>
      <c r="AD15" s="11">
        <f t="shared" si="4"/>
        <v>12.49747252747253</v>
      </c>
      <c r="AE15" s="9">
        <f t="shared" si="5"/>
        <v>1</v>
      </c>
      <c r="AG15" s="9" t="s">
        <v>6</v>
      </c>
      <c r="AH15" s="5">
        <v>83.5</v>
      </c>
      <c r="AI15" s="11">
        <v>9.1</v>
      </c>
      <c r="AJ15" s="11">
        <v>18.351648351648354</v>
      </c>
      <c r="AK15" s="11">
        <v>12.49747252747253</v>
      </c>
    </row>
    <row r="16" spans="1:37" x14ac:dyDescent="0.15">
      <c r="A16" s="9">
        <f t="shared" si="8"/>
        <v>15</v>
      </c>
      <c r="B16" s="3" t="s">
        <v>76</v>
      </c>
      <c r="C16" s="3" t="s">
        <v>18</v>
      </c>
      <c r="D16" s="9" t="s">
        <v>1</v>
      </c>
      <c r="E16" s="9" t="s">
        <v>15</v>
      </c>
      <c r="F16" s="5">
        <v>63</v>
      </c>
      <c r="G16" s="11">
        <v>3.8</v>
      </c>
      <c r="H16" s="11">
        <f t="shared" si="6"/>
        <v>33.15789473684211</v>
      </c>
      <c r="I16" s="11">
        <f t="shared" si="0"/>
        <v>22.580526315789477</v>
      </c>
      <c r="J16" s="9">
        <f t="shared" si="1"/>
        <v>1</v>
      </c>
      <c r="M16" s="3" t="s">
        <v>76</v>
      </c>
      <c r="N16" s="3" t="s">
        <v>18</v>
      </c>
      <c r="O16" s="9" t="s">
        <v>1</v>
      </c>
      <c r="P16" s="9" t="s">
        <v>15</v>
      </c>
      <c r="Q16" s="5">
        <v>63</v>
      </c>
      <c r="R16" s="11">
        <v>3.8</v>
      </c>
      <c r="S16" s="11">
        <f t="shared" si="7"/>
        <v>33.15789473684211</v>
      </c>
      <c r="T16" s="11">
        <f t="shared" si="2"/>
        <v>22.580526315789477</v>
      </c>
      <c r="U16" s="9">
        <v>1</v>
      </c>
      <c r="W16" s="3" t="s">
        <v>76</v>
      </c>
      <c r="X16" s="3" t="s">
        <v>18</v>
      </c>
      <c r="Y16" s="9" t="s">
        <v>1</v>
      </c>
      <c r="Z16" s="9" t="s">
        <v>6</v>
      </c>
      <c r="AA16" s="5">
        <v>83.5</v>
      </c>
      <c r="AB16" s="11">
        <v>9.6</v>
      </c>
      <c r="AC16" s="11">
        <f t="shared" si="3"/>
        <v>17.395833333333336</v>
      </c>
      <c r="AD16" s="11">
        <f t="shared" si="4"/>
        <v>11.846562500000003</v>
      </c>
      <c r="AE16" s="9">
        <f t="shared" si="5"/>
        <v>1</v>
      </c>
      <c r="AG16" s="9" t="s">
        <v>15</v>
      </c>
      <c r="AH16" s="5">
        <v>63</v>
      </c>
      <c r="AI16" s="11">
        <v>6.8</v>
      </c>
      <c r="AJ16" s="11">
        <v>18.529411764705884</v>
      </c>
      <c r="AK16" s="11">
        <v>12.618529411764708</v>
      </c>
    </row>
    <row r="17" spans="1:38" x14ac:dyDescent="0.15">
      <c r="A17" s="9">
        <f t="shared" si="8"/>
        <v>16</v>
      </c>
      <c r="B17" s="3" t="s">
        <v>76</v>
      </c>
      <c r="C17" s="3" t="s">
        <v>18</v>
      </c>
      <c r="D17" s="9" t="s">
        <v>1</v>
      </c>
      <c r="E17" s="9" t="s">
        <v>15</v>
      </c>
      <c r="F17" s="5">
        <v>63</v>
      </c>
      <c r="G17" s="11">
        <v>5.4</v>
      </c>
      <c r="H17" s="11">
        <f t="shared" si="6"/>
        <v>23.333333333333332</v>
      </c>
      <c r="I17" s="11">
        <f t="shared" si="0"/>
        <v>15.89</v>
      </c>
      <c r="J17" s="9">
        <f t="shared" si="1"/>
        <v>1</v>
      </c>
      <c r="M17" s="3" t="s">
        <v>76</v>
      </c>
      <c r="N17" s="3" t="s">
        <v>18</v>
      </c>
      <c r="O17" s="9" t="s">
        <v>1</v>
      </c>
      <c r="P17" s="9" t="s">
        <v>15</v>
      </c>
      <c r="Q17" s="5">
        <v>63</v>
      </c>
      <c r="R17" s="11">
        <v>5.4</v>
      </c>
      <c r="S17" s="11">
        <f t="shared" si="7"/>
        <v>23.333333333333332</v>
      </c>
      <c r="T17" s="11">
        <f t="shared" si="2"/>
        <v>15.89</v>
      </c>
      <c r="U17" s="9">
        <v>1</v>
      </c>
      <c r="Z17" s="9" t="s">
        <v>6</v>
      </c>
      <c r="AA17" s="5">
        <v>83.5</v>
      </c>
      <c r="AB17" s="11">
        <v>6.3</v>
      </c>
      <c r="AC17" s="11">
        <f t="shared" si="3"/>
        <v>26.50793650793651</v>
      </c>
      <c r="AD17" s="11">
        <f t="shared" si="4"/>
        <v>18.051904761904765</v>
      </c>
      <c r="AE17" s="9">
        <f t="shared" si="5"/>
        <v>1</v>
      </c>
      <c r="AG17" s="9" t="s">
        <v>15</v>
      </c>
      <c r="AH17" s="5">
        <v>63</v>
      </c>
      <c r="AI17" s="11">
        <v>6.8</v>
      </c>
      <c r="AJ17" s="11">
        <v>18.529411764705884</v>
      </c>
      <c r="AK17" s="11">
        <v>12.618529411764708</v>
      </c>
    </row>
    <row r="18" spans="1:38" x14ac:dyDescent="0.15">
      <c r="A18" s="9">
        <f t="shared" si="8"/>
        <v>17</v>
      </c>
      <c r="B18" s="3" t="s">
        <v>76</v>
      </c>
      <c r="C18" s="3" t="s">
        <v>18</v>
      </c>
      <c r="D18" s="9" t="s">
        <v>1</v>
      </c>
      <c r="E18" s="9" t="s">
        <v>15</v>
      </c>
      <c r="F18" s="5">
        <v>63</v>
      </c>
      <c r="G18" s="11">
        <v>5.3</v>
      </c>
      <c r="H18" s="11">
        <f t="shared" si="6"/>
        <v>23.773584905660378</v>
      </c>
      <c r="I18" s="11">
        <f t="shared" si="0"/>
        <v>16.189811320754718</v>
      </c>
      <c r="J18" s="9">
        <f t="shared" si="1"/>
        <v>1</v>
      </c>
      <c r="M18" s="3" t="s">
        <v>76</v>
      </c>
      <c r="N18" s="3" t="s">
        <v>18</v>
      </c>
      <c r="O18" s="9" t="s">
        <v>1</v>
      </c>
      <c r="P18" s="9" t="s">
        <v>15</v>
      </c>
      <c r="Q18" s="5">
        <v>63</v>
      </c>
      <c r="R18" s="11">
        <v>5.3</v>
      </c>
      <c r="S18" s="11">
        <f t="shared" si="7"/>
        <v>23.773584905660378</v>
      </c>
      <c r="T18" s="11">
        <f t="shared" si="2"/>
        <v>16.189811320754718</v>
      </c>
      <c r="U18" s="9">
        <v>1</v>
      </c>
      <c r="Z18" s="9" t="s">
        <v>6</v>
      </c>
      <c r="AA18" s="5">
        <v>83.5</v>
      </c>
      <c r="AB18" s="11">
        <v>7.4</v>
      </c>
      <c r="AC18" s="11">
        <f t="shared" si="3"/>
        <v>22.567567567567565</v>
      </c>
      <c r="AD18" s="11">
        <f t="shared" si="4"/>
        <v>15.368513513513513</v>
      </c>
      <c r="AE18" s="9">
        <f t="shared" si="5"/>
        <v>1</v>
      </c>
      <c r="AG18" s="9" t="s">
        <v>15</v>
      </c>
      <c r="AH18" s="5">
        <v>63</v>
      </c>
      <c r="AI18" s="11">
        <v>6.8</v>
      </c>
      <c r="AJ18" s="11">
        <v>18.529411764705884</v>
      </c>
      <c r="AK18" s="11">
        <v>12.618529411764708</v>
      </c>
    </row>
    <row r="19" spans="1:38" x14ac:dyDescent="0.15">
      <c r="A19" s="9">
        <f t="shared" si="8"/>
        <v>18</v>
      </c>
      <c r="B19" s="3" t="s">
        <v>76</v>
      </c>
      <c r="C19" s="3" t="s">
        <v>18</v>
      </c>
      <c r="D19" s="9" t="s">
        <v>1</v>
      </c>
      <c r="E19" s="9" t="s">
        <v>15</v>
      </c>
      <c r="F19" s="5">
        <v>63</v>
      </c>
      <c r="G19" s="11">
        <v>4.7</v>
      </c>
      <c r="H19" s="11">
        <f t="shared" si="6"/>
        <v>26.808510638297872</v>
      </c>
      <c r="I19" s="11">
        <f t="shared" si="0"/>
        <v>18.256595744680851</v>
      </c>
      <c r="J19" s="9">
        <f t="shared" si="1"/>
        <v>1</v>
      </c>
      <c r="M19" s="3" t="s">
        <v>76</v>
      </c>
      <c r="N19" s="3" t="s">
        <v>18</v>
      </c>
      <c r="O19" s="9" t="s">
        <v>1</v>
      </c>
      <c r="P19" s="9" t="s">
        <v>15</v>
      </c>
      <c r="Q19" s="5">
        <v>63</v>
      </c>
      <c r="R19" s="11">
        <v>4.7</v>
      </c>
      <c r="S19" s="11">
        <f t="shared" si="7"/>
        <v>26.808510638297872</v>
      </c>
      <c r="T19" s="11">
        <f t="shared" si="2"/>
        <v>18.256595744680851</v>
      </c>
      <c r="U19" s="9">
        <v>1</v>
      </c>
      <c r="Z19" s="9" t="s">
        <v>6</v>
      </c>
      <c r="AA19" s="5">
        <v>83.5</v>
      </c>
      <c r="AB19" s="11">
        <v>7.2</v>
      </c>
      <c r="AC19" s="11">
        <f t="shared" si="3"/>
        <v>23.194444444444443</v>
      </c>
      <c r="AD19" s="11">
        <f t="shared" si="4"/>
        <v>15.795416666666666</v>
      </c>
      <c r="AE19" s="9">
        <f t="shared" si="5"/>
        <v>1</v>
      </c>
      <c r="AG19" s="9" t="s">
        <v>6</v>
      </c>
      <c r="AH19" s="5">
        <v>83.5</v>
      </c>
      <c r="AI19" s="11">
        <v>9</v>
      </c>
      <c r="AJ19" s="11">
        <v>18.555555555555557</v>
      </c>
      <c r="AK19" s="11">
        <v>12.636333333333335</v>
      </c>
    </row>
    <row r="20" spans="1:38" x14ac:dyDescent="0.15">
      <c r="A20" s="9">
        <f t="shared" si="8"/>
        <v>19</v>
      </c>
      <c r="B20" s="3" t="s">
        <v>76</v>
      </c>
      <c r="C20" s="3" t="s">
        <v>18</v>
      </c>
      <c r="D20" s="9" t="s">
        <v>1</v>
      </c>
      <c r="E20" s="9" t="s">
        <v>15</v>
      </c>
      <c r="F20" s="5">
        <v>63</v>
      </c>
      <c r="G20" s="11">
        <v>7.3</v>
      </c>
      <c r="H20" s="11">
        <f t="shared" si="6"/>
        <v>17.260273972602739</v>
      </c>
      <c r="I20" s="11">
        <f t="shared" si="0"/>
        <v>11.754246575342467</v>
      </c>
      <c r="J20" s="9">
        <f t="shared" si="1"/>
        <v>1</v>
      </c>
      <c r="M20" s="3" t="s">
        <v>76</v>
      </c>
      <c r="N20" s="3" t="s">
        <v>18</v>
      </c>
      <c r="O20" s="9" t="s">
        <v>1</v>
      </c>
      <c r="P20" s="9" t="s">
        <v>15</v>
      </c>
      <c r="Q20" s="5">
        <v>63</v>
      </c>
      <c r="R20" s="11">
        <v>7.3</v>
      </c>
      <c r="S20" s="11">
        <f t="shared" si="7"/>
        <v>17.260273972602739</v>
      </c>
      <c r="T20" s="11">
        <f t="shared" si="2"/>
        <v>11.754246575342467</v>
      </c>
      <c r="U20" s="9">
        <v>1</v>
      </c>
      <c r="Z20" s="9" t="s">
        <v>6</v>
      </c>
      <c r="AA20" s="5">
        <v>83.5</v>
      </c>
      <c r="AB20" s="11">
        <v>7.8</v>
      </c>
      <c r="AC20" s="11">
        <f t="shared" si="3"/>
        <v>21.410256410256412</v>
      </c>
      <c r="AD20" s="11">
        <f t="shared" si="4"/>
        <v>14.580384615384618</v>
      </c>
      <c r="AE20" s="9">
        <f t="shared" si="5"/>
        <v>1</v>
      </c>
      <c r="AG20" s="9" t="s">
        <v>15</v>
      </c>
      <c r="AH20" s="5">
        <v>63</v>
      </c>
      <c r="AI20" s="11">
        <v>6.7</v>
      </c>
      <c r="AJ20" s="11">
        <v>18.805970149253731</v>
      </c>
      <c r="AK20" s="11">
        <v>12.806865671641791</v>
      </c>
    </row>
    <row r="21" spans="1:38" x14ac:dyDescent="0.15">
      <c r="A21" s="9">
        <f t="shared" si="8"/>
        <v>20</v>
      </c>
      <c r="B21" s="3" t="s">
        <v>76</v>
      </c>
      <c r="C21" s="3" t="s">
        <v>18</v>
      </c>
      <c r="D21" s="9" t="s">
        <v>1</v>
      </c>
      <c r="E21" s="9" t="s">
        <v>15</v>
      </c>
      <c r="F21" s="5">
        <v>63</v>
      </c>
      <c r="G21" s="11">
        <v>6</v>
      </c>
      <c r="H21" s="11">
        <f t="shared" si="6"/>
        <v>21</v>
      </c>
      <c r="I21" s="11">
        <f t="shared" si="0"/>
        <v>14.301000000000002</v>
      </c>
      <c r="J21" s="9">
        <f t="shared" si="1"/>
        <v>1</v>
      </c>
      <c r="M21" s="3" t="s">
        <v>76</v>
      </c>
      <c r="N21" s="3" t="s">
        <v>18</v>
      </c>
      <c r="O21" s="9" t="s">
        <v>1</v>
      </c>
      <c r="P21" s="9" t="s">
        <v>15</v>
      </c>
      <c r="Q21" s="5">
        <v>63</v>
      </c>
      <c r="R21" s="11">
        <v>6</v>
      </c>
      <c r="S21" s="11">
        <f t="shared" si="7"/>
        <v>21</v>
      </c>
      <c r="T21" s="11">
        <f t="shared" si="2"/>
        <v>14.301000000000002</v>
      </c>
      <c r="U21" s="9">
        <v>1</v>
      </c>
      <c r="Z21" s="9" t="s">
        <v>6</v>
      </c>
      <c r="AA21" s="5">
        <v>83.5</v>
      </c>
      <c r="AB21" s="11">
        <v>6.6</v>
      </c>
      <c r="AC21" s="11">
        <f t="shared" si="3"/>
        <v>25.303030303030305</v>
      </c>
      <c r="AD21" s="11">
        <f t="shared" si="4"/>
        <v>17.231363636363639</v>
      </c>
      <c r="AE21" s="9">
        <f t="shared" si="5"/>
        <v>1</v>
      </c>
      <c r="AG21" s="9" t="s">
        <v>6</v>
      </c>
      <c r="AH21" s="5">
        <v>83.5</v>
      </c>
      <c r="AI21" s="11">
        <v>8.8000000000000007</v>
      </c>
      <c r="AJ21" s="11">
        <v>18.977272727272727</v>
      </c>
      <c r="AK21" s="11">
        <v>12.923522727272728</v>
      </c>
    </row>
    <row r="22" spans="1:38" x14ac:dyDescent="0.15">
      <c r="A22" s="9">
        <f t="shared" si="8"/>
        <v>21</v>
      </c>
      <c r="B22" s="3" t="s">
        <v>76</v>
      </c>
      <c r="C22" s="3" t="s">
        <v>18</v>
      </c>
      <c r="D22" s="9" t="s">
        <v>1</v>
      </c>
      <c r="E22" s="9" t="s">
        <v>15</v>
      </c>
      <c r="F22" s="5">
        <v>63</v>
      </c>
      <c r="G22" s="11">
        <v>5.7</v>
      </c>
      <c r="H22" s="11">
        <f t="shared" si="6"/>
        <v>22.105263157894736</v>
      </c>
      <c r="I22" s="11">
        <f t="shared" si="0"/>
        <v>15.053684210526317</v>
      </c>
      <c r="J22" s="9">
        <f t="shared" si="1"/>
        <v>1</v>
      </c>
      <c r="M22" s="3" t="s">
        <v>76</v>
      </c>
      <c r="N22" s="3" t="s">
        <v>18</v>
      </c>
      <c r="O22" s="9" t="s">
        <v>1</v>
      </c>
      <c r="P22" s="9" t="s">
        <v>15</v>
      </c>
      <c r="Q22" s="5">
        <v>63</v>
      </c>
      <c r="R22" s="11">
        <v>5.7</v>
      </c>
      <c r="S22" s="11">
        <f t="shared" si="7"/>
        <v>22.105263157894736</v>
      </c>
      <c r="T22" s="11">
        <f t="shared" si="2"/>
        <v>15.053684210526317</v>
      </c>
      <c r="U22" s="9">
        <v>1</v>
      </c>
      <c r="Z22" s="9" t="s">
        <v>6</v>
      </c>
      <c r="AA22" s="5">
        <v>83.5</v>
      </c>
      <c r="AB22" s="11">
        <v>7.8</v>
      </c>
      <c r="AC22" s="11">
        <f t="shared" si="3"/>
        <v>21.410256410256412</v>
      </c>
      <c r="AD22" s="11">
        <f t="shared" si="4"/>
        <v>14.580384615384618</v>
      </c>
      <c r="AE22" s="9">
        <f t="shared" si="5"/>
        <v>1</v>
      </c>
      <c r="AG22" s="9" t="s">
        <v>6</v>
      </c>
      <c r="AH22" s="5">
        <v>83.5</v>
      </c>
      <c r="AI22" s="11">
        <v>8.6</v>
      </c>
      <c r="AJ22" s="11">
        <v>19.418604651162791</v>
      </c>
      <c r="AK22" s="11">
        <v>13.224069767441861</v>
      </c>
      <c r="AL22" t="s">
        <v>77</v>
      </c>
    </row>
    <row r="23" spans="1:38" x14ac:dyDescent="0.15">
      <c r="A23" s="9">
        <f t="shared" si="8"/>
        <v>22</v>
      </c>
      <c r="B23" s="3" t="s">
        <v>76</v>
      </c>
      <c r="C23" s="3" t="s">
        <v>18</v>
      </c>
      <c r="D23" s="9" t="s">
        <v>1</v>
      </c>
      <c r="E23" s="9" t="s">
        <v>15</v>
      </c>
      <c r="F23" s="5">
        <v>63</v>
      </c>
      <c r="G23" s="11">
        <v>6.3</v>
      </c>
      <c r="H23" s="11">
        <f t="shared" si="6"/>
        <v>20</v>
      </c>
      <c r="I23" s="11">
        <f t="shared" si="0"/>
        <v>13.620000000000001</v>
      </c>
      <c r="J23" s="9">
        <f t="shared" si="1"/>
        <v>1</v>
      </c>
      <c r="M23" s="3" t="s">
        <v>76</v>
      </c>
      <c r="N23" s="3" t="s">
        <v>18</v>
      </c>
      <c r="O23" s="9" t="s">
        <v>1</v>
      </c>
      <c r="P23" s="9" t="s">
        <v>15</v>
      </c>
      <c r="Q23" s="5">
        <v>63</v>
      </c>
      <c r="R23" s="11">
        <v>6.3</v>
      </c>
      <c r="S23" s="11">
        <f t="shared" si="7"/>
        <v>20</v>
      </c>
      <c r="T23" s="11">
        <f t="shared" si="2"/>
        <v>13.620000000000001</v>
      </c>
      <c r="U23" s="9">
        <v>1</v>
      </c>
      <c r="Z23" s="8"/>
      <c r="AA23" s="48"/>
      <c r="AB23" s="48">
        <f>SUM(AB2:AB22)/AE23</f>
        <v>8.9142857142857146</v>
      </c>
      <c r="AC23" s="48">
        <f>AA23/(AB23/2)</f>
        <v>0</v>
      </c>
      <c r="AD23" s="47">
        <f>SUM(AD2:AD22)/AE23</f>
        <v>13.236352297721711</v>
      </c>
      <c r="AE23" s="48">
        <f>SUM(AE2:AE22)</f>
        <v>21</v>
      </c>
      <c r="AG23" s="9" t="s">
        <v>6</v>
      </c>
      <c r="AH23" s="5">
        <v>83.5</v>
      </c>
      <c r="AI23" s="11">
        <v>8.5</v>
      </c>
      <c r="AJ23" s="11">
        <v>19.647058823529413</v>
      </c>
      <c r="AK23" s="11">
        <v>13.379647058823531</v>
      </c>
    </row>
    <row r="24" spans="1:38" x14ac:dyDescent="0.15">
      <c r="A24" s="9">
        <f t="shared" si="8"/>
        <v>23</v>
      </c>
      <c r="B24" s="3" t="s">
        <v>76</v>
      </c>
      <c r="C24" s="3" t="s">
        <v>18</v>
      </c>
      <c r="D24" s="9" t="s">
        <v>1</v>
      </c>
      <c r="E24" s="9" t="s">
        <v>6</v>
      </c>
      <c r="F24" s="5">
        <v>83.5</v>
      </c>
      <c r="G24" s="11">
        <v>8.5</v>
      </c>
      <c r="H24" s="11">
        <f t="shared" si="6"/>
        <v>19.647058823529413</v>
      </c>
      <c r="I24" s="11">
        <f t="shared" si="0"/>
        <v>13.379647058823531</v>
      </c>
      <c r="J24" s="9">
        <f t="shared" si="1"/>
        <v>1</v>
      </c>
      <c r="Q24" s="5">
        <v>63</v>
      </c>
      <c r="R24" s="48">
        <f>SUM(R2:R23)/U24</f>
        <v>6.6318181818181818</v>
      </c>
      <c r="S24" s="48">
        <f>Q24/(R24/2)</f>
        <v>18.999314599040439</v>
      </c>
      <c r="T24" s="47">
        <f>SUM(T2:T23)/U24</f>
        <v>14.010397851312147</v>
      </c>
      <c r="U24" s="48">
        <f>SUM(U2:U23)</f>
        <v>22</v>
      </c>
      <c r="AG24" s="9" t="s">
        <v>15</v>
      </c>
      <c r="AH24" s="5">
        <v>63</v>
      </c>
      <c r="AI24" s="11">
        <v>6.3</v>
      </c>
      <c r="AJ24" s="11">
        <v>20</v>
      </c>
      <c r="AK24" s="11">
        <v>13.620000000000001</v>
      </c>
    </row>
    <row r="25" spans="1:38" x14ac:dyDescent="0.15">
      <c r="A25" s="9">
        <f t="shared" si="8"/>
        <v>24</v>
      </c>
      <c r="B25" s="3" t="s">
        <v>76</v>
      </c>
      <c r="C25" s="3" t="s">
        <v>18</v>
      </c>
      <c r="D25" s="9" t="s">
        <v>1</v>
      </c>
      <c r="E25" s="9" t="s">
        <v>6</v>
      </c>
      <c r="F25" s="5">
        <v>83.5</v>
      </c>
      <c r="G25" s="11">
        <v>13.5</v>
      </c>
      <c r="H25" s="11">
        <f t="shared" si="6"/>
        <v>12.37037037037037</v>
      </c>
      <c r="I25" s="11">
        <f t="shared" si="0"/>
        <v>8.4242222222222232</v>
      </c>
      <c r="J25" s="9">
        <f t="shared" si="1"/>
        <v>1</v>
      </c>
      <c r="AG25" s="9" t="s">
        <v>6</v>
      </c>
      <c r="AH25" s="5">
        <v>83.5</v>
      </c>
      <c r="AI25" s="11">
        <v>8</v>
      </c>
      <c r="AJ25" s="11">
        <v>20.875</v>
      </c>
      <c r="AK25" s="11">
        <v>14.215875</v>
      </c>
    </row>
    <row r="26" spans="1:38" x14ac:dyDescent="0.15">
      <c r="A26" s="9">
        <f t="shared" si="8"/>
        <v>25</v>
      </c>
      <c r="B26" s="3" t="s">
        <v>76</v>
      </c>
      <c r="C26" s="3" t="s">
        <v>18</v>
      </c>
      <c r="D26" s="9" t="s">
        <v>1</v>
      </c>
      <c r="E26" s="9" t="s">
        <v>6</v>
      </c>
      <c r="F26" s="5">
        <v>83.5</v>
      </c>
      <c r="G26" s="11">
        <v>6.5</v>
      </c>
      <c r="H26" s="11">
        <f t="shared" si="6"/>
        <v>25.692307692307693</v>
      </c>
      <c r="I26" s="11">
        <f t="shared" si="0"/>
        <v>17.496461538461542</v>
      </c>
      <c r="J26" s="9">
        <f t="shared" si="1"/>
        <v>1</v>
      </c>
      <c r="AG26" s="9" t="s">
        <v>15</v>
      </c>
      <c r="AH26" s="5">
        <v>63</v>
      </c>
      <c r="AI26" s="11">
        <v>6</v>
      </c>
      <c r="AJ26" s="11">
        <v>21</v>
      </c>
      <c r="AK26" s="11">
        <v>14.301000000000002</v>
      </c>
    </row>
    <row r="27" spans="1:38" x14ac:dyDescent="0.15">
      <c r="A27" s="9">
        <f t="shared" si="8"/>
        <v>26</v>
      </c>
      <c r="B27" s="3" t="s">
        <v>76</v>
      </c>
      <c r="C27" s="3" t="s">
        <v>18</v>
      </c>
      <c r="D27" s="9" t="s">
        <v>1</v>
      </c>
      <c r="E27" s="9" t="s">
        <v>6</v>
      </c>
      <c r="F27" s="5">
        <v>83.5</v>
      </c>
      <c r="G27" s="11">
        <v>11.4</v>
      </c>
      <c r="H27" s="11">
        <f t="shared" si="6"/>
        <v>14.649122807017543</v>
      </c>
      <c r="I27" s="11">
        <f t="shared" si="0"/>
        <v>9.9760526315789466</v>
      </c>
      <c r="J27" s="9">
        <f t="shared" si="1"/>
        <v>1</v>
      </c>
      <c r="K27" s="46"/>
      <c r="AG27" s="9" t="s">
        <v>15</v>
      </c>
      <c r="AH27" s="5">
        <v>63</v>
      </c>
      <c r="AI27" s="11">
        <v>6</v>
      </c>
      <c r="AJ27" s="11">
        <v>21</v>
      </c>
      <c r="AK27" s="11">
        <v>14.301000000000002</v>
      </c>
    </row>
    <row r="28" spans="1:38" x14ac:dyDescent="0.15">
      <c r="A28" s="9">
        <f t="shared" si="8"/>
        <v>27</v>
      </c>
      <c r="B28" s="3" t="s">
        <v>76</v>
      </c>
      <c r="C28" s="3" t="s">
        <v>18</v>
      </c>
      <c r="D28" s="9" t="s">
        <v>1</v>
      </c>
      <c r="E28" s="9" t="s">
        <v>6</v>
      </c>
      <c r="F28" s="5">
        <v>83.5</v>
      </c>
      <c r="G28" s="11">
        <v>10.5</v>
      </c>
      <c r="H28" s="11">
        <f t="shared" si="6"/>
        <v>15.904761904761905</v>
      </c>
      <c r="I28" s="11">
        <f t="shared" si="0"/>
        <v>10.831142857142858</v>
      </c>
      <c r="J28" s="9">
        <f t="shared" si="1"/>
        <v>1</v>
      </c>
      <c r="AG28" s="9" t="s">
        <v>15</v>
      </c>
      <c r="AH28" s="5">
        <v>63</v>
      </c>
      <c r="AI28" s="11">
        <v>5.9</v>
      </c>
      <c r="AJ28" s="11">
        <v>21.35593220338983</v>
      </c>
      <c r="AK28" s="11">
        <v>14.543389830508476</v>
      </c>
    </row>
    <row r="29" spans="1:38" x14ac:dyDescent="0.15">
      <c r="A29" s="9">
        <f>A28+1</f>
        <v>28</v>
      </c>
      <c r="B29" s="3" t="s">
        <v>76</v>
      </c>
      <c r="C29" s="3" t="s">
        <v>18</v>
      </c>
      <c r="D29" s="9" t="s">
        <v>1</v>
      </c>
      <c r="E29" s="9" t="s">
        <v>6</v>
      </c>
      <c r="F29" s="5">
        <v>83.5</v>
      </c>
      <c r="G29" s="11">
        <v>9.5</v>
      </c>
      <c r="H29" s="11">
        <f t="shared" si="6"/>
        <v>17.578947368421051</v>
      </c>
      <c r="I29" s="11">
        <f t="shared" si="0"/>
        <v>11.971263157894736</v>
      </c>
      <c r="J29" s="9">
        <f t="shared" si="1"/>
        <v>1</v>
      </c>
      <c r="AG29" s="9" t="s">
        <v>6</v>
      </c>
      <c r="AH29" s="5">
        <v>83.5</v>
      </c>
      <c r="AI29" s="11">
        <v>7.8</v>
      </c>
      <c r="AJ29" s="11">
        <v>21.410256410256412</v>
      </c>
      <c r="AK29" s="11">
        <v>14.580384615384618</v>
      </c>
    </row>
    <row r="30" spans="1:38" x14ac:dyDescent="0.15">
      <c r="A30" s="9">
        <f t="shared" si="8"/>
        <v>29</v>
      </c>
      <c r="B30" s="3" t="s">
        <v>76</v>
      </c>
      <c r="C30" s="3" t="s">
        <v>18</v>
      </c>
      <c r="D30" s="9" t="s">
        <v>1</v>
      </c>
      <c r="E30" s="9" t="s">
        <v>6</v>
      </c>
      <c r="F30" s="5">
        <v>83.5</v>
      </c>
      <c r="G30" s="11">
        <v>8.8000000000000007</v>
      </c>
      <c r="H30" s="11">
        <f t="shared" si="6"/>
        <v>18.977272727272727</v>
      </c>
      <c r="I30" s="11">
        <f t="shared" si="0"/>
        <v>12.923522727272728</v>
      </c>
      <c r="J30" s="9">
        <f t="shared" si="1"/>
        <v>1</v>
      </c>
      <c r="AG30" s="9" t="s">
        <v>6</v>
      </c>
      <c r="AH30" s="5">
        <v>83.5</v>
      </c>
      <c r="AI30" s="11">
        <v>7.8</v>
      </c>
      <c r="AJ30" s="11">
        <v>21.410256410256412</v>
      </c>
      <c r="AK30" s="11">
        <v>14.580384615384618</v>
      </c>
    </row>
    <row r="31" spans="1:38" x14ac:dyDescent="0.15">
      <c r="A31" s="9">
        <f t="shared" si="8"/>
        <v>30</v>
      </c>
      <c r="B31" s="3" t="s">
        <v>76</v>
      </c>
      <c r="C31" s="3" t="s">
        <v>18</v>
      </c>
      <c r="D31" s="9" t="s">
        <v>1</v>
      </c>
      <c r="E31" s="9" t="s">
        <v>6</v>
      </c>
      <c r="F31" s="5">
        <v>83.5</v>
      </c>
      <c r="G31" s="11">
        <v>8</v>
      </c>
      <c r="H31" s="11">
        <f t="shared" si="6"/>
        <v>20.875</v>
      </c>
      <c r="I31" s="11">
        <f t="shared" si="0"/>
        <v>14.215875</v>
      </c>
      <c r="J31" s="9">
        <f t="shared" si="1"/>
        <v>1</v>
      </c>
      <c r="AG31" s="9" t="s">
        <v>15</v>
      </c>
      <c r="AH31" s="5">
        <v>63</v>
      </c>
      <c r="AI31" s="11">
        <v>5.8</v>
      </c>
      <c r="AJ31" s="11">
        <v>21.724137931034484</v>
      </c>
      <c r="AK31" s="11">
        <v>14.794137931034484</v>
      </c>
    </row>
    <row r="32" spans="1:38" x14ac:dyDescent="0.15">
      <c r="A32" s="9">
        <f t="shared" si="8"/>
        <v>31</v>
      </c>
      <c r="B32" s="3" t="s">
        <v>76</v>
      </c>
      <c r="C32" s="3" t="s">
        <v>18</v>
      </c>
      <c r="D32" s="9" t="s">
        <v>1</v>
      </c>
      <c r="E32" s="9" t="s">
        <v>6</v>
      </c>
      <c r="F32" s="5">
        <v>83.5</v>
      </c>
      <c r="G32" s="11">
        <v>9</v>
      </c>
      <c r="H32" s="11">
        <f t="shared" si="6"/>
        <v>18.555555555555557</v>
      </c>
      <c r="I32" s="11">
        <f t="shared" si="0"/>
        <v>12.636333333333335</v>
      </c>
      <c r="J32" s="9">
        <f t="shared" si="1"/>
        <v>1</v>
      </c>
      <c r="AG32" s="9" t="s">
        <v>15</v>
      </c>
      <c r="AH32" s="5">
        <v>63</v>
      </c>
      <c r="AI32" s="11">
        <v>5.7</v>
      </c>
      <c r="AJ32" s="11">
        <v>22.105263157894736</v>
      </c>
      <c r="AK32" s="11">
        <v>15.053684210526317</v>
      </c>
    </row>
    <row r="33" spans="1:38" x14ac:dyDescent="0.15">
      <c r="A33" s="9">
        <f t="shared" si="8"/>
        <v>32</v>
      </c>
      <c r="B33" s="3" t="s">
        <v>76</v>
      </c>
      <c r="C33" s="3" t="s">
        <v>18</v>
      </c>
      <c r="D33" s="9" t="s">
        <v>1</v>
      </c>
      <c r="E33" s="9" t="s">
        <v>6</v>
      </c>
      <c r="F33" s="5">
        <v>83.5</v>
      </c>
      <c r="G33" s="11">
        <v>10</v>
      </c>
      <c r="H33" s="11">
        <f t="shared" si="6"/>
        <v>16.7</v>
      </c>
      <c r="I33" s="11">
        <f t="shared" si="0"/>
        <v>11.3727</v>
      </c>
      <c r="J33" s="9">
        <f t="shared" si="1"/>
        <v>1</v>
      </c>
      <c r="AG33" s="9" t="s">
        <v>6</v>
      </c>
      <c r="AH33" s="5">
        <v>83.5</v>
      </c>
      <c r="AI33" s="11">
        <v>7.4</v>
      </c>
      <c r="AJ33" s="11">
        <v>22.567567567567565</v>
      </c>
      <c r="AK33" s="11">
        <v>15.368513513513513</v>
      </c>
    </row>
    <row r="34" spans="1:38" x14ac:dyDescent="0.15">
      <c r="A34" s="9">
        <f t="shared" si="8"/>
        <v>33</v>
      </c>
      <c r="B34" s="3" t="s">
        <v>76</v>
      </c>
      <c r="C34" s="3" t="s">
        <v>18</v>
      </c>
      <c r="D34" s="9" t="s">
        <v>1</v>
      </c>
      <c r="E34" s="9" t="s">
        <v>6</v>
      </c>
      <c r="F34" s="5">
        <v>83.5</v>
      </c>
      <c r="G34" s="11">
        <v>8.6</v>
      </c>
      <c r="H34" s="11">
        <f t="shared" si="6"/>
        <v>19.418604651162791</v>
      </c>
      <c r="I34" s="11">
        <f t="shared" si="0"/>
        <v>13.224069767441861</v>
      </c>
      <c r="J34" s="9">
        <f t="shared" si="1"/>
        <v>1</v>
      </c>
      <c r="AG34" s="9" t="s">
        <v>6</v>
      </c>
      <c r="AH34" s="5">
        <v>83.5</v>
      </c>
      <c r="AI34" s="11">
        <v>7.2</v>
      </c>
      <c r="AJ34" s="11">
        <v>23.194444444444443</v>
      </c>
      <c r="AK34" s="11">
        <v>15.795416666666666</v>
      </c>
    </row>
    <row r="35" spans="1:38" x14ac:dyDescent="0.15">
      <c r="A35" s="9">
        <f t="shared" si="8"/>
        <v>34</v>
      </c>
      <c r="B35" s="3" t="s">
        <v>76</v>
      </c>
      <c r="C35" s="3" t="s">
        <v>18</v>
      </c>
      <c r="D35" s="9" t="s">
        <v>1</v>
      </c>
      <c r="E35" s="9" t="s">
        <v>6</v>
      </c>
      <c r="F35" s="5">
        <v>83.5</v>
      </c>
      <c r="G35" s="11">
        <v>10.5</v>
      </c>
      <c r="H35" s="11">
        <f t="shared" si="6"/>
        <v>15.904761904761905</v>
      </c>
      <c r="I35" s="11">
        <f t="shared" si="0"/>
        <v>10.831142857142858</v>
      </c>
      <c r="J35" s="9">
        <f t="shared" si="1"/>
        <v>1</v>
      </c>
      <c r="AG35" s="9" t="s">
        <v>15</v>
      </c>
      <c r="AH35" s="5">
        <v>63</v>
      </c>
      <c r="AI35" s="11">
        <v>5.4</v>
      </c>
      <c r="AJ35" s="11">
        <v>23.333333333333332</v>
      </c>
      <c r="AK35" s="11">
        <v>15.89</v>
      </c>
    </row>
    <row r="36" spans="1:38" x14ac:dyDescent="0.15">
      <c r="A36" s="9">
        <f t="shared" si="8"/>
        <v>35</v>
      </c>
      <c r="B36" s="3" t="s">
        <v>76</v>
      </c>
      <c r="C36" s="3" t="s">
        <v>18</v>
      </c>
      <c r="D36" s="9" t="s">
        <v>1</v>
      </c>
      <c r="E36" s="9" t="s">
        <v>6</v>
      </c>
      <c r="F36" s="5">
        <v>83.5</v>
      </c>
      <c r="G36" s="11">
        <v>10.6</v>
      </c>
      <c r="H36" s="11">
        <f t="shared" si="6"/>
        <v>15.754716981132075</v>
      </c>
      <c r="I36" s="11">
        <f t="shared" si="0"/>
        <v>10.728962264150944</v>
      </c>
      <c r="J36" s="9">
        <f t="shared" si="1"/>
        <v>1</v>
      </c>
      <c r="AG36" s="9" t="s">
        <v>15</v>
      </c>
      <c r="AH36" s="5">
        <v>63</v>
      </c>
      <c r="AI36" s="11">
        <v>5.4</v>
      </c>
      <c r="AJ36" s="11">
        <v>23.333333333333332</v>
      </c>
      <c r="AK36" s="11">
        <v>15.89</v>
      </c>
    </row>
    <row r="37" spans="1:38" x14ac:dyDescent="0.15">
      <c r="A37" s="9">
        <f t="shared" si="8"/>
        <v>36</v>
      </c>
      <c r="B37" s="3" t="s">
        <v>76</v>
      </c>
      <c r="C37" s="3" t="s">
        <v>18</v>
      </c>
      <c r="D37" s="9" t="s">
        <v>1</v>
      </c>
      <c r="E37" s="9" t="s">
        <v>6</v>
      </c>
      <c r="F37" s="5">
        <v>83.5</v>
      </c>
      <c r="G37" s="11">
        <v>9.1</v>
      </c>
      <c r="H37" s="11">
        <f t="shared" si="6"/>
        <v>18.351648351648354</v>
      </c>
      <c r="I37" s="11">
        <f t="shared" si="0"/>
        <v>12.49747252747253</v>
      </c>
      <c r="J37" s="9">
        <f t="shared" si="1"/>
        <v>1</v>
      </c>
      <c r="AG37" s="9" t="s">
        <v>15</v>
      </c>
      <c r="AH37" s="5">
        <v>63</v>
      </c>
      <c r="AI37" s="11">
        <v>5.3</v>
      </c>
      <c r="AJ37" s="11">
        <v>23.773584905660378</v>
      </c>
      <c r="AK37" s="11">
        <v>16.189811320754718</v>
      </c>
      <c r="AL37" t="s">
        <v>47</v>
      </c>
    </row>
    <row r="38" spans="1:38" x14ac:dyDescent="0.15">
      <c r="A38" s="9">
        <f t="shared" si="8"/>
        <v>37</v>
      </c>
      <c r="B38" s="3" t="s">
        <v>76</v>
      </c>
      <c r="C38" s="3" t="s">
        <v>18</v>
      </c>
      <c r="D38" s="9" t="s">
        <v>1</v>
      </c>
      <c r="E38" s="9" t="s">
        <v>6</v>
      </c>
      <c r="F38" s="5">
        <v>83.5</v>
      </c>
      <c r="G38" s="11">
        <v>9.6</v>
      </c>
      <c r="H38" s="11">
        <f t="shared" si="6"/>
        <v>17.395833333333336</v>
      </c>
      <c r="I38" s="11">
        <f t="shared" si="0"/>
        <v>11.846562500000003</v>
      </c>
      <c r="J38" s="9">
        <f t="shared" si="1"/>
        <v>1</v>
      </c>
      <c r="AG38" s="9" t="s">
        <v>6</v>
      </c>
      <c r="AH38" s="5">
        <v>83.5</v>
      </c>
      <c r="AI38" s="11">
        <v>6.6</v>
      </c>
      <c r="AJ38" s="11">
        <v>25.303030303030305</v>
      </c>
      <c r="AK38" s="11">
        <v>17.231363636363639</v>
      </c>
    </row>
    <row r="39" spans="1:38" x14ac:dyDescent="0.15">
      <c r="A39" s="9">
        <f t="shared" si="8"/>
        <v>38</v>
      </c>
      <c r="B39" s="3" t="s">
        <v>76</v>
      </c>
      <c r="C39" s="3" t="s">
        <v>18</v>
      </c>
      <c r="D39" s="9" t="s">
        <v>1</v>
      </c>
      <c r="E39" s="9" t="s">
        <v>6</v>
      </c>
      <c r="F39" s="5">
        <v>83.5</v>
      </c>
      <c r="G39" s="11">
        <v>6.3</v>
      </c>
      <c r="H39" s="11">
        <f t="shared" si="6"/>
        <v>26.50793650793651</v>
      </c>
      <c r="I39" s="11">
        <f t="shared" si="0"/>
        <v>18.051904761904765</v>
      </c>
      <c r="J39" s="9">
        <f t="shared" si="1"/>
        <v>1</v>
      </c>
      <c r="AG39" s="9" t="s">
        <v>6</v>
      </c>
      <c r="AH39" s="5">
        <v>83.5</v>
      </c>
      <c r="AI39" s="11">
        <v>6.5</v>
      </c>
      <c r="AJ39" s="11">
        <v>25.692307692307693</v>
      </c>
      <c r="AK39" s="11">
        <v>17.496461538461542</v>
      </c>
    </row>
    <row r="40" spans="1:38" x14ac:dyDescent="0.15">
      <c r="A40" s="9">
        <f t="shared" si="8"/>
        <v>39</v>
      </c>
      <c r="B40" s="3" t="s">
        <v>76</v>
      </c>
      <c r="C40" s="3" t="s">
        <v>18</v>
      </c>
      <c r="D40" s="9" t="s">
        <v>1</v>
      </c>
      <c r="E40" s="9" t="s">
        <v>6</v>
      </c>
      <c r="F40" s="5">
        <v>83.5</v>
      </c>
      <c r="G40" s="11">
        <v>7.4</v>
      </c>
      <c r="H40" s="11">
        <f t="shared" si="6"/>
        <v>22.567567567567565</v>
      </c>
      <c r="I40" s="11">
        <f t="shared" si="0"/>
        <v>15.368513513513513</v>
      </c>
      <c r="J40" s="9">
        <f t="shared" si="1"/>
        <v>1</v>
      </c>
      <c r="AG40" s="9" t="s">
        <v>15</v>
      </c>
      <c r="AH40" s="5">
        <v>63</v>
      </c>
      <c r="AI40" s="11">
        <v>4.9000000000000004</v>
      </c>
      <c r="AJ40" s="11">
        <v>25.714285714285712</v>
      </c>
      <c r="AK40" s="11">
        <v>17.511428571428571</v>
      </c>
    </row>
    <row r="41" spans="1:38" x14ac:dyDescent="0.15">
      <c r="A41" s="9">
        <f t="shared" si="8"/>
        <v>40</v>
      </c>
      <c r="B41" s="3" t="s">
        <v>76</v>
      </c>
      <c r="C41" s="3" t="s">
        <v>18</v>
      </c>
      <c r="D41" s="9" t="s">
        <v>1</v>
      </c>
      <c r="E41" s="9" t="s">
        <v>6</v>
      </c>
      <c r="F41" s="5">
        <v>83.5</v>
      </c>
      <c r="G41" s="11">
        <v>7.2</v>
      </c>
      <c r="H41" s="11">
        <f t="shared" si="6"/>
        <v>23.194444444444443</v>
      </c>
      <c r="I41" s="11">
        <f t="shared" si="0"/>
        <v>15.795416666666666</v>
      </c>
      <c r="J41" s="9">
        <f t="shared" si="1"/>
        <v>1</v>
      </c>
      <c r="AG41" s="9" t="s">
        <v>6</v>
      </c>
      <c r="AH41" s="5">
        <v>83.5</v>
      </c>
      <c r="AI41" s="11">
        <v>6.3</v>
      </c>
      <c r="AJ41" s="11">
        <v>26.50793650793651</v>
      </c>
      <c r="AK41" s="11">
        <v>18.051904761904765</v>
      </c>
    </row>
    <row r="42" spans="1:38" x14ac:dyDescent="0.15">
      <c r="A42" s="9">
        <f t="shared" si="8"/>
        <v>41</v>
      </c>
      <c r="B42" s="3" t="s">
        <v>76</v>
      </c>
      <c r="C42" s="3" t="s">
        <v>18</v>
      </c>
      <c r="D42" s="9" t="s">
        <v>1</v>
      </c>
      <c r="E42" s="9" t="s">
        <v>6</v>
      </c>
      <c r="F42" s="5">
        <v>83.5</v>
      </c>
      <c r="G42" s="11">
        <v>7.8</v>
      </c>
      <c r="H42" s="11">
        <f t="shared" si="6"/>
        <v>21.410256410256412</v>
      </c>
      <c r="I42" s="11">
        <f t="shared" si="0"/>
        <v>14.580384615384618</v>
      </c>
      <c r="J42" s="9">
        <f t="shared" si="1"/>
        <v>1</v>
      </c>
      <c r="AG42" s="9" t="s">
        <v>15</v>
      </c>
      <c r="AH42" s="5">
        <v>63</v>
      </c>
      <c r="AI42" s="11">
        <v>4.7</v>
      </c>
      <c r="AJ42" s="11">
        <v>26.808510638297872</v>
      </c>
      <c r="AK42" s="11">
        <v>18.256595744680851</v>
      </c>
    </row>
    <row r="43" spans="1:38" x14ac:dyDescent="0.15">
      <c r="A43" s="9">
        <f t="shared" si="8"/>
        <v>42</v>
      </c>
      <c r="B43" s="3" t="s">
        <v>76</v>
      </c>
      <c r="C43" s="3" t="s">
        <v>18</v>
      </c>
      <c r="D43" s="9" t="s">
        <v>1</v>
      </c>
      <c r="E43" s="9" t="s">
        <v>6</v>
      </c>
      <c r="F43" s="5">
        <v>83.5</v>
      </c>
      <c r="G43" s="11">
        <v>6.6</v>
      </c>
      <c r="H43" s="11">
        <f t="shared" si="6"/>
        <v>25.303030303030305</v>
      </c>
      <c r="I43" s="11">
        <f t="shared" si="0"/>
        <v>17.231363636363639</v>
      </c>
      <c r="J43" s="9">
        <f t="shared" si="1"/>
        <v>1</v>
      </c>
      <c r="AG43" s="9" t="s">
        <v>15</v>
      </c>
      <c r="AH43" s="5">
        <v>63</v>
      </c>
      <c r="AI43" s="11">
        <v>4.5</v>
      </c>
      <c r="AJ43" s="11">
        <v>28</v>
      </c>
      <c r="AK43" s="11">
        <v>19.068000000000001</v>
      </c>
    </row>
    <row r="44" spans="1:38" x14ac:dyDescent="0.15">
      <c r="A44" s="9">
        <f t="shared" si="8"/>
        <v>43</v>
      </c>
      <c r="B44" s="3" t="s">
        <v>76</v>
      </c>
      <c r="C44" s="3" t="s">
        <v>18</v>
      </c>
      <c r="D44" s="9" t="s">
        <v>1</v>
      </c>
      <c r="E44" s="9" t="s">
        <v>6</v>
      </c>
      <c r="F44" s="5">
        <v>83.5</v>
      </c>
      <c r="G44" s="11">
        <v>7.8</v>
      </c>
      <c r="H44" s="11">
        <f t="shared" si="6"/>
        <v>21.410256410256412</v>
      </c>
      <c r="I44" s="11">
        <f t="shared" si="0"/>
        <v>14.580384615384618</v>
      </c>
      <c r="J44" s="9">
        <f t="shared" si="1"/>
        <v>1</v>
      </c>
      <c r="AG44" s="9" t="s">
        <v>15</v>
      </c>
      <c r="AH44" s="5">
        <v>63</v>
      </c>
      <c r="AI44" s="11">
        <v>3.8</v>
      </c>
      <c r="AJ44" s="11">
        <v>33.15789473684211</v>
      </c>
      <c r="AK44" s="11">
        <v>22.580526315789477</v>
      </c>
    </row>
    <row r="45" spans="1:38" x14ac:dyDescent="0.15">
      <c r="A45" s="9">
        <f t="shared" si="8"/>
        <v>44</v>
      </c>
      <c r="B45" s="3" t="s">
        <v>76</v>
      </c>
      <c r="C45" s="3" t="s">
        <v>18</v>
      </c>
      <c r="D45" s="9" t="s">
        <v>1</v>
      </c>
      <c r="F45" s="48"/>
      <c r="G45" s="48">
        <f>SUM(G2:G44)/J45</f>
        <v>7.7465116279069797</v>
      </c>
      <c r="H45" s="48">
        <f>F45/(G45/2)</f>
        <v>0</v>
      </c>
      <c r="I45" s="47">
        <f>SUM(I2:I44)/J45</f>
        <v>13.632375604209846</v>
      </c>
      <c r="J45" s="48">
        <f>SUM(J2:J44)</f>
        <v>43</v>
      </c>
      <c r="AK45" s="41">
        <f>SUM(AK2:AK44)/43</f>
        <v>13.632375604209836</v>
      </c>
      <c r="AL45" t="s">
        <v>78</v>
      </c>
    </row>
    <row r="46" spans="1:38" x14ac:dyDescent="0.15">
      <c r="A46" s="9">
        <f>A45+1</f>
        <v>45</v>
      </c>
      <c r="B46" s="3" t="s">
        <v>76</v>
      </c>
      <c r="C46" s="3" t="s">
        <v>18</v>
      </c>
      <c r="D46" s="9" t="s">
        <v>1</v>
      </c>
    </row>
    <row r="47" spans="1:38" x14ac:dyDescent="0.15">
      <c r="A47" s="9">
        <f t="shared" si="8"/>
        <v>46</v>
      </c>
      <c r="B47" s="3" t="s">
        <v>76</v>
      </c>
      <c r="C47" s="3" t="s">
        <v>18</v>
      </c>
      <c r="D47" s="9" t="s">
        <v>1</v>
      </c>
    </row>
    <row r="48" spans="1:38" x14ac:dyDescent="0.15">
      <c r="A48" s="9">
        <f t="shared" si="8"/>
        <v>47</v>
      </c>
      <c r="B48" s="3" t="s">
        <v>76</v>
      </c>
      <c r="C48" s="3" t="s">
        <v>18</v>
      </c>
      <c r="D48" s="9" t="s">
        <v>1</v>
      </c>
    </row>
    <row r="49" spans="1:4" x14ac:dyDescent="0.15">
      <c r="A49" s="9">
        <f t="shared" si="8"/>
        <v>48</v>
      </c>
      <c r="B49" s="3" t="s">
        <v>76</v>
      </c>
      <c r="C49" s="3" t="s">
        <v>18</v>
      </c>
      <c r="D49" s="9" t="s">
        <v>1</v>
      </c>
    </row>
    <row r="50" spans="1:4" x14ac:dyDescent="0.15">
      <c r="A50" s="9">
        <f t="shared" si="8"/>
        <v>49</v>
      </c>
      <c r="B50" s="3" t="s">
        <v>76</v>
      </c>
      <c r="C50" s="3" t="s">
        <v>18</v>
      </c>
      <c r="D50" s="9" t="s">
        <v>1</v>
      </c>
    </row>
    <row r="51" spans="1:4" x14ac:dyDescent="0.15">
      <c r="A51" s="9">
        <f t="shared" si="8"/>
        <v>50</v>
      </c>
      <c r="B51" s="3" t="s">
        <v>76</v>
      </c>
      <c r="C51" s="3" t="s">
        <v>18</v>
      </c>
      <c r="D51" s="9" t="s">
        <v>1</v>
      </c>
    </row>
    <row r="52" spans="1:4" x14ac:dyDescent="0.15">
      <c r="A52" s="9">
        <f t="shared" si="8"/>
        <v>51</v>
      </c>
      <c r="B52" s="3" t="s">
        <v>76</v>
      </c>
      <c r="C52" s="3" t="s">
        <v>18</v>
      </c>
      <c r="D52" s="9" t="s">
        <v>1</v>
      </c>
    </row>
    <row r="53" spans="1:4" x14ac:dyDescent="0.15">
      <c r="A53" s="9">
        <f t="shared" si="8"/>
        <v>52</v>
      </c>
      <c r="B53" s="3" t="s">
        <v>76</v>
      </c>
      <c r="C53" s="3" t="s">
        <v>18</v>
      </c>
      <c r="D53" s="9" t="s">
        <v>1</v>
      </c>
    </row>
    <row r="54" spans="1:4" x14ac:dyDescent="0.15">
      <c r="A54" s="9">
        <f t="shared" si="8"/>
        <v>53</v>
      </c>
      <c r="B54" s="3" t="s">
        <v>76</v>
      </c>
      <c r="C54" s="3" t="s">
        <v>18</v>
      </c>
      <c r="D54" s="9" t="s">
        <v>1</v>
      </c>
    </row>
    <row r="55" spans="1:4" x14ac:dyDescent="0.15">
      <c r="A55" s="9">
        <f t="shared" si="8"/>
        <v>54</v>
      </c>
      <c r="B55" s="3" t="s">
        <v>76</v>
      </c>
      <c r="C55" s="3" t="s">
        <v>18</v>
      </c>
      <c r="D55" s="9" t="s">
        <v>1</v>
      </c>
    </row>
    <row r="56" spans="1:4" x14ac:dyDescent="0.15">
      <c r="A56" s="9">
        <f t="shared" si="8"/>
        <v>55</v>
      </c>
      <c r="B56" s="3" t="s">
        <v>76</v>
      </c>
      <c r="C56" s="3" t="s">
        <v>18</v>
      </c>
      <c r="D56" s="9" t="s">
        <v>1</v>
      </c>
    </row>
    <row r="57" spans="1:4" x14ac:dyDescent="0.15">
      <c r="A57" s="9">
        <f t="shared" si="8"/>
        <v>56</v>
      </c>
      <c r="B57" s="3" t="s">
        <v>76</v>
      </c>
      <c r="C57" s="3" t="s">
        <v>18</v>
      </c>
      <c r="D57" s="9" t="s">
        <v>1</v>
      </c>
    </row>
    <row r="58" spans="1:4" x14ac:dyDescent="0.15">
      <c r="A58" s="9">
        <f t="shared" si="8"/>
        <v>57</v>
      </c>
      <c r="B58" s="3" t="s">
        <v>76</v>
      </c>
      <c r="C58" s="3" t="s">
        <v>18</v>
      </c>
      <c r="D58" s="9" t="s">
        <v>1</v>
      </c>
    </row>
    <row r="59" spans="1:4" x14ac:dyDescent="0.15">
      <c r="A59" s="9">
        <f>A58+1</f>
        <v>58</v>
      </c>
      <c r="B59" s="3" t="s">
        <v>76</v>
      </c>
      <c r="C59" s="3" t="s">
        <v>18</v>
      </c>
      <c r="D59" s="9" t="s">
        <v>1</v>
      </c>
    </row>
    <row r="60" spans="1:4" x14ac:dyDescent="0.15">
      <c r="A60" s="9">
        <f t="shared" si="8"/>
        <v>59</v>
      </c>
      <c r="B60" s="3" t="s">
        <v>76</v>
      </c>
      <c r="C60" s="3" t="s">
        <v>18</v>
      </c>
      <c r="D60" s="9" t="s">
        <v>1</v>
      </c>
    </row>
    <row r="61" spans="1:4" x14ac:dyDescent="0.15">
      <c r="A61" s="9">
        <f t="shared" si="8"/>
        <v>60</v>
      </c>
      <c r="B61" s="3" t="s">
        <v>76</v>
      </c>
      <c r="C61" s="3" t="s">
        <v>18</v>
      </c>
      <c r="D61" s="9" t="s">
        <v>1</v>
      </c>
    </row>
  </sheetData>
  <sortState xmlns:xlrd2="http://schemas.microsoft.com/office/spreadsheetml/2017/richdata2" ref="AG2:AK44">
    <sortCondition ref="AK2:AK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Travel Lane</vt:lpstr>
      <vt:lpstr>Sheet4</vt:lpstr>
      <vt:lpstr>Bike Lane</vt:lpstr>
      <vt:lpstr>Sheet2</vt:lpstr>
      <vt:lpstr>Sidewalk</vt:lpstr>
      <vt:lpstr>Sheet3</vt:lpstr>
      <vt:lpstr>Path</vt:lpstr>
      <vt:lpstr>TL Analysis</vt:lpstr>
      <vt:lpstr>BL Analysis</vt:lpstr>
      <vt:lpstr>SW Analysis</vt:lpstr>
      <vt:lpstr>Silver Star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Mighk Wilson</dc:creator>
  <cp:lastModifiedBy>Mighk Wilson</cp:lastModifiedBy>
  <dcterms:created xsi:type="dcterms:W3CDTF">2019-07-24T17:43:46Z</dcterms:created>
  <dcterms:modified xsi:type="dcterms:W3CDTF">2026-09-02T17:36:21Z</dcterms:modified>
</cp:coreProperties>
</file>