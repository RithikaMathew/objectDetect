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15min" sheetId="1" state="visible" r:id="rId1"/>
    <sheet name="Per_hour" sheetId="2" state="visible" r:id="rId2"/>
    <sheet name="Metrics" sheetId="3" state="visible" r:id="rId3"/>
    <sheet name="Run_Log" sheetId="4" state="visible" r:id="rId4"/>
  </sheets>
  <definedNames>
    <definedName name="_xlnm._FilterDatabase" localSheetId="0" hidden="1">'Per_15min'!$A$1:$Y$5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i val="1"/>
      <sz val="9"/>
    </font>
    <font>
      <name val="Arial"/>
      <color rgb="000000FF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1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4" customWidth="1" min="2" max="2"/>
    <col width="15" customWidth="1" min="3" max="3"/>
    <col width="30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8" customWidth="1" min="19" max="19"/>
    <col width="11" customWidth="1" min="20" max="20"/>
    <col width="9" customWidth="1" min="21" max="21"/>
    <col width="11" customWidth="1" min="22" max="22"/>
    <col width="11" customWidth="1" min="23" max="23"/>
    <col width="12" customWidth="1" min="24" max="24"/>
    <col width="10" customWidth="1" min="25" max="25"/>
  </cols>
  <sheetData>
    <row r="1" ht="45" customHeight="1">
      <c r="A1" s="1" t="inlineStr">
        <is>
          <t>Video file</t>
        </is>
      </c>
      <c r="B1" s="1" t="inlineStr">
        <is>
          <t>Annotated clip</t>
        </is>
      </c>
      <c r="C1" s="1" t="inlineStr">
        <is>
          <t>Site</t>
        </is>
      </c>
      <c r="D1" s="1" t="inlineStr">
        <is>
          <t>Location / camera</t>
        </is>
      </c>
      <c r="E1" s="1" t="inlineStr">
        <is>
          <t>Date</t>
        </is>
      </c>
      <c r="F1" s="1" t="inlineStr">
        <is>
          <t>Bin start</t>
        </is>
      </c>
      <c r="G1" s="1" t="inlineStr">
        <is>
          <t>Bin end</t>
        </is>
      </c>
      <c r="H1" s="1" t="inlineStr">
        <is>
          <t>Chunk #</t>
        </is>
      </c>
      <c r="I1" s="1" t="inlineStr">
        <is>
          <t>Seconds processed</t>
        </is>
      </c>
      <c r="J1" s="1" t="inlineStr">
        <is>
          <t>Include (1/0)</t>
        </is>
      </c>
      <c r="K1" s="1" t="inlineStr">
        <is>
          <t>AI bicyclists (total)</t>
        </is>
      </c>
      <c r="L1" s="1" t="inlineStr">
        <is>
          <t>AI bicyclists bike lane</t>
        </is>
      </c>
      <c r="M1" s="1" t="inlineStr">
        <is>
          <t>AI bicyclists sidewalk</t>
        </is>
      </c>
      <c r="N1" s="1" t="inlineStr">
        <is>
          <t>AI bicyclists unassigned</t>
        </is>
      </c>
      <c r="O1" s="1" t="inlineStr">
        <is>
          <t>GT bicyclists bike lane</t>
        </is>
      </c>
      <c r="P1" s="1" t="inlineStr">
        <is>
          <t>GT bicyclists sidewalk</t>
        </is>
      </c>
      <c r="Q1" s="1" t="inlineStr">
        <is>
          <t>GT bicyclists (total)</t>
        </is>
      </c>
      <c r="R1" s="1" t="inlineStr">
        <is>
          <t>Diff bicyclists (AI-GT)</t>
        </is>
      </c>
      <c r="S1" s="1" t="inlineStr">
        <is>
          <t>Abs diff</t>
        </is>
      </c>
      <c r="T1" s="1" t="inlineStr">
        <is>
          <t>Matched = MIN(AI,GT)</t>
        </is>
      </c>
      <c r="U1" s="1" t="inlineStr">
        <is>
          <t>Flag</t>
        </is>
      </c>
      <c r="V1" s="1" t="inlineStr">
        <is>
          <t>AI pedestrians</t>
        </is>
      </c>
      <c r="W1" s="1" t="inlineStr">
        <is>
          <t>GT pedestrians</t>
        </is>
      </c>
      <c r="X1" s="1" t="inlineStr">
        <is>
          <t>Diff pedestrians (AI-GT)</t>
        </is>
      </c>
      <c r="Y1" s="1" t="inlineStr">
        <is>
          <t>AI vehicles</t>
        </is>
      </c>
    </row>
    <row r="2">
      <c r="A2" s="2" t="inlineStr">
        <is>
          <t>Standard_SCU8OG_2019-07-10_0000.008.mp4</t>
        </is>
      </c>
      <c r="B2" s="2" t="inlineStr">
        <is>
          <t>annotated/smoke1/Standard_SCU8OG_2019-07-10_0000.008/Standard_SCU8OG_2019-07-10_0000.008_20190710_0700-0715.mp4</t>
        </is>
      </c>
      <c r="C2" s="2" t="inlineStr">
        <is>
          <t>Colonial North</t>
        </is>
      </c>
      <c r="D2" s="2" t="inlineStr">
        <is>
          <t>Colonial - BL Colonial camera (SCU8OG)</t>
        </is>
      </c>
      <c r="E2" s="2" t="inlineStr">
        <is>
          <t>2019-07-10</t>
        </is>
      </c>
      <c r="F2" s="2" t="inlineStr">
        <is>
          <t>07:00 AM</t>
        </is>
      </c>
      <c r="G2" s="2" t="inlineStr">
        <is>
          <t>07:15 AM</t>
        </is>
      </c>
      <c r="H2" s="2" t="n">
        <v>8</v>
      </c>
      <c r="I2" s="2" t="n">
        <v>120.1</v>
      </c>
      <c r="J2" s="2">
        <f>IF(I2&gt;=Metrics!$B$4*Metrics!$B$3,1,0)</f>
        <v/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1</v>
      </c>
      <c r="P2" s="2" t="n">
        <v>0</v>
      </c>
      <c r="Q2" s="2">
        <f>O2+P2</f>
        <v/>
      </c>
      <c r="R2" s="2">
        <f>K2-Q2</f>
        <v/>
      </c>
      <c r="S2" s="2">
        <f>ABS(R2)</f>
        <v/>
      </c>
      <c r="T2" s="2">
        <f>MIN(K2,Q2)</f>
        <v/>
      </c>
      <c r="U2" s="2">
        <f>IF(J2=0,"partial",IF(S2&gt;Metrics!$B$5,"CHECK","ok"))</f>
        <v/>
      </c>
      <c r="V2" s="2" t="n">
        <v>0</v>
      </c>
      <c r="W2" s="2" t="n">
        <v>0</v>
      </c>
      <c r="X2" s="2">
        <f>V2-W2</f>
        <v/>
      </c>
      <c r="Y2" s="2" t="n">
        <v>26</v>
      </c>
    </row>
    <row r="3">
      <c r="A3" s="2" t="inlineStr">
        <is>
          <t>Standard_SCU8OG_2019-07-10_0000.008.mp4</t>
        </is>
      </c>
      <c r="B3" s="2" t="inlineStr"/>
      <c r="C3" s="2" t="inlineStr">
        <is>
          <t>Colonial North</t>
        </is>
      </c>
      <c r="D3" s="2" t="inlineStr">
        <is>
          <t>Colonial - BL Colonial camera (SCU8OG)</t>
        </is>
      </c>
      <c r="E3" s="2" t="inlineStr">
        <is>
          <t>2019-07-10</t>
        </is>
      </c>
      <c r="F3" s="2" t="inlineStr">
        <is>
          <t>07:15 AM</t>
        </is>
      </c>
      <c r="G3" s="2" t="inlineStr">
        <is>
          <t>07:30 AM</t>
        </is>
      </c>
      <c r="H3" s="2" t="n">
        <v>8</v>
      </c>
      <c r="I3" s="2" t="n">
        <v>0</v>
      </c>
      <c r="J3" s="2">
        <f>IF(I3&gt;=Metrics!$B$4*Metrics!$B$3,1,0)</f>
        <v/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1</v>
      </c>
      <c r="P3" s="2" t="n">
        <v>1</v>
      </c>
      <c r="Q3" s="2">
        <f>O3+P3</f>
        <v/>
      </c>
      <c r="R3" s="2">
        <f>K3-Q3</f>
        <v/>
      </c>
      <c r="S3" s="2">
        <f>ABS(R3)</f>
        <v/>
      </c>
      <c r="T3" s="2">
        <f>MIN(K3,Q3)</f>
        <v/>
      </c>
      <c r="U3" s="2">
        <f>IF(J3=0,"partial",IF(S3&gt;Metrics!$B$5,"CHECK","ok"))</f>
        <v/>
      </c>
      <c r="V3" s="2" t="n">
        <v>0</v>
      </c>
      <c r="W3" s="2" t="n">
        <v>1</v>
      </c>
      <c r="X3" s="2">
        <f>V3-W3</f>
        <v/>
      </c>
      <c r="Y3" s="2" t="n">
        <v>0</v>
      </c>
    </row>
    <row r="4">
      <c r="A4" s="2" t="inlineStr">
        <is>
          <t>Standard_SCU8OG_2019-07-10_0000.008.mp4</t>
        </is>
      </c>
      <c r="B4" s="2" t="inlineStr"/>
      <c r="C4" s="2" t="inlineStr">
        <is>
          <t>Colonial North</t>
        </is>
      </c>
      <c r="D4" s="2" t="inlineStr">
        <is>
          <t>Colonial - BL Colonial camera (SCU8OG)</t>
        </is>
      </c>
      <c r="E4" s="2" t="inlineStr">
        <is>
          <t>2019-07-10</t>
        </is>
      </c>
      <c r="F4" s="2" t="inlineStr">
        <is>
          <t>07:30 AM</t>
        </is>
      </c>
      <c r="G4" s="2" t="inlineStr">
        <is>
          <t>07:45 AM</t>
        </is>
      </c>
      <c r="H4" s="2" t="n">
        <v>8</v>
      </c>
      <c r="I4" s="2" t="n">
        <v>0</v>
      </c>
      <c r="J4" s="2">
        <f>IF(I4&gt;=Metrics!$B$4*Metrics!$B$3,1,0)</f>
        <v/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1</v>
      </c>
      <c r="P4" s="2" t="n">
        <v>0</v>
      </c>
      <c r="Q4" s="2">
        <f>O4+P4</f>
        <v/>
      </c>
      <c r="R4" s="2">
        <f>K4-Q4</f>
        <v/>
      </c>
      <c r="S4" s="2">
        <f>ABS(R4)</f>
        <v/>
      </c>
      <c r="T4" s="2">
        <f>MIN(K4,Q4)</f>
        <v/>
      </c>
      <c r="U4" s="2">
        <f>IF(J4=0,"partial",IF(S4&gt;Metrics!$B$5,"CHECK","ok"))</f>
        <v/>
      </c>
      <c r="V4" s="2" t="n">
        <v>0</v>
      </c>
      <c r="W4" s="2" t="n">
        <v>3</v>
      </c>
      <c r="X4" s="2">
        <f>V4-W4</f>
        <v/>
      </c>
      <c r="Y4" s="2" t="n">
        <v>0</v>
      </c>
    </row>
    <row r="5">
      <c r="A5" s="2" t="inlineStr">
        <is>
          <t>Standard_SCU8OG_2019-07-10_0000.008.mp4</t>
        </is>
      </c>
      <c r="B5" s="2" t="inlineStr"/>
      <c r="C5" s="2" t="inlineStr">
        <is>
          <t>Colonial North</t>
        </is>
      </c>
      <c r="D5" s="2" t="inlineStr">
        <is>
          <t>Colonial - BL Colonial camera (SCU8OG)</t>
        </is>
      </c>
      <c r="E5" s="2" t="inlineStr">
        <is>
          <t>2019-07-10</t>
        </is>
      </c>
      <c r="F5" s="2" t="inlineStr">
        <is>
          <t>07:45 AM</t>
        </is>
      </c>
      <c r="G5" s="2" t="inlineStr">
        <is>
          <t>08:00 AM</t>
        </is>
      </c>
      <c r="H5" s="2" t="n">
        <v>8</v>
      </c>
      <c r="I5" s="2" t="n">
        <v>0</v>
      </c>
      <c r="J5" s="2">
        <f>IF(I5&gt;=Metrics!$B$4*Metrics!$B$3,1,0)</f>
        <v/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>
        <f>O5+P5</f>
        <v/>
      </c>
      <c r="R5" s="2">
        <f>K5-Q5</f>
        <v/>
      </c>
      <c r="S5" s="2">
        <f>ABS(R5)</f>
        <v/>
      </c>
      <c r="T5" s="2">
        <f>MIN(K5,Q5)</f>
        <v/>
      </c>
      <c r="U5" s="2">
        <f>IF(J5=0,"partial",IF(S5&gt;Metrics!$B$5,"CHECK","ok"))</f>
        <v/>
      </c>
      <c r="V5" s="2" t="n">
        <v>0</v>
      </c>
      <c r="W5" s="2" t="n">
        <v>0</v>
      </c>
      <c r="X5" s="2">
        <f>V5-W5</f>
        <v/>
      </c>
      <c r="Y5" s="2" t="n">
        <v>0</v>
      </c>
    </row>
  </sheetData>
  <autoFilter ref="A1:Y5"/>
  <conditionalFormatting sqref="A2:Y5">
    <cfRule type="expression" priority="1" dxfId="0">
      <formula>$U2="CHECK"</formula>
    </cfRule>
    <cfRule type="expression" priority="2" dxfId="1">
      <formula>$U2="partial"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4" customWidth="1" min="10" max="10"/>
    <col width="11" customWidth="1" min="11" max="11"/>
  </cols>
  <sheetData>
    <row r="1" ht="32" customHeight="1">
      <c r="A1" s="1" t="inlineStr">
        <is>
          <t>Chunk #</t>
        </is>
      </c>
      <c r="B1" s="1" t="inlineStr">
        <is>
          <t>Video file</t>
        </is>
      </c>
      <c r="C1" s="1" t="inlineStr">
        <is>
          <t>Hour start</t>
        </is>
      </c>
      <c r="D1" s="1" t="inlineStr">
        <is>
          <t>Bins included</t>
        </is>
      </c>
      <c r="E1" s="1" t="inlineStr">
        <is>
          <t>AI bicyclists</t>
        </is>
      </c>
      <c r="F1" s="1" t="inlineStr">
        <is>
          <t>GT bicyclists</t>
        </is>
      </c>
      <c r="G1" s="1" t="inlineStr">
        <is>
          <t>Diff (AI-GT)</t>
        </is>
      </c>
      <c r="H1" s="1" t="inlineStr">
        <is>
          <t>AI pedestrians</t>
        </is>
      </c>
      <c r="I1" s="1" t="inlineStr">
        <is>
          <t>GT pedestrians</t>
        </is>
      </c>
      <c r="J1" s="1" t="inlineStr">
        <is>
          <t>Diff pedestrians</t>
        </is>
      </c>
      <c r="K1" s="1" t="inlineStr">
        <is>
          <t>AI vehicles</t>
        </is>
      </c>
    </row>
    <row r="2">
      <c r="A2" s="2" t="n">
        <v>8</v>
      </c>
      <c r="B2" s="2" t="inlineStr">
        <is>
          <t>Standard_SCU8OG_2019-07-10_0000.008.mp4</t>
        </is>
      </c>
      <c r="C2" s="2" t="inlineStr">
        <is>
          <t>2019-07-10 07:00 AM</t>
        </is>
      </c>
      <c r="D2" s="2">
        <f>SUMPRODUCT((Per_15min!$H$2:$H$5=A2)*Per_15min!$J$2:$J$5)</f>
        <v/>
      </c>
      <c r="E2" s="2">
        <f>SUMPRODUCT((Per_15min!$H$2:$H$5=A2)*Per_15min!$J$2:$J$5*Per_15min!$K$2:$K$5)</f>
        <v/>
      </c>
      <c r="F2" s="2">
        <f>SUMPRODUCT((Per_15min!$H$2:$H$5=A2)*Per_15min!$J$2:$J$5*Per_15min!$Q$2:$Q$5)</f>
        <v/>
      </c>
      <c r="G2" s="2">
        <f>E2-F2</f>
        <v/>
      </c>
      <c r="H2" s="2">
        <f>SUMPRODUCT((Per_15min!$H$2:$H$5=A2)*Per_15min!$J$2:$J$5*Per_15min!$V$2:$V$5)</f>
        <v/>
      </c>
      <c r="I2" s="2">
        <f>SUMPRODUCT((Per_15min!$H$2:$H$5=A2)*Per_15min!$J$2:$J$5*Per_15min!$W$2:$W$5)</f>
        <v/>
      </c>
      <c r="J2" s="2">
        <f>H2-I2</f>
        <v/>
      </c>
      <c r="K2" s="2">
        <f>SUMPRODUCT((Per_15min!$H$2:$H$5=A2)*Per_15min!$J$2:$J$5*Per_15min!$Y$2:$Y$5)</f>
        <v/>
      </c>
    </row>
    <row r="3">
      <c r="A3" s="3" t="inlineStr">
        <is>
          <t>Total</t>
        </is>
      </c>
      <c r="B3" s="3" t="inlineStr"/>
      <c r="C3" s="3" t="inlineStr"/>
      <c r="D3" s="3">
        <f>SUM(D2:D2)</f>
        <v/>
      </c>
      <c r="E3" s="3">
        <f>SUM(E2:E2)</f>
        <v/>
      </c>
      <c r="F3" s="3">
        <f>SUM(F2:F2)</f>
        <v/>
      </c>
      <c r="G3" s="3">
        <f>SUM(G2:G2)</f>
        <v/>
      </c>
      <c r="H3" s="3">
        <f>SUM(H2:H2)</f>
        <v/>
      </c>
      <c r="I3" s="3">
        <f>SUM(I2:I2)</f>
        <v/>
      </c>
      <c r="J3" s="3">
        <f>SUM(J2:J2)</f>
        <v/>
      </c>
      <c r="K3" s="3">
        <f>SUM(K2:K2)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70" customWidth="1" min="3" max="3"/>
  </cols>
  <sheetData>
    <row r="1">
      <c r="A1" s="4" t="inlineStr">
        <is>
          <t>Validation metrics - Colonial North - run smoke1</t>
        </is>
      </c>
    </row>
    <row r="2">
      <c r="A2" s="5" t="inlineStr">
        <is>
          <t>Blue/yellow cells are inputs; everything else is a formula over Per_15min (only rows with Include = 1).</t>
        </is>
      </c>
    </row>
    <row r="3">
      <c r="A3" s="2" t="inlineStr">
        <is>
          <t>Bin length (seconds)</t>
        </is>
      </c>
      <c r="B3" s="6" t="n">
        <v>900</v>
      </c>
      <c r="C3" s="5" t="inlineStr">
        <is>
          <t>GT is counted in 15-minute bins</t>
        </is>
      </c>
    </row>
    <row r="4">
      <c r="A4" s="2" t="inlineStr">
        <is>
          <t>Min coverage of a bin to include it</t>
        </is>
      </c>
      <c r="B4" s="6" t="n">
        <v>0.98</v>
      </c>
      <c r="C4" s="5" t="inlineStr">
        <is>
          <t>bins processed for &lt; 98% of their length (e.g. a smoke test) are excluded</t>
        </is>
      </c>
    </row>
    <row r="5">
      <c r="A5" s="2" t="inlineStr">
        <is>
          <t>Flag a bin if |AI - GT| bicyclists exceeds</t>
        </is>
      </c>
      <c r="B5" s="6" t="n">
        <v>2</v>
      </c>
      <c r="C5" s="5" t="inlineStr">
        <is>
          <t>tolerance for the CHECK flag; a judgement call, edit freely</t>
        </is>
      </c>
    </row>
    <row r="7">
      <c r="A7" s="3" t="inlineStr">
        <is>
          <t>BICYCLISTS (bike lane + sidewalk, per 15-min bin)</t>
        </is>
      </c>
    </row>
    <row r="8">
      <c r="A8" s="2" t="inlineStr">
        <is>
          <t>Bins evaluated</t>
        </is>
      </c>
      <c r="B8" s="7">
        <f>SUM(Per_15min!$J$2:$J$5)</f>
        <v/>
      </c>
    </row>
    <row r="9">
      <c r="A9" s="2" t="inlineStr">
        <is>
          <t>Total AI</t>
        </is>
      </c>
      <c r="B9" s="7">
        <f>SUMPRODUCT(Per_15min!$J$2:$J$5,Per_15min!$K$2:$K$5)</f>
        <v/>
      </c>
    </row>
    <row r="10">
      <c r="A10" s="2" t="inlineStr">
        <is>
          <t>Total GT</t>
        </is>
      </c>
      <c r="B10" s="7">
        <f>SUMPRODUCT(Per_15min!$J$2:$J$5,Per_15min!$Q$2:$Q$5)</f>
        <v/>
      </c>
    </row>
    <row r="11">
      <c r="A11" s="2" t="inlineStr">
        <is>
          <t>Bias: mean (AI - GT) per bin  (+ = overcount)</t>
        </is>
      </c>
      <c r="B11" s="8">
        <f>IF(B8=0,"",SUMPRODUCT(Per_15min!$J$2:$J$5,Per_15min!$R$2:$R$5)/B8)</f>
        <v/>
      </c>
    </row>
    <row r="12">
      <c r="A12" s="2" t="inlineStr">
        <is>
          <t>MAE: mean |AI - GT| per bin</t>
        </is>
      </c>
      <c r="B12" s="8">
        <f>IF(B8=0,"",SUMPRODUCT(Per_15min!$J$2:$J$5,Per_15min!$S$2:$S$5)/B8)</f>
        <v/>
      </c>
    </row>
    <row r="13">
      <c r="A13" s="2" t="inlineStr">
        <is>
          <t>RMSE per bin</t>
        </is>
      </c>
      <c r="B13" s="8">
        <f>IF(B8=0,"",SQRT(SUMPRODUCT(Per_15min!$J$2:$J$5,Per_15min!$R$2:$R$5,Per_15min!$R$2:$R$5)/B8))</f>
        <v/>
      </c>
    </row>
    <row r="14">
      <c r="A14" s="2" t="inlineStr">
        <is>
          <t>WAPE: sum|err| / sum GT</t>
        </is>
      </c>
      <c r="B14" s="9">
        <f>IF(B10=0,"",SUMPRODUCT(Per_15min!$J$2:$J$5,Per_15min!$S$2:$S$5)/B10)</f>
        <v/>
      </c>
    </row>
    <row r="15">
      <c r="A15" s="2" t="inlineStr">
        <is>
          <t>Share of bins within +-1</t>
        </is>
      </c>
      <c r="B15" s="9">
        <f>IF(B8=0,"",SUMPRODUCT(Per_15min!$J$2:$J$5,--(Per_15min!$S$2:$S$5&lt;=1))/B8)</f>
        <v/>
      </c>
    </row>
    <row r="16">
      <c r="A16" s="2" t="inlineStr">
        <is>
          <t>Share of bins within +-2</t>
        </is>
      </c>
      <c r="B16" s="9">
        <f>IF(B8=0,"",SUMPRODUCT(Per_15min!$J$2:$J$5,--(Per_15min!$S$2:$S$5&lt;=2))/B8)</f>
        <v/>
      </c>
    </row>
    <row r="17">
      <c r="A17" s="2" t="inlineStr">
        <is>
          <t>Pearson r (AI vs GT per bin)</t>
        </is>
      </c>
      <c r="B17" s="8">
        <f>IFERROR((B8*SUMPRODUCT(Per_15min!$J$2:$J$5,Per_15min!$K$2:$K$5,Per_15min!$Q$2:$Q$5)-B9*B10)/SQRT((B8*SUMPRODUCT(Per_15min!$J$2:$J$5,Per_15min!$K$2:$K$5,Per_15min!$K$2:$K$5)-B9^2)*(B8*SUMPRODUCT(Per_15min!$J$2:$J$5,Per_15min!$Q$2:$Q$5,Per_15min!$Q$2:$Q$5)-B10^2)),"n/a")</f>
        <v/>
      </c>
    </row>
    <row r="18">
      <c r="A18" s="2" t="inlineStr">
        <is>
          <t>Count-matched precision (approx.) = sum MIN(AI,GT) / sum AI</t>
        </is>
      </c>
      <c r="B18" s="9">
        <f>IF(B9=0,"",SUMPRODUCT(Per_15min!$J$2:$J$5,Per_15min!$T$2:$T$5)/B9)</f>
        <v/>
      </c>
    </row>
    <row r="19">
      <c r="A19" s="2" t="inlineStr">
        <is>
          <t>Count-matched recall (approx.) = sum MIN(AI,GT) / sum GT</t>
        </is>
      </c>
      <c r="B19" s="9">
        <f>IF(B10=0,"",SUMPRODUCT(Per_15min!$J$2:$J$5,Per_15min!$T$2:$T$5)/B10)</f>
        <v/>
      </c>
    </row>
    <row r="20">
      <c r="A20" s="2" t="inlineStr">
        <is>
          <t>Count-matched F1 (approx.)</t>
        </is>
      </c>
      <c r="B20" s="9">
        <f>IFERROR(2*B18*B19/(B18+B19),"")</f>
        <v/>
      </c>
    </row>
    <row r="21">
      <c r="A21" s="5" t="inlineStr">
        <is>
          <t>Note: there is no per-person ground truth, so precision/recall are count-based approximations (a missed rider in one bin cancelling a false rider in the same bin is not detected). Use the annotated clips for true error types.</t>
        </is>
      </c>
    </row>
    <row r="23">
      <c r="A23" s="3" t="inlineStr">
        <is>
          <t>PEDESTRIANS (North channels; reported, not the main target)</t>
        </is>
      </c>
    </row>
    <row r="24">
      <c r="A24" s="2" t="inlineStr">
        <is>
          <t>Total AI</t>
        </is>
      </c>
      <c r="B24" s="7">
        <f>SUMPRODUCT(Per_15min!$J$2:$J$5,Per_15min!$V$2:$V$5)</f>
        <v/>
      </c>
    </row>
    <row r="25">
      <c r="A25" s="2" t="inlineStr">
        <is>
          <t>Total GT</t>
        </is>
      </c>
      <c r="B25" s="7">
        <f>SUMPRODUCT(Per_15min!$J$2:$J$5,Per_15min!$W$2:$W$5)</f>
        <v/>
      </c>
    </row>
    <row r="26">
      <c r="A26" s="2" t="inlineStr">
        <is>
          <t>Bias: mean (AI - GT) per bin</t>
        </is>
      </c>
      <c r="B26" s="8">
        <f>IF(B8=0,"",SUMPRODUCT(Per_15min!$J$2:$J$5,Per_15min!$X$2:$X$5)/B8)</f>
        <v/>
      </c>
    </row>
    <row r="27">
      <c r="A27" s="2" t="inlineStr">
        <is>
          <t>MAE per bin</t>
        </is>
      </c>
      <c r="B27" s="8">
        <f>IF(B8=0,"",SUMPRODUCT(Per_15min!$J$2:$J$5,ABS(Per_15min!$X$2:$X$5))/B8)</f>
        <v/>
      </c>
    </row>
    <row r="28">
      <c r="A28" s="3" t="inlineStr">
        <is>
          <t>BIKE LANE vs SIDEWALK split (needs a zones file; 0 AI = zones not set)</t>
        </is>
      </c>
    </row>
    <row r="29">
      <c r="A29" s="2" t="inlineStr">
        <is>
          <t>AI bicyclists bike lane</t>
        </is>
      </c>
      <c r="B29" s="7">
        <f>SUMPRODUCT(Per_15min!$J$2:$J$5,Per_15min!$L$2:$L$5)</f>
        <v/>
      </c>
    </row>
    <row r="30">
      <c r="A30" s="2" t="inlineStr">
        <is>
          <t>GT bicyclists bike lane</t>
        </is>
      </c>
      <c r="B30" s="7">
        <f>SUMPRODUCT(Per_15min!$J$2:$J$5,Per_15min!$O$2:$O$5)</f>
        <v/>
      </c>
    </row>
    <row r="31">
      <c r="A31" s="2" t="inlineStr">
        <is>
          <t>AI bicyclists sidewalk</t>
        </is>
      </c>
      <c r="B31" s="7">
        <f>SUMPRODUCT(Per_15min!$J$2:$J$5,Per_15min!$M$2:$M$5)</f>
        <v/>
      </c>
    </row>
    <row r="32">
      <c r="A32" s="2" t="inlineStr">
        <is>
          <t>GT bicyclists sidewalk</t>
        </is>
      </c>
      <c r="B32" s="7">
        <f>SUMPRODUCT(Per_15min!$J$2:$J$5,Per_15min!$P$2:$P$5)</f>
        <v/>
      </c>
    </row>
    <row r="33">
      <c r="A33" s="2" t="inlineStr">
        <is>
          <t>AI bicyclists unassigned (no zone)</t>
        </is>
      </c>
      <c r="B33" s="7">
        <f>SUMPRODUCT(Per_15min!$J$2:$J$5,Per_15min!$N$2:$N$5)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s="10" t="inlineStr">
        <is>
          <t>RUN SUMMARY</t>
        </is>
      </c>
    </row>
    <row r="2">
      <c r="A2" s="2" t="inlineStr">
        <is>
          <t>Run name</t>
        </is>
      </c>
      <c r="B2" s="11" t="inlineStr">
        <is>
          <t>smoke1</t>
        </is>
      </c>
    </row>
    <row r="3">
      <c r="A3" s="2" t="inlineStr">
        <is>
          <t>Site / location</t>
        </is>
      </c>
      <c r="B3" s="11" t="inlineStr">
        <is>
          <t>Colonial North - Colonial - BL Colonial camera (SCU8OG)</t>
        </is>
      </c>
    </row>
    <row r="4">
      <c r="A4" s="2" t="inlineStr">
        <is>
          <t>Video session start (camera clock)</t>
        </is>
      </c>
      <c r="B4" s="11" t="inlineStr">
        <is>
          <t>2019-07-10 00:00:00 (chunk .001); verified from on-screen clock on .001 = 2019-07-10 12:00:00 AM, .008 = 7:00:01 AM, .025 = 2019-07-11 12:00:01 AM</t>
        </is>
      </c>
    </row>
    <row r="5">
      <c r="A5" s="2" t="inlineStr">
        <is>
          <t>Chunks processed</t>
        </is>
      </c>
      <c r="B5" s="11" t="inlineStr">
        <is>
          <t>1: [8]</t>
        </is>
      </c>
    </row>
    <row r="6">
      <c r="A6" s="2" t="inlineStr">
        <is>
          <t>Chunks expected</t>
        </is>
      </c>
      <c r="B6" s="11" t="inlineStr">
        <is>
          <t>1 (8); missing: none</t>
        </is>
      </c>
    </row>
    <row r="7">
      <c r="A7" s="2" t="inlineStr">
        <is>
          <t>Videos merged</t>
        </is>
      </c>
      <c r="B7" s="11" t="inlineStr">
        <is>
          <t>0 - each hourly mp4 is processed on its own and the results are joined by clock time; a rider crossing an hour boundary is split across two chunks (rare)</t>
        </is>
      </c>
    </row>
    <row r="8">
      <c r="A8" s="2" t="inlineStr">
        <is>
          <t>Total video duration processed</t>
        </is>
      </c>
      <c r="B8" s="11" t="inlineStr">
        <is>
          <t>0.03 h</t>
        </is>
      </c>
    </row>
    <row r="9">
      <c r="A9" s="2" t="inlineStr">
        <is>
          <t>15-min bins in workbook</t>
        </is>
      </c>
      <c r="B9" s="11" t="inlineStr">
        <is>
          <t>4 (0 evaluated, 4 partial/excluded)</t>
        </is>
      </c>
    </row>
    <row r="10">
      <c r="A10" s="2" t="inlineStr">
        <is>
          <t>Ground truth file</t>
        </is>
      </c>
      <c r="B10" s="11" t="inlineStr">
        <is>
          <t>/orange/xiangyan/rithika/vision/vision3/best/test_colonial/ground_truth/Colonial_North_676806_07-10-2019.xls</t>
        </is>
      </c>
    </row>
    <row r="11">
      <c r="A11" s="2" t="inlineStr">
        <is>
          <t>Weights</t>
        </is>
      </c>
      <c r="B11" s="11" t="inlineStr">
        <is>
          <t>/orange/xiangyan/rithika/vision/vision3/runs/detect/finetune_runs/rtdetr_v3/weights/best.pt</t>
        </is>
      </c>
    </row>
    <row r="12">
      <c r="A12" s="2" t="inlineStr">
        <is>
          <t>Total runtime (sum over chunks)</t>
        </is>
      </c>
      <c r="B12" s="11" t="inlineStr">
        <is>
          <t>4.5 min</t>
        </is>
      </c>
    </row>
    <row r="14">
      <c r="A14" s="10" t="inlineStr">
        <is>
          <t>CHECKS</t>
        </is>
      </c>
    </row>
    <row r="15">
      <c r="A15" s="2" t="inlineStr">
        <is>
          <t>check 1</t>
        </is>
      </c>
      <c r="B15" s="11" t="inlineStr">
        <is>
          <t>Bicycles channels used: ['North Bike Lane', 'North Sidewalk', 'North Bike Lane', 'North Sidewalk'] -&gt; bike-lane cols [1, 3], sidewalk cols [2, 4]</t>
        </is>
      </c>
    </row>
    <row r="16">
      <c r="A16" s="2" t="inlineStr">
        <is>
          <t>check 2</t>
        </is>
      </c>
      <c r="B16" s="11" t="inlineStr">
        <is>
          <t>Bin labels are consecutive 15-min steps starting 12:00 AM: YES</t>
        </is>
      </c>
    </row>
    <row r="17">
      <c r="A17" s="2" t="inlineStr">
        <is>
          <t>check 3</t>
        </is>
      </c>
      <c r="B17" s="11" t="inlineStr">
        <is>
          <t>GT bicyclists, all 192 bins of the .xls (48 h): 89</t>
        </is>
      </c>
    </row>
    <row r="18">
      <c r="A18" s="2" t="inlineStr">
        <is>
          <t>check 4</t>
        </is>
      </c>
      <c r="B18" s="11" t="inlineStr">
        <is>
          <t>GT CSV total for Colonial North: 89 -&gt; MATCHES .xls</t>
        </is>
      </c>
    </row>
    <row r="19">
      <c r="A19" s="2" t="inlineStr">
        <is>
          <t>check 5</t>
        </is>
      </c>
      <c r="B19" s="11" t="inlineStr">
        <is>
          <t>video_site_mapping: folder=BL Colonial, gt_cyclist_count=89, n_mp4_chunks=48 -&gt; GT is a 89-count over 48 h of bins; chunk count consistent with the 192 GT bins</t>
        </is>
      </c>
    </row>
    <row r="21">
      <c r="A21" s="10" t="inlineStr">
        <is>
          <t>WARNINGS</t>
        </is>
      </c>
    </row>
    <row r="22">
      <c r="A22" s="2" t="inlineStr">
        <is>
          <t>warning 1</t>
        </is>
      </c>
      <c r="B22" s="11" t="inlineStr">
        <is>
          <t>chunk 8: PARTIAL run (start-frame/max-frames used), 120 s processed</t>
        </is>
      </c>
    </row>
    <row r="24">
      <c r="A24" s="10" t="inlineStr">
        <is>
          <t>CHUNK 008  Standard_SCU8OG_2019-07-10_0000.008.mp4</t>
        </is>
      </c>
    </row>
    <row r="25">
      <c r="A25" s="2" t="inlineStr">
        <is>
          <t>clip start (clock)</t>
        </is>
      </c>
      <c r="B25" s="11" t="inlineStr">
        <is>
          <t>2019-07-10 07:00:00</t>
        </is>
      </c>
    </row>
    <row r="26">
      <c r="A26" s="2" t="inlineStr">
        <is>
          <t>duration container / processed (s)</t>
        </is>
      </c>
      <c r="B26" s="11" t="inlineStr">
        <is>
          <t>3599.53 / 120.12</t>
        </is>
      </c>
    </row>
    <row r="27">
      <c r="A27" s="2" t="inlineStr">
        <is>
          <t>frames processed / header</t>
        </is>
      </c>
      <c r="B27" s="11" t="inlineStr">
        <is>
          <t>3600 / 107878  (fps 29.97, 720x480)</t>
        </is>
      </c>
    </row>
    <row r="28">
      <c r="A28" s="2" t="inlineStr">
        <is>
          <t>final counts (AI)</t>
        </is>
      </c>
      <c r="B28" s="11" t="inlineStr">
        <is>
          <t>bicyclists 0, pedestrians 0, vehicles 26</t>
        </is>
      </c>
    </row>
    <row r="29">
      <c r="A29" s="2" t="inlineStr">
        <is>
          <t>params</t>
        </is>
      </c>
      <c r="B29" s="11" t="inlineStr">
        <is>
          <t>imgsz 1280, det_conf 0.25, track_thr 0.25, person_min_sec 3.0, stride 3, zones None</t>
        </is>
      </c>
    </row>
    <row r="30">
      <c r="A30" s="2" t="inlineStr">
        <is>
          <t>runtime / device</t>
        </is>
      </c>
      <c r="B30" s="11" t="inlineStr">
        <is>
          <t>271.5 s / cuda</t>
        </is>
      </c>
    </row>
    <row r="31">
      <c r="A31" s="2" t="inlineStr">
        <is>
          <t>annotated clips</t>
        </is>
      </c>
      <c r="B31" s="11" t="inlineStr">
        <is>
          <t>annotated/smoke1/Standard_SCU8OG_2019-07-10_0000.008/Standard_SCU8OG_2019-07-10_0000.008_20190710_0700-0715.mp4</t>
        </is>
      </c>
    </row>
    <row r="32">
      <c r="A32" s="2" t="inlineStr">
        <is>
          <t>finished</t>
        </is>
      </c>
      <c r="B32" s="11" t="inlineStr">
        <is>
          <t>2026-10-02T17:20:44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2026-10-02T21:35:21Z</dcterms:created>
  <dcterms:modified xsi:type="dcterms:W3CDTF">2026-10-02T21:35:21Z</dcterms:modified>
</cp:coreProperties>
</file>