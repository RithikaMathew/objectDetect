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15min" sheetId="1" state="visible" r:id="rId1"/>
    <sheet name="Per_hour" sheetId="2" state="visible" r:id="rId2"/>
    <sheet name="Metrics" sheetId="3" state="visible" r:id="rId3"/>
    <sheet name="Tracks" sheetId="4" state="visible" r:id="rId4"/>
    <sheet name="Run_Log" sheetId="5" state="visible" r:id="rId5"/>
  </sheets>
  <definedNames>
    <definedName name="_xlnm._FilterDatabase" localSheetId="0" hidden="1">'Per_15min'!$A$1:$Y$13</definedName>
    <definedName name="_xlnm._FilterDatabase" localSheetId="3" hidden="1">'Tracks'!$A$1:$R$14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1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30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9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8" customWidth="1" min="19" max="19"/>
    <col width="11" customWidth="1" min="20" max="20"/>
    <col width="9" customWidth="1" min="21" max="21"/>
    <col width="11" customWidth="1" min="22" max="22"/>
    <col width="11" customWidth="1" min="23" max="23"/>
    <col width="12" customWidth="1" min="24" max="24"/>
    <col width="10" customWidth="1" min="25" max="25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Location / camera</t>
        </is>
      </c>
      <c r="E1" s="1" t="inlineStr">
        <is>
          <t>Date</t>
        </is>
      </c>
      <c r="F1" s="1" t="inlineStr">
        <is>
          <t>Bin start</t>
        </is>
      </c>
      <c r="G1" s="1" t="inlineStr">
        <is>
          <t>Bin end</t>
        </is>
      </c>
      <c r="H1" s="1" t="inlineStr">
        <is>
          <t>Chunk #</t>
        </is>
      </c>
      <c r="I1" s="1" t="inlineStr">
        <is>
          <t>Seconds processed</t>
        </is>
      </c>
      <c r="J1" s="1" t="inlineStr">
        <is>
          <t>Include (1/0)</t>
        </is>
      </c>
      <c r="K1" s="1" t="inlineStr">
        <is>
          <t>AI bicyclists (total)</t>
        </is>
      </c>
      <c r="L1" s="1" t="inlineStr">
        <is>
          <t>AI bicyclists bike lane</t>
        </is>
      </c>
      <c r="M1" s="1" t="inlineStr">
        <is>
          <t>AI bicyclists sidewalk</t>
        </is>
      </c>
      <c r="N1" s="1" t="inlineStr">
        <is>
          <t>AI bicyclists unassigned</t>
        </is>
      </c>
      <c r="O1" s="1" t="inlineStr">
        <is>
          <t>GT bicyclists bike lane</t>
        </is>
      </c>
      <c r="P1" s="1" t="inlineStr">
        <is>
          <t>GT bicyclists sidewalk</t>
        </is>
      </c>
      <c r="Q1" s="1" t="inlineStr">
        <is>
          <t>GT bicyclists (total)</t>
        </is>
      </c>
      <c r="R1" s="1" t="inlineStr">
        <is>
          <t>Diff bicyclists (AI-GT)</t>
        </is>
      </c>
      <c r="S1" s="1" t="inlineStr">
        <is>
          <t>Abs diff</t>
        </is>
      </c>
      <c r="T1" s="1" t="inlineStr">
        <is>
          <t>Matched = MIN(AI,GT)</t>
        </is>
      </c>
      <c r="U1" s="1" t="inlineStr">
        <is>
          <t>Flag</t>
        </is>
      </c>
      <c r="V1" s="1" t="inlineStr">
        <is>
          <t>AI pedestrians</t>
        </is>
      </c>
      <c r="W1" s="1" t="inlineStr">
        <is>
          <t>GT pedestrians</t>
        </is>
      </c>
      <c r="X1" s="1" t="inlineStr">
        <is>
          <t>Diff pedestrians (AI-GT)</t>
        </is>
      </c>
      <c r="Y1" s="1" t="inlineStr">
        <is>
          <t>AI vehicles</t>
        </is>
      </c>
    </row>
    <row r="2">
      <c r="A2" s="2" t="inlineStr">
        <is>
          <t>Standard_SCU8OG_2019-07-10_0000.013.mp4</t>
        </is>
      </c>
      <c r="B2" s="2" t="inlineStr">
        <is>
          <t>annotated/colonial_run5/Standard_SCU8OG_2019-07-10_0000.013/Standard_SCU8OG_2019-07-10_0000.013_20190710_1200-1215.mp4</t>
        </is>
      </c>
      <c r="C2" s="2" t="inlineStr">
        <is>
          <t>Colonial North</t>
        </is>
      </c>
      <c r="D2" s="2" t="inlineStr">
        <is>
          <t>Colonial - BL Colonial camera (SCU8OG)</t>
        </is>
      </c>
      <c r="E2" s="2" t="inlineStr">
        <is>
          <t>2019-07-10</t>
        </is>
      </c>
      <c r="F2" s="2" t="inlineStr">
        <is>
          <t>12:00 PM</t>
        </is>
      </c>
      <c r="G2" s="2" t="inlineStr">
        <is>
          <t>12:15 PM</t>
        </is>
      </c>
      <c r="H2" s="2" t="n">
        <v>13</v>
      </c>
      <c r="I2" s="2" t="n">
        <v>900</v>
      </c>
      <c r="J2" s="2">
        <f>IF(I2&gt;=Metrics!$B$4*Metrics!$B$3,1,0)</f>
        <v/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>
        <f>O2+P2</f>
        <v/>
      </c>
      <c r="R2" s="2">
        <f>K2-Q2</f>
        <v/>
      </c>
      <c r="S2" s="2">
        <f>ABS(R2)</f>
        <v/>
      </c>
      <c r="T2" s="2">
        <f>MIN(K2,Q2)</f>
        <v/>
      </c>
      <c r="U2" s="2">
        <f>IF(J2=0,"partial",IF(S2&gt;Metrics!$B$5,"CHECK","ok"))</f>
        <v/>
      </c>
      <c r="V2" s="2" t="n">
        <v>0</v>
      </c>
      <c r="W2" s="2" t="n">
        <v>0</v>
      </c>
      <c r="X2" s="2">
        <f>V2-W2</f>
        <v/>
      </c>
      <c r="Y2" s="2" t="n">
        <v>618</v>
      </c>
    </row>
    <row r="3">
      <c r="A3" s="2" t="inlineStr">
        <is>
          <t>Standard_SCU8OG_2019-07-10_0000.013.mp4</t>
        </is>
      </c>
      <c r="B3" s="2" t="inlineStr">
        <is>
          <t>annotated/colonial_run5/Standard_SCU8OG_2019-07-10_0000.013/Standard_SCU8OG_2019-07-10_0000.013_20190710_1215-1230.mp4</t>
        </is>
      </c>
      <c r="C3" s="2" t="inlineStr">
        <is>
          <t>Colonial North</t>
        </is>
      </c>
      <c r="D3" s="2" t="inlineStr">
        <is>
          <t>Colonial - BL Colonial camera (SCU8OG)</t>
        </is>
      </c>
      <c r="E3" s="2" t="inlineStr">
        <is>
          <t>2019-07-10</t>
        </is>
      </c>
      <c r="F3" s="2" t="inlineStr">
        <is>
          <t>12:15 PM</t>
        </is>
      </c>
      <c r="G3" s="2" t="inlineStr">
        <is>
          <t>12:30 PM</t>
        </is>
      </c>
      <c r="H3" s="2" t="n">
        <v>13</v>
      </c>
      <c r="I3" s="2" t="n">
        <v>900</v>
      </c>
      <c r="J3" s="2">
        <f>IF(I3&gt;=Metrics!$B$4*Metrics!$B$3,1,0)</f>
        <v/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>
        <f>O3+P3</f>
        <v/>
      </c>
      <c r="R3" s="2">
        <f>K3-Q3</f>
        <v/>
      </c>
      <c r="S3" s="2">
        <f>ABS(R3)</f>
        <v/>
      </c>
      <c r="T3" s="2">
        <f>MIN(K3,Q3)</f>
        <v/>
      </c>
      <c r="U3" s="2">
        <f>IF(J3=0,"partial",IF(S3&gt;Metrics!$B$5,"CHECK","ok"))</f>
        <v/>
      </c>
      <c r="V3" s="2" t="n">
        <v>0</v>
      </c>
      <c r="W3" s="2" t="n">
        <v>0</v>
      </c>
      <c r="X3" s="2">
        <f>V3-W3</f>
        <v/>
      </c>
      <c r="Y3" s="2" t="n">
        <v>616</v>
      </c>
    </row>
    <row r="4">
      <c r="A4" s="2" t="inlineStr">
        <is>
          <t>Standard_SCU8OG_2019-07-10_0000.013.mp4</t>
        </is>
      </c>
      <c r="B4" s="2" t="inlineStr">
        <is>
          <t>annotated/colonial_run5/Standard_SCU8OG_2019-07-10_0000.013/Standard_SCU8OG_2019-07-10_0000.013_20190710_1230-1245.mp4</t>
        </is>
      </c>
      <c r="C4" s="2" t="inlineStr">
        <is>
          <t>Colonial North</t>
        </is>
      </c>
      <c r="D4" s="2" t="inlineStr">
        <is>
          <t>Colonial - BL Colonial camera (SCU8OG)</t>
        </is>
      </c>
      <c r="E4" s="2" t="inlineStr">
        <is>
          <t>2019-07-10</t>
        </is>
      </c>
      <c r="F4" s="2" t="inlineStr">
        <is>
          <t>12:30 PM</t>
        </is>
      </c>
      <c r="G4" s="2" t="inlineStr">
        <is>
          <t>12:45 PM</t>
        </is>
      </c>
      <c r="H4" s="2" t="n">
        <v>13</v>
      </c>
      <c r="I4" s="2" t="n">
        <v>900</v>
      </c>
      <c r="J4" s="2">
        <f>IF(I4&gt;=Metrics!$B$4*Metrics!$B$3,1,0)</f>
        <v/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>
        <f>O4+P4</f>
        <v/>
      </c>
      <c r="R4" s="2">
        <f>K4-Q4</f>
        <v/>
      </c>
      <c r="S4" s="2">
        <f>ABS(R4)</f>
        <v/>
      </c>
      <c r="T4" s="2">
        <f>MIN(K4,Q4)</f>
        <v/>
      </c>
      <c r="U4" s="2">
        <f>IF(J4=0,"partial",IF(S4&gt;Metrics!$B$5,"CHECK","ok"))</f>
        <v/>
      </c>
      <c r="V4" s="2" t="n">
        <v>0</v>
      </c>
      <c r="W4" s="2" t="n">
        <v>0</v>
      </c>
      <c r="X4" s="2">
        <f>V4-W4</f>
        <v/>
      </c>
      <c r="Y4" s="2" t="n">
        <v>522</v>
      </c>
    </row>
    <row r="5">
      <c r="A5" s="2" t="inlineStr">
        <is>
          <t>Standard_SCU8OG_2019-07-10_0000.013.mp4</t>
        </is>
      </c>
      <c r="B5" s="2" t="inlineStr">
        <is>
          <t>annotated/colonial_run5/Standard_SCU8OG_2019-07-10_0000.013/Standard_SCU8OG_2019-07-10_0000.013_20190710_1245-1300.mp4</t>
        </is>
      </c>
      <c r="C5" s="2" t="inlineStr">
        <is>
          <t>Colonial North</t>
        </is>
      </c>
      <c r="D5" s="2" t="inlineStr">
        <is>
          <t>Colonial - BL Colonial camera (SCU8OG)</t>
        </is>
      </c>
      <c r="E5" s="2" t="inlineStr">
        <is>
          <t>2019-07-10</t>
        </is>
      </c>
      <c r="F5" s="2" t="inlineStr">
        <is>
          <t>12:45 PM</t>
        </is>
      </c>
      <c r="G5" s="2" t="inlineStr">
        <is>
          <t>01:00 PM</t>
        </is>
      </c>
      <c r="H5" s="2" t="n">
        <v>13</v>
      </c>
      <c r="I5" s="2" t="n">
        <v>899</v>
      </c>
      <c r="J5" s="2">
        <f>IF(I5&gt;=Metrics!$B$4*Metrics!$B$3,1,0)</f>
        <v/>
      </c>
      <c r="K5" s="2" t="n">
        <v>4</v>
      </c>
      <c r="L5" s="2" t="n">
        <v>0</v>
      </c>
      <c r="M5" s="2" t="n">
        <v>0</v>
      </c>
      <c r="N5" s="2" t="n">
        <v>4</v>
      </c>
      <c r="O5" s="2" t="n">
        <v>2</v>
      </c>
      <c r="P5" s="2" t="n">
        <v>0</v>
      </c>
      <c r="Q5" s="2">
        <f>O5+P5</f>
        <v/>
      </c>
      <c r="R5" s="2">
        <f>K5-Q5</f>
        <v/>
      </c>
      <c r="S5" s="2">
        <f>ABS(R5)</f>
        <v/>
      </c>
      <c r="T5" s="2">
        <f>MIN(K5,Q5)</f>
        <v/>
      </c>
      <c r="U5" s="2">
        <f>IF(J5=0,"partial",IF(S5&gt;Metrics!$B$5,"CHECK","ok"))</f>
        <v/>
      </c>
      <c r="V5" s="2" t="n">
        <v>1</v>
      </c>
      <c r="W5" s="2" t="n">
        <v>2</v>
      </c>
      <c r="X5" s="2">
        <f>V5-W5</f>
        <v/>
      </c>
      <c r="Y5" s="2" t="n">
        <v>595</v>
      </c>
    </row>
    <row r="6">
      <c r="A6" s="2" t="inlineStr">
        <is>
          <t>Standard_SCU8OG_2019-07-10_0000.014.mp4</t>
        </is>
      </c>
      <c r="B6" s="2" t="inlineStr">
        <is>
          <t>annotated/colonial_run5/Standard_SCU8OG_2019-07-10_0000.014/Standard_SCU8OG_2019-07-10_0000.014_20190710_1300-1315.mp4</t>
        </is>
      </c>
      <c r="C6" s="2" t="inlineStr">
        <is>
          <t>Colonial North</t>
        </is>
      </c>
      <c r="D6" s="2" t="inlineStr">
        <is>
          <t>Colonial - BL Colonial camera (SCU8OG)</t>
        </is>
      </c>
      <c r="E6" s="2" t="inlineStr">
        <is>
          <t>2019-07-10</t>
        </is>
      </c>
      <c r="F6" s="2" t="inlineStr">
        <is>
          <t>01:00 PM</t>
        </is>
      </c>
      <c r="G6" s="2" t="inlineStr">
        <is>
          <t>01:15 PM</t>
        </is>
      </c>
      <c r="H6" s="2" t="n">
        <v>14</v>
      </c>
      <c r="I6" s="2" t="n">
        <v>900</v>
      </c>
      <c r="J6" s="2">
        <f>IF(I6&gt;=Metrics!$B$4*Metrics!$B$3,1,0)</f>
        <v/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>
        <f>O6+P6</f>
        <v/>
      </c>
      <c r="R6" s="2">
        <f>K6-Q6</f>
        <v/>
      </c>
      <c r="S6" s="2">
        <f>ABS(R6)</f>
        <v/>
      </c>
      <c r="T6" s="2">
        <f>MIN(K6,Q6)</f>
        <v/>
      </c>
      <c r="U6" s="2">
        <f>IF(J6=0,"partial",IF(S6&gt;Metrics!$B$5,"CHECK","ok"))</f>
        <v/>
      </c>
      <c r="V6" s="2" t="n">
        <v>1</v>
      </c>
      <c r="W6" s="2" t="n">
        <v>1</v>
      </c>
      <c r="X6" s="2">
        <f>V6-W6</f>
        <v/>
      </c>
      <c r="Y6" s="2" t="n">
        <v>606</v>
      </c>
    </row>
    <row r="7">
      <c r="A7" s="2" t="inlineStr">
        <is>
          <t>Standard_SCU8OG_2019-07-10_0000.014.mp4</t>
        </is>
      </c>
      <c r="B7" s="2" t="inlineStr">
        <is>
          <t>annotated/colonial_run5/Standard_SCU8OG_2019-07-10_0000.014/Standard_SCU8OG_2019-07-10_0000.014_20190710_1315-1330.mp4</t>
        </is>
      </c>
      <c r="C7" s="2" t="inlineStr">
        <is>
          <t>Colonial North</t>
        </is>
      </c>
      <c r="D7" s="2" t="inlineStr">
        <is>
          <t>Colonial - BL Colonial camera (SCU8OG)</t>
        </is>
      </c>
      <c r="E7" s="2" t="inlineStr">
        <is>
          <t>2019-07-10</t>
        </is>
      </c>
      <c r="F7" s="2" t="inlineStr">
        <is>
          <t>01:15 PM</t>
        </is>
      </c>
      <c r="G7" s="2" t="inlineStr">
        <is>
          <t>01:30 PM</t>
        </is>
      </c>
      <c r="H7" s="2" t="n">
        <v>14</v>
      </c>
      <c r="I7" s="2" t="n">
        <v>900</v>
      </c>
      <c r="J7" s="2">
        <f>IF(I7&gt;=Metrics!$B$4*Metrics!$B$3,1,0)</f>
        <v/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0</v>
      </c>
      <c r="Q7" s="2">
        <f>O7+P7</f>
        <v/>
      </c>
      <c r="R7" s="2">
        <f>K7-Q7</f>
        <v/>
      </c>
      <c r="S7" s="2">
        <f>ABS(R7)</f>
        <v/>
      </c>
      <c r="T7" s="2">
        <f>MIN(K7,Q7)</f>
        <v/>
      </c>
      <c r="U7" s="2">
        <f>IF(J7=0,"partial",IF(S7&gt;Metrics!$B$5,"CHECK","ok"))</f>
        <v/>
      </c>
      <c r="V7" s="2" t="n">
        <v>0</v>
      </c>
      <c r="W7" s="2" t="n">
        <v>3</v>
      </c>
      <c r="X7" s="2">
        <f>V7-W7</f>
        <v/>
      </c>
      <c r="Y7" s="2" t="n">
        <v>585</v>
      </c>
    </row>
    <row r="8">
      <c r="A8" s="2" t="inlineStr">
        <is>
          <t>Standard_SCU8OG_2019-07-10_0000.014.mp4</t>
        </is>
      </c>
      <c r="B8" s="2" t="inlineStr">
        <is>
          <t>annotated/colonial_run5/Standard_SCU8OG_2019-07-10_0000.014/Standard_SCU8OG_2019-07-10_0000.014_20190710_1330-1345.mp4</t>
        </is>
      </c>
      <c r="C8" s="2" t="inlineStr">
        <is>
          <t>Colonial North</t>
        </is>
      </c>
      <c r="D8" s="2" t="inlineStr">
        <is>
          <t>Colonial - BL Colonial camera (SCU8OG)</t>
        </is>
      </c>
      <c r="E8" s="2" t="inlineStr">
        <is>
          <t>2019-07-10</t>
        </is>
      </c>
      <c r="F8" s="2" t="inlineStr">
        <is>
          <t>01:30 PM</t>
        </is>
      </c>
      <c r="G8" s="2" t="inlineStr">
        <is>
          <t>01:45 PM</t>
        </is>
      </c>
      <c r="H8" s="2" t="n">
        <v>14</v>
      </c>
      <c r="I8" s="2" t="n">
        <v>900</v>
      </c>
      <c r="J8" s="2">
        <f>IF(I8&gt;=Metrics!$B$4*Metrics!$B$3,1,0)</f>
        <v/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</v>
      </c>
      <c r="Q8" s="2">
        <f>O8+P8</f>
        <v/>
      </c>
      <c r="R8" s="2">
        <f>K8-Q8</f>
        <v/>
      </c>
      <c r="S8" s="2">
        <f>ABS(R8)</f>
        <v/>
      </c>
      <c r="T8" s="2">
        <f>MIN(K8,Q8)</f>
        <v/>
      </c>
      <c r="U8" s="2">
        <f>IF(J8=0,"partial",IF(S8&gt;Metrics!$B$5,"CHECK","ok"))</f>
        <v/>
      </c>
      <c r="V8" s="2" t="n">
        <v>2</v>
      </c>
      <c r="W8" s="2" t="n">
        <v>1</v>
      </c>
      <c r="X8" s="2">
        <f>V8-W8</f>
        <v/>
      </c>
      <c r="Y8" s="2" t="n">
        <v>601</v>
      </c>
    </row>
    <row r="9">
      <c r="A9" s="2" t="inlineStr">
        <is>
          <t>Standard_SCU8OG_2019-07-10_0000.014.mp4</t>
        </is>
      </c>
      <c r="B9" s="2" t="inlineStr">
        <is>
          <t>annotated/colonial_run5/Standard_SCU8OG_2019-07-10_0000.014/Standard_SCU8OG_2019-07-10_0000.014_20190710_1345-1400.mp4</t>
        </is>
      </c>
      <c r="C9" s="2" t="inlineStr">
        <is>
          <t>Colonial North</t>
        </is>
      </c>
      <c r="D9" s="2" t="inlineStr">
        <is>
          <t>Colonial - BL Colonial camera (SCU8OG)</t>
        </is>
      </c>
      <c r="E9" s="2" t="inlineStr">
        <is>
          <t>2019-07-10</t>
        </is>
      </c>
      <c r="F9" s="2" t="inlineStr">
        <is>
          <t>01:45 PM</t>
        </is>
      </c>
      <c r="G9" s="2" t="inlineStr">
        <is>
          <t>02:00 PM</t>
        </is>
      </c>
      <c r="H9" s="2" t="n">
        <v>14</v>
      </c>
      <c r="I9" s="2" t="n">
        <v>898.5</v>
      </c>
      <c r="J9" s="2">
        <f>IF(I9&gt;=Metrics!$B$4*Metrics!$B$3,1,0)</f>
        <v/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</v>
      </c>
      <c r="Q9" s="2">
        <f>O9+P9</f>
        <v/>
      </c>
      <c r="R9" s="2">
        <f>K9-Q9</f>
        <v/>
      </c>
      <c r="S9" s="2">
        <f>ABS(R9)</f>
        <v/>
      </c>
      <c r="T9" s="2">
        <f>MIN(K9,Q9)</f>
        <v/>
      </c>
      <c r="U9" s="2">
        <f>IF(J9=0,"partial",IF(S9&gt;Metrics!$B$5,"CHECK","ok"))</f>
        <v/>
      </c>
      <c r="V9" s="2" t="n">
        <v>2</v>
      </c>
      <c r="W9" s="2" t="n">
        <v>1</v>
      </c>
      <c r="X9" s="2">
        <f>V9-W9</f>
        <v/>
      </c>
      <c r="Y9" s="2" t="n">
        <v>640</v>
      </c>
    </row>
    <row r="10">
      <c r="A10" s="2" t="inlineStr">
        <is>
          <t>Standard_SCU8OG_2019-07-10_0000.022.mp4</t>
        </is>
      </c>
      <c r="B10" s="2" t="inlineStr">
        <is>
          <t>annotated/colonial_run5/Standard_SCU8OG_2019-07-10_0000.022/Standard_SCU8OG_2019-07-10_0000.022_20190710_2100-2115.mp4</t>
        </is>
      </c>
      <c r="C10" s="2" t="inlineStr">
        <is>
          <t>Colonial North</t>
        </is>
      </c>
      <c r="D10" s="2" t="inlineStr">
        <is>
          <t>Colonial - BL Colonial camera (SCU8OG)</t>
        </is>
      </c>
      <c r="E10" s="2" t="inlineStr">
        <is>
          <t>2019-07-10</t>
        </is>
      </c>
      <c r="F10" s="2" t="inlineStr">
        <is>
          <t>09:00 PM</t>
        </is>
      </c>
      <c r="G10" s="2" t="inlineStr">
        <is>
          <t>09:15 PM</t>
        </is>
      </c>
      <c r="H10" s="2" t="n">
        <v>22</v>
      </c>
      <c r="I10" s="2" t="n">
        <v>900</v>
      </c>
      <c r="J10" s="2">
        <f>IF(I10&gt;=Metrics!$B$4*Metrics!$B$3,1,0)</f>
        <v/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>
        <f>O10+P10</f>
        <v/>
      </c>
      <c r="R10" s="2">
        <f>K10-Q10</f>
        <v/>
      </c>
      <c r="S10" s="2">
        <f>ABS(R10)</f>
        <v/>
      </c>
      <c r="T10" s="2">
        <f>MIN(K10,Q10)</f>
        <v/>
      </c>
      <c r="U10" s="2">
        <f>IF(J10=0,"partial",IF(S10&gt;Metrics!$B$5,"CHECK","ok"))</f>
        <v/>
      </c>
      <c r="V10" s="2" t="n">
        <v>0</v>
      </c>
      <c r="W10" s="2" t="n">
        <v>1</v>
      </c>
      <c r="X10" s="2">
        <f>V10-W10</f>
        <v/>
      </c>
      <c r="Y10" s="2" t="n">
        <v>255</v>
      </c>
    </row>
    <row r="11">
      <c r="A11" s="2" t="inlineStr">
        <is>
          <t>Standard_SCU8OG_2019-07-10_0000.022.mp4</t>
        </is>
      </c>
      <c r="B11" s="2" t="inlineStr">
        <is>
          <t>annotated/colonial_run5/Standard_SCU8OG_2019-07-10_0000.022/Standard_SCU8OG_2019-07-10_0000.022_20190710_2115-2130.mp4</t>
        </is>
      </c>
      <c r="C11" s="2" t="inlineStr">
        <is>
          <t>Colonial North</t>
        </is>
      </c>
      <c r="D11" s="2" t="inlineStr">
        <is>
          <t>Colonial - BL Colonial camera (SCU8OG)</t>
        </is>
      </c>
      <c r="E11" s="2" t="inlineStr">
        <is>
          <t>2019-07-10</t>
        </is>
      </c>
      <c r="F11" s="2" t="inlineStr">
        <is>
          <t>09:15 PM</t>
        </is>
      </c>
      <c r="G11" s="2" t="inlineStr">
        <is>
          <t>09:30 PM</t>
        </is>
      </c>
      <c r="H11" s="2" t="n">
        <v>22</v>
      </c>
      <c r="I11" s="2" t="n">
        <v>900</v>
      </c>
      <c r="J11" s="2">
        <f>IF(I11&gt;=Metrics!$B$4*Metrics!$B$3,1,0)</f>
        <v/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3</v>
      </c>
      <c r="Q11" s="2">
        <f>O11+P11</f>
        <v/>
      </c>
      <c r="R11" s="2">
        <f>K11-Q11</f>
        <v/>
      </c>
      <c r="S11" s="2">
        <f>ABS(R11)</f>
        <v/>
      </c>
      <c r="T11" s="2">
        <f>MIN(K11,Q11)</f>
        <v/>
      </c>
      <c r="U11" s="2">
        <f>IF(J11=0,"partial",IF(S11&gt;Metrics!$B$5,"CHECK","ok"))</f>
        <v/>
      </c>
      <c r="V11" s="2" t="n">
        <v>1</v>
      </c>
      <c r="W11" s="2" t="n">
        <v>2</v>
      </c>
      <c r="X11" s="2">
        <f>V11-W11</f>
        <v/>
      </c>
      <c r="Y11" s="2" t="n">
        <v>287</v>
      </c>
    </row>
    <row r="12">
      <c r="A12" s="2" t="inlineStr">
        <is>
          <t>Standard_SCU8OG_2019-07-10_0000.022.mp4</t>
        </is>
      </c>
      <c r="B12" s="2" t="inlineStr">
        <is>
          <t>annotated/colonial_run5/Standard_SCU8OG_2019-07-10_0000.022/Standard_SCU8OG_2019-07-10_0000.022_20190710_2130-2145.mp4</t>
        </is>
      </c>
      <c r="C12" s="2" t="inlineStr">
        <is>
          <t>Colonial North</t>
        </is>
      </c>
      <c r="D12" s="2" t="inlineStr">
        <is>
          <t>Colonial - BL Colonial camera (SCU8OG)</t>
        </is>
      </c>
      <c r="E12" s="2" t="inlineStr">
        <is>
          <t>2019-07-10</t>
        </is>
      </c>
      <c r="F12" s="2" t="inlineStr">
        <is>
          <t>09:30 PM</t>
        </is>
      </c>
      <c r="G12" s="2" t="inlineStr">
        <is>
          <t>09:45 PM</t>
        </is>
      </c>
      <c r="H12" s="2" t="n">
        <v>22</v>
      </c>
      <c r="I12" s="2" t="n">
        <v>900</v>
      </c>
      <c r="J12" s="2">
        <f>IF(I12&gt;=Metrics!$B$4*Metrics!$B$3,1,0)</f>
        <v/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>
        <f>O12+P12</f>
        <v/>
      </c>
      <c r="R12" s="2">
        <f>K12-Q12</f>
        <v/>
      </c>
      <c r="S12" s="2">
        <f>ABS(R12)</f>
        <v/>
      </c>
      <c r="T12" s="2">
        <f>MIN(K12,Q12)</f>
        <v/>
      </c>
      <c r="U12" s="2">
        <f>IF(J12=0,"partial",IF(S12&gt;Metrics!$B$5,"CHECK","ok"))</f>
        <v/>
      </c>
      <c r="V12" s="2" t="n">
        <v>0</v>
      </c>
      <c r="W12" s="2" t="n">
        <v>1</v>
      </c>
      <c r="X12" s="2">
        <f>V12-W12</f>
        <v/>
      </c>
      <c r="Y12" s="2" t="n">
        <v>285</v>
      </c>
    </row>
    <row r="13">
      <c r="A13" s="2" t="inlineStr">
        <is>
          <t>Standard_SCU8OG_2019-07-10_0000.022.mp4</t>
        </is>
      </c>
      <c r="B13" s="2" t="inlineStr">
        <is>
          <t>annotated/colonial_run5/Standard_SCU8OG_2019-07-10_0000.022/Standard_SCU8OG_2019-07-10_0000.022_20190710_2145-2200.mp4</t>
        </is>
      </c>
      <c r="C13" s="2" t="inlineStr">
        <is>
          <t>Colonial North</t>
        </is>
      </c>
      <c r="D13" s="2" t="inlineStr">
        <is>
          <t>Colonial - BL Colonial camera (SCU8OG)</t>
        </is>
      </c>
      <c r="E13" s="2" t="inlineStr">
        <is>
          <t>2019-07-10</t>
        </is>
      </c>
      <c r="F13" s="2" t="inlineStr">
        <is>
          <t>09:45 PM</t>
        </is>
      </c>
      <c r="G13" s="2" t="inlineStr">
        <is>
          <t>10:00 PM</t>
        </is>
      </c>
      <c r="H13" s="2" t="n">
        <v>22</v>
      </c>
      <c r="I13" s="2" t="n">
        <v>899.4</v>
      </c>
      <c r="J13" s="2">
        <f>IF(I13&gt;=Metrics!$B$4*Metrics!$B$3,1,0)</f>
        <v/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>
        <f>O13+P13</f>
        <v/>
      </c>
      <c r="R13" s="2">
        <f>K13-Q13</f>
        <v/>
      </c>
      <c r="S13" s="2">
        <f>ABS(R13)</f>
        <v/>
      </c>
      <c r="T13" s="2">
        <f>MIN(K13,Q13)</f>
        <v/>
      </c>
      <c r="U13" s="2">
        <f>IF(J13=0,"partial",IF(S13&gt;Metrics!$B$5,"CHECK","ok"))</f>
        <v/>
      </c>
      <c r="V13" s="2" t="n">
        <v>0</v>
      </c>
      <c r="W13" s="2" t="n">
        <v>3</v>
      </c>
      <c r="X13" s="2">
        <f>V13-W13</f>
        <v/>
      </c>
      <c r="Y13" s="2" t="n">
        <v>311</v>
      </c>
    </row>
  </sheetData>
  <autoFilter ref="A1:Y13"/>
  <conditionalFormatting sqref="A2:Y13">
    <cfRule type="expression" priority="1" dxfId="0">
      <formula>$U2="CHECK"</formula>
    </cfRule>
    <cfRule type="expression" priority="2" dxfId="1">
      <formula>$U2="partial"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4" customWidth="1" min="10" max="10"/>
    <col width="11" customWidth="1" min="11" max="11"/>
  </cols>
  <sheetData>
    <row r="1" ht="32" customHeight="1">
      <c r="A1" s="1" t="inlineStr">
        <is>
          <t>Chunk #</t>
        </is>
      </c>
      <c r="B1" s="1" t="inlineStr">
        <is>
          <t>Video file</t>
        </is>
      </c>
      <c r="C1" s="1" t="inlineStr">
        <is>
          <t>Hour start</t>
        </is>
      </c>
      <c r="D1" s="1" t="inlineStr">
        <is>
          <t>Bins included</t>
        </is>
      </c>
      <c r="E1" s="1" t="inlineStr">
        <is>
          <t>AI bicyclists</t>
        </is>
      </c>
      <c r="F1" s="1" t="inlineStr">
        <is>
          <t>GT bicyclists</t>
        </is>
      </c>
      <c r="G1" s="1" t="inlineStr">
        <is>
          <t>Diff (AI-GT)</t>
        </is>
      </c>
      <c r="H1" s="1" t="inlineStr">
        <is>
          <t>AI pedestrians</t>
        </is>
      </c>
      <c r="I1" s="1" t="inlineStr">
        <is>
          <t>GT pedestrians</t>
        </is>
      </c>
      <c r="J1" s="1" t="inlineStr">
        <is>
          <t>Diff pedestrians</t>
        </is>
      </c>
      <c r="K1" s="1" t="inlineStr">
        <is>
          <t>AI vehicles</t>
        </is>
      </c>
    </row>
    <row r="2">
      <c r="A2" s="2" t="n">
        <v>13</v>
      </c>
      <c r="B2" s="2" t="inlineStr">
        <is>
          <t>Standard_SCU8OG_2019-07-10_0000.013.mp4</t>
        </is>
      </c>
      <c r="C2" s="2" t="inlineStr">
        <is>
          <t>2019-07-10 12:00 PM</t>
        </is>
      </c>
      <c r="D2" s="2">
        <f>SUMPRODUCT((Per_15min!$H$2:$H$13=A2)*Per_15min!$J$2:$J$13)</f>
        <v/>
      </c>
      <c r="E2" s="2">
        <f>SUMPRODUCT((Per_15min!$H$2:$H$13=A2)*Per_15min!$J$2:$J$13*Per_15min!$K$2:$K$13)</f>
        <v/>
      </c>
      <c r="F2" s="2">
        <f>SUMPRODUCT((Per_15min!$H$2:$H$13=A2)*Per_15min!$J$2:$J$13*Per_15min!$Q$2:$Q$13)</f>
        <v/>
      </c>
      <c r="G2" s="2">
        <f>E2-F2</f>
        <v/>
      </c>
      <c r="H2" s="2">
        <f>SUMPRODUCT((Per_15min!$H$2:$H$13=A2)*Per_15min!$J$2:$J$13*Per_15min!$V$2:$V$13)</f>
        <v/>
      </c>
      <c r="I2" s="2">
        <f>SUMPRODUCT((Per_15min!$H$2:$H$13=A2)*Per_15min!$J$2:$J$13*Per_15min!$W$2:$W$13)</f>
        <v/>
      </c>
      <c r="J2" s="2">
        <f>H2-I2</f>
        <v/>
      </c>
      <c r="K2" s="2">
        <f>SUMPRODUCT((Per_15min!$H$2:$H$13=A2)*Per_15min!$J$2:$J$13*Per_15min!$Y$2:$Y$13)</f>
        <v/>
      </c>
    </row>
    <row r="3">
      <c r="A3" s="2" t="n">
        <v>14</v>
      </c>
      <c r="B3" s="2" t="inlineStr">
        <is>
          <t>Standard_SCU8OG_2019-07-10_0000.014.mp4</t>
        </is>
      </c>
      <c r="C3" s="2" t="inlineStr">
        <is>
          <t>2019-07-10 01:00 PM</t>
        </is>
      </c>
      <c r="D3" s="2">
        <f>SUMPRODUCT((Per_15min!$H$2:$H$13=A3)*Per_15min!$J$2:$J$13)</f>
        <v/>
      </c>
      <c r="E3" s="2">
        <f>SUMPRODUCT((Per_15min!$H$2:$H$13=A3)*Per_15min!$J$2:$J$13*Per_15min!$K$2:$K$13)</f>
        <v/>
      </c>
      <c r="F3" s="2">
        <f>SUMPRODUCT((Per_15min!$H$2:$H$13=A3)*Per_15min!$J$2:$J$13*Per_15min!$Q$2:$Q$13)</f>
        <v/>
      </c>
      <c r="G3" s="2">
        <f>E3-F3</f>
        <v/>
      </c>
      <c r="H3" s="2">
        <f>SUMPRODUCT((Per_15min!$H$2:$H$13=A3)*Per_15min!$J$2:$J$13*Per_15min!$V$2:$V$13)</f>
        <v/>
      </c>
      <c r="I3" s="2">
        <f>SUMPRODUCT((Per_15min!$H$2:$H$13=A3)*Per_15min!$J$2:$J$13*Per_15min!$W$2:$W$13)</f>
        <v/>
      </c>
      <c r="J3" s="2">
        <f>H3-I3</f>
        <v/>
      </c>
      <c r="K3" s="2">
        <f>SUMPRODUCT((Per_15min!$H$2:$H$13=A3)*Per_15min!$J$2:$J$13*Per_15min!$Y$2:$Y$13)</f>
        <v/>
      </c>
    </row>
    <row r="4">
      <c r="A4" s="2" t="n">
        <v>22</v>
      </c>
      <c r="B4" s="2" t="inlineStr">
        <is>
          <t>Standard_SCU8OG_2019-07-10_0000.022.mp4</t>
        </is>
      </c>
      <c r="C4" s="2" t="inlineStr">
        <is>
          <t>2019-07-10 09:00 PM</t>
        </is>
      </c>
      <c r="D4" s="2">
        <f>SUMPRODUCT((Per_15min!$H$2:$H$13=A4)*Per_15min!$J$2:$J$13)</f>
        <v/>
      </c>
      <c r="E4" s="2">
        <f>SUMPRODUCT((Per_15min!$H$2:$H$13=A4)*Per_15min!$J$2:$J$13*Per_15min!$K$2:$K$13)</f>
        <v/>
      </c>
      <c r="F4" s="2">
        <f>SUMPRODUCT((Per_15min!$H$2:$H$13=A4)*Per_15min!$J$2:$J$13*Per_15min!$Q$2:$Q$13)</f>
        <v/>
      </c>
      <c r="G4" s="2">
        <f>E4-F4</f>
        <v/>
      </c>
      <c r="H4" s="2">
        <f>SUMPRODUCT((Per_15min!$H$2:$H$13=A4)*Per_15min!$J$2:$J$13*Per_15min!$V$2:$V$13)</f>
        <v/>
      </c>
      <c r="I4" s="2">
        <f>SUMPRODUCT((Per_15min!$H$2:$H$13=A4)*Per_15min!$J$2:$J$13*Per_15min!$W$2:$W$13)</f>
        <v/>
      </c>
      <c r="J4" s="2">
        <f>H4-I4</f>
        <v/>
      </c>
      <c r="K4" s="2">
        <f>SUMPRODUCT((Per_15min!$H$2:$H$13=A4)*Per_15min!$J$2:$J$13*Per_15min!$Y$2:$Y$13)</f>
        <v/>
      </c>
    </row>
    <row r="5">
      <c r="A5" s="3" t="inlineStr">
        <is>
          <t>Total</t>
        </is>
      </c>
      <c r="B5" s="3" t="inlineStr"/>
      <c r="C5" s="3" t="inlineStr"/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>
        <f>SUM(J2:J4)</f>
        <v/>
      </c>
      <c r="K5" s="3">
        <f>SUM(K2:K4)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70" customWidth="1" min="3" max="3"/>
  </cols>
  <sheetData>
    <row r="1">
      <c r="A1" s="4" t="inlineStr">
        <is>
          <t>Validation metrics - Colonial North - run colonial_run5</t>
        </is>
      </c>
    </row>
    <row r="2">
      <c r="A2" s="5" t="inlineStr">
        <is>
          <t>Blue/yellow cells are inputs; everything else is a formula over Per_15min (only rows with Include = 1).</t>
        </is>
      </c>
    </row>
    <row r="3">
      <c r="A3" s="2" t="inlineStr">
        <is>
          <t>Bin length (seconds)</t>
        </is>
      </c>
      <c r="B3" s="6" t="n">
        <v>900</v>
      </c>
      <c r="C3" s="5" t="inlineStr">
        <is>
          <t>GT is counted in 15-minute bins</t>
        </is>
      </c>
    </row>
    <row r="4">
      <c r="A4" s="2" t="inlineStr">
        <is>
          <t>Min coverage of a bin to include it</t>
        </is>
      </c>
      <c r="B4" s="6" t="n">
        <v>0.98</v>
      </c>
      <c r="C4" s="5" t="inlineStr">
        <is>
          <t>bins processed for &lt; 98% of their length (e.g. a smoke test) are excluded</t>
        </is>
      </c>
    </row>
    <row r="5">
      <c r="A5" s="2" t="inlineStr">
        <is>
          <t>Flag a bin if |AI - GT| bicyclists exceeds</t>
        </is>
      </c>
      <c r="B5" s="6" t="n">
        <v>2</v>
      </c>
      <c r="C5" s="5" t="inlineStr">
        <is>
          <t>tolerance for the CHECK flag; a judgement call, edit freely</t>
        </is>
      </c>
    </row>
    <row r="7">
      <c r="A7" s="3" t="inlineStr">
        <is>
          <t>BICYCLISTS (bike lane + sidewalk, per 15-min bin)</t>
        </is>
      </c>
    </row>
    <row r="8">
      <c r="A8" s="2" t="inlineStr">
        <is>
          <t>Bins evaluated</t>
        </is>
      </c>
      <c r="B8" s="7">
        <f>SUM(Per_15min!$J$2:$J$13)</f>
        <v/>
      </c>
    </row>
    <row r="9">
      <c r="A9" s="2" t="inlineStr">
        <is>
          <t>Total AI</t>
        </is>
      </c>
      <c r="B9" s="7">
        <f>SUMPRODUCT(Per_15min!$J$2:$J$13,Per_15min!$K$2:$K$13)</f>
        <v/>
      </c>
    </row>
    <row r="10">
      <c r="A10" s="2" t="inlineStr">
        <is>
          <t>Total GT</t>
        </is>
      </c>
      <c r="B10" s="7">
        <f>SUMPRODUCT(Per_15min!$J$2:$J$13,Per_15min!$Q$2:$Q$13)</f>
        <v/>
      </c>
    </row>
    <row r="11">
      <c r="A11" s="2" t="inlineStr">
        <is>
          <t>Bias: mean (AI - GT) per bin  (+ = overcount)</t>
        </is>
      </c>
      <c r="B11" s="8">
        <f>IF(B8=0,"",SUMPRODUCT(Per_15min!$J$2:$J$13,Per_15min!$R$2:$R$13)/B8)</f>
        <v/>
      </c>
    </row>
    <row r="12">
      <c r="A12" s="2" t="inlineStr">
        <is>
          <t>MAE: mean |AI - GT| per bin</t>
        </is>
      </c>
      <c r="B12" s="8">
        <f>IF(B8=0,"",SUMPRODUCT(Per_15min!$J$2:$J$13,Per_15min!$S$2:$S$13)/B8)</f>
        <v/>
      </c>
    </row>
    <row r="13">
      <c r="A13" s="2" t="inlineStr">
        <is>
          <t>RMSE per bin</t>
        </is>
      </c>
      <c r="B13" s="8">
        <f>IF(B8=0,"",SQRT(SUMPRODUCT(Per_15min!$J$2:$J$13,Per_15min!$R$2:$R$13,Per_15min!$R$2:$R$13)/B8))</f>
        <v/>
      </c>
    </row>
    <row r="14">
      <c r="A14" s="2" t="inlineStr">
        <is>
          <t>WAPE: sum|err| / sum GT</t>
        </is>
      </c>
      <c r="B14" s="9">
        <f>IF(B10=0,"",SUMPRODUCT(Per_15min!$J$2:$J$13,Per_15min!$S$2:$S$13)/B10)</f>
        <v/>
      </c>
    </row>
    <row r="15">
      <c r="A15" s="2" t="inlineStr">
        <is>
          <t>Share of bins within +-1</t>
        </is>
      </c>
      <c r="B15" s="9">
        <f>IF(B8=0,"",SUMPRODUCT(Per_15min!$J$2:$J$13,--(Per_15min!$S$2:$S$13&lt;=1))/B8)</f>
        <v/>
      </c>
    </row>
    <row r="16">
      <c r="A16" s="2" t="inlineStr">
        <is>
          <t>Share of bins within +-2</t>
        </is>
      </c>
      <c r="B16" s="9">
        <f>IF(B8=0,"",SUMPRODUCT(Per_15min!$J$2:$J$13,--(Per_15min!$S$2:$S$13&lt;=2))/B8)</f>
        <v/>
      </c>
    </row>
    <row r="17">
      <c r="A17" s="2" t="inlineStr">
        <is>
          <t>Pearson r (AI vs GT per bin)</t>
        </is>
      </c>
      <c r="B17" s="8">
        <f>IFERROR((B8*SUMPRODUCT(Per_15min!$J$2:$J$13,Per_15min!$K$2:$K$13,Per_15min!$Q$2:$Q$13)-B9*B10)/SQRT((B8*SUMPRODUCT(Per_15min!$J$2:$J$13,Per_15min!$K$2:$K$13,Per_15min!$K$2:$K$13)-B9^2)*(B8*SUMPRODUCT(Per_15min!$J$2:$J$13,Per_15min!$Q$2:$Q$13,Per_15min!$Q$2:$Q$13)-B10^2)),"n/a")</f>
        <v/>
      </c>
    </row>
    <row r="18">
      <c r="A18" s="2" t="inlineStr">
        <is>
          <t>Count-matched precision (approx.) = sum MIN(AI,GT) / sum AI</t>
        </is>
      </c>
      <c r="B18" s="9">
        <f>IF(B9=0,"",SUMPRODUCT(Per_15min!$J$2:$J$13,Per_15min!$T$2:$T$13)/B9)</f>
        <v/>
      </c>
    </row>
    <row r="19">
      <c r="A19" s="2" t="inlineStr">
        <is>
          <t>Count-matched recall (approx.) = sum MIN(AI,GT) / sum GT</t>
        </is>
      </c>
      <c r="B19" s="9">
        <f>IF(B10=0,"",SUMPRODUCT(Per_15min!$J$2:$J$13,Per_15min!$T$2:$T$13)/B10)</f>
        <v/>
      </c>
    </row>
    <row r="20">
      <c r="A20" s="2" t="inlineStr">
        <is>
          <t>Count-matched F1 (approx.)</t>
        </is>
      </c>
      <c r="B20" s="9">
        <f>IFERROR(2*B18*B19/(B18+B19),"")</f>
        <v/>
      </c>
    </row>
    <row r="21">
      <c r="A21" s="5" t="inlineStr">
        <is>
          <t>Note: there is no per-person ground truth, so precision/recall are count-based approximations (a missed rider in one bin cancelling a false rider in the same bin is not detected). Use the annotated clips for true error types.</t>
        </is>
      </c>
    </row>
    <row r="23">
      <c r="A23" s="3" t="inlineStr">
        <is>
          <t>PEDESTRIANS (North channels; reported, not the main target)</t>
        </is>
      </c>
    </row>
    <row r="24">
      <c r="A24" s="2" t="inlineStr">
        <is>
          <t>Total AI</t>
        </is>
      </c>
      <c r="B24" s="7">
        <f>SUMPRODUCT(Per_15min!$J$2:$J$13,Per_15min!$V$2:$V$13)</f>
        <v/>
      </c>
    </row>
    <row r="25">
      <c r="A25" s="2" t="inlineStr">
        <is>
          <t>Total GT</t>
        </is>
      </c>
      <c r="B25" s="7">
        <f>SUMPRODUCT(Per_15min!$J$2:$J$13,Per_15min!$W$2:$W$13)</f>
        <v/>
      </c>
    </row>
    <row r="26">
      <c r="A26" s="2" t="inlineStr">
        <is>
          <t>Bias: mean (AI - GT) per bin</t>
        </is>
      </c>
      <c r="B26" s="8">
        <f>IF(B8=0,"",SUMPRODUCT(Per_15min!$J$2:$J$13,Per_15min!$X$2:$X$13)/B8)</f>
        <v/>
      </c>
    </row>
    <row r="27">
      <c r="A27" s="2" t="inlineStr">
        <is>
          <t>MAE per bin</t>
        </is>
      </c>
      <c r="B27" s="8">
        <f>IF(B8=0,"",SUMPRODUCT(Per_15min!$J$2:$J$13,ABS(Per_15min!$X$2:$X$13))/B8)</f>
        <v/>
      </c>
    </row>
    <row r="28">
      <c r="A28" s="3" t="inlineStr">
        <is>
          <t>BIKE LANE vs SIDEWALK split (needs a zones file; 0 AI = zones not set)</t>
        </is>
      </c>
    </row>
    <row r="29">
      <c r="A29" s="2" t="inlineStr">
        <is>
          <t>AI bicyclists bike lane</t>
        </is>
      </c>
      <c r="B29" s="7">
        <f>SUMPRODUCT(Per_15min!$J$2:$J$13,Per_15min!$L$2:$L$13)</f>
        <v/>
      </c>
    </row>
    <row r="30">
      <c r="A30" s="2" t="inlineStr">
        <is>
          <t>GT bicyclists bike lane</t>
        </is>
      </c>
      <c r="B30" s="7">
        <f>SUMPRODUCT(Per_15min!$J$2:$J$13,Per_15min!$O$2:$O$13)</f>
        <v/>
      </c>
    </row>
    <row r="31">
      <c r="A31" s="2" t="inlineStr">
        <is>
          <t>AI bicyclists sidewalk</t>
        </is>
      </c>
      <c r="B31" s="7">
        <f>SUMPRODUCT(Per_15min!$J$2:$J$13,Per_15min!$M$2:$M$13)</f>
        <v/>
      </c>
    </row>
    <row r="32">
      <c r="A32" s="2" t="inlineStr">
        <is>
          <t>GT bicyclists sidewalk</t>
        </is>
      </c>
      <c r="B32" s="7">
        <f>SUMPRODUCT(Per_15min!$J$2:$J$13,Per_15min!$P$2:$P$13)</f>
        <v/>
      </c>
    </row>
    <row r="33">
      <c r="A33" s="2" t="inlineStr">
        <is>
          <t>AI bicyclists unassigned (no zone)</t>
        </is>
      </c>
      <c r="B33" s="7">
        <f>SUMPRODUCT(Per_15min!$J$2:$J$13,Per_15min!$N$2:$N$13)</f>
        <v/>
      </c>
    </row>
    <row r="35">
      <c r="A35" s="3" t="inlineStr">
        <is>
          <t>DETECTOR vs X-CLIP LABELS (counted tracks; rows = RT-DETR label, columns = X-CLIP label)</t>
        </is>
      </c>
    </row>
    <row r="36">
      <c r="B36" s="3" t="inlineStr">
        <is>
          <t>X-CLIP: BICYCLIST</t>
        </is>
      </c>
      <c r="C36" s="3" t="inlineStr">
        <is>
          <t>X-CLIP: PEDESTRIAN</t>
        </is>
      </c>
    </row>
    <row r="37">
      <c r="A37" s="2" t="inlineStr">
        <is>
          <t>RT-DETR: cyclist</t>
        </is>
      </c>
      <c r="B37" s="2">
        <f>COUNTIFS(Tracks!$I$2:$I$14,"cyclist",Tracks!$L$2:$L$14,"BICYCLIST")</f>
        <v/>
      </c>
      <c r="C37" s="2">
        <f>COUNTIFS(Tracks!$I$2:$I$14,"cyclist",Tracks!$L$2:$L$14,"PEDESTRIAN")</f>
        <v/>
      </c>
    </row>
    <row r="38">
      <c r="A38" s="2" t="inlineStr">
        <is>
          <t>RT-DETR: person</t>
        </is>
      </c>
      <c r="B38" s="2">
        <f>COUNTIFS(Tracks!$I$2:$I$14,"person",Tracks!$L$2:$L$14,"BICYCLIST")</f>
        <v/>
      </c>
      <c r="C38" s="2">
        <f>COUNTIFS(Tracks!$I$2:$I$14,"person",Tracks!$L$2:$L$14,"PEDESTRIAN")</f>
        <v/>
      </c>
    </row>
    <row r="39">
      <c r="A39" s="2" t="inlineStr">
        <is>
          <t>Agreement rate (counted tracks)</t>
        </is>
      </c>
      <c r="B39" s="9">
        <f>IFERROR(COUNTIF(Tracks!$O$2:$O$14,"yes")/COUNTIF(Tracks!$O$2:$O$14,"&lt;&gt;n/a"),"n/a")</f>
        <v/>
      </c>
    </row>
    <row r="40">
      <c r="A40" s="5" t="inlineStr">
        <is>
          <t>'cyclist'/'person' are the detector's own classes; the X-CLIP label is the final label used for counting.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15" customWidth="1" min="3" max="3"/>
    <col width="11" customWidth="1" min="4" max="4"/>
    <col width="10" customWidth="1" min="5" max="5"/>
    <col width="10" customWidth="1" min="6" max="6"/>
    <col width="10" customWidth="1" min="7" max="7"/>
    <col width="8" customWidth="1" min="8" max="8"/>
    <col width="14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</cols>
  <sheetData>
    <row r="1" ht="45" customHeight="1">
      <c r="A1" s="1" t="inlineStr">
        <is>
          <t>Video file</t>
        </is>
      </c>
      <c r="B1" s="1" t="inlineStr">
        <is>
          <t>Annotated clip</t>
        </is>
      </c>
      <c r="C1" s="1" t="inlineStr">
        <is>
          <t>Site</t>
        </is>
      </c>
      <c r="D1" s="1" t="inlineStr">
        <is>
          <t>Date</t>
        </is>
      </c>
      <c r="E1" s="1" t="inlineStr">
        <is>
          <t>First seen</t>
        </is>
      </c>
      <c r="F1" s="1" t="inlineStr">
        <is>
          <t>Last seen</t>
        </is>
      </c>
      <c r="G1" s="1" t="inlineStr">
        <is>
          <t>15-min bin</t>
        </is>
      </c>
      <c r="H1" s="1" t="inlineStr">
        <is>
          <t>Track ID</t>
        </is>
      </c>
      <c r="I1" s="1" t="inlineStr">
        <is>
          <t>RT-DETR label (detector)</t>
        </is>
      </c>
      <c r="J1" s="1" t="inlineStr">
        <is>
          <t>RT-DETR mean conf</t>
        </is>
      </c>
      <c r="K1" s="1" t="inlineStr">
        <is>
          <t>% detections classed 'cyclist'</t>
        </is>
      </c>
      <c r="L1" s="1" t="inlineStr">
        <is>
          <t>X-CLIP label</t>
        </is>
      </c>
      <c r="M1" s="1" t="inlineStr">
        <is>
          <t>X-CLIP P(bicyclist)</t>
        </is>
      </c>
      <c r="N1" s="1" t="inlineStr">
        <is>
          <t>X-CLIP P(pedestrian)</t>
        </is>
      </c>
      <c r="O1" s="1" t="inlineStr">
        <is>
          <t>Labels agree?</t>
        </is>
      </c>
      <c r="P1" s="1" t="inlineStr">
        <is>
          <t>Facility (zone)</t>
        </is>
      </c>
      <c r="Q1" s="1" t="inlineStr">
        <is>
          <t>Seconds visible</t>
        </is>
      </c>
      <c r="R1" s="1" t="inlineStr">
        <is>
          <t>Net movement (px)</t>
        </is>
      </c>
    </row>
    <row r="2">
      <c r="A2" s="2" t="inlineStr">
        <is>
          <t>Standard_SCU8OG_2019-07-10_0000.013.mp4</t>
        </is>
      </c>
      <c r="B2" s="2" t="inlineStr">
        <is>
          <t>annotated/colonial_run5/Standard_SCU8OG_2019-07-10_0000.013/Standard_SCU8OG_2019-07-10_0000.013_20190710_1230-1245.mp4</t>
        </is>
      </c>
      <c r="C2" s="2" t="inlineStr">
        <is>
          <t>Colonial North</t>
        </is>
      </c>
      <c r="D2" s="2" t="inlineStr">
        <is>
          <t>2019-07-10</t>
        </is>
      </c>
      <c r="E2" s="2" t="inlineStr">
        <is>
          <t>12:40:14</t>
        </is>
      </c>
      <c r="F2" s="2" t="inlineStr">
        <is>
          <t>12:40:23</t>
        </is>
      </c>
      <c r="G2" s="2" t="inlineStr">
        <is>
          <t>12:30 PM</t>
        </is>
      </c>
      <c r="H2" s="2" t="n">
        <v>4</v>
      </c>
      <c r="I2" s="2" t="inlineStr">
        <is>
          <t>person</t>
        </is>
      </c>
      <c r="J2" s="2" t="n">
        <v>0.651</v>
      </c>
      <c r="K2" s="2" t="n">
        <v>49.4</v>
      </c>
      <c r="L2" s="2" t="inlineStr">
        <is>
          <t>BICYCLIST</t>
        </is>
      </c>
      <c r="M2" s="2" t="n">
        <v>0.747</v>
      </c>
      <c r="N2" s="2" t="n">
        <v>0.253</v>
      </c>
      <c r="O2" s="2">
        <f>IF(I2="n/a","n/a",IF(OR(AND(I2="cyclist",L2="BICYCLIST"),AND(I2="person",L2="PEDESTRIAN")),"yes","NO"))</f>
        <v/>
      </c>
      <c r="P2" s="2" t="inlineStr">
        <is>
          <t>unassigned</t>
        </is>
      </c>
      <c r="Q2" s="2" t="n">
        <v>8.98</v>
      </c>
      <c r="R2" s="2" t="n">
        <v>571.3</v>
      </c>
    </row>
    <row r="3">
      <c r="A3" s="2" t="inlineStr">
        <is>
          <t>Standard_SCU8OG_2019-07-10_0000.013.mp4</t>
        </is>
      </c>
      <c r="B3" s="2" t="inlineStr">
        <is>
          <t>annotated/colonial_run5/Standard_SCU8OG_2019-07-10_0000.013/Standard_SCU8OG_2019-07-10_0000.013_20190710_1245-1300.mp4</t>
        </is>
      </c>
      <c r="C3" s="2" t="inlineStr">
        <is>
          <t>Colonial North</t>
        </is>
      </c>
      <c r="D3" s="2" t="inlineStr">
        <is>
          <t>2019-07-10</t>
        </is>
      </c>
      <c r="E3" s="2" t="inlineStr">
        <is>
          <t>12:45:40</t>
        </is>
      </c>
      <c r="F3" s="2" t="inlineStr">
        <is>
          <t>12:45:56</t>
        </is>
      </c>
      <c r="G3" s="2" t="inlineStr">
        <is>
          <t>12:45 PM</t>
        </is>
      </c>
      <c r="H3" s="2" t="n">
        <v>5</v>
      </c>
      <c r="I3" s="2" t="inlineStr">
        <is>
          <t>person</t>
        </is>
      </c>
      <c r="J3" s="2" t="n">
        <v>0.555</v>
      </c>
      <c r="K3" s="2" t="n">
        <v>44.7</v>
      </c>
      <c r="L3" s="2" t="inlineStr">
        <is>
          <t>BICYCLIST</t>
        </is>
      </c>
      <c r="M3" s="2" t="n">
        <v>0.645</v>
      </c>
      <c r="N3" s="2" t="n">
        <v>0.355</v>
      </c>
      <c r="O3" s="2">
        <f>IF(I3="n/a","n/a",IF(OR(AND(I3="cyclist",L3="BICYCLIST"),AND(I3="person",L3="PEDESTRIAN")),"yes","NO"))</f>
        <v/>
      </c>
      <c r="P3" s="2" t="inlineStr">
        <is>
          <t>unassigned</t>
        </is>
      </c>
      <c r="Q3" s="2" t="n">
        <v>9.109999999999999</v>
      </c>
      <c r="R3" s="2" t="n">
        <v>657</v>
      </c>
    </row>
    <row r="4">
      <c r="A4" s="2" t="inlineStr">
        <is>
          <t>Standard_SCU8OG_2019-07-10_0000.013.mp4</t>
        </is>
      </c>
      <c r="B4" s="2" t="inlineStr">
        <is>
          <t>annotated/colonial_run5/Standard_SCU8OG_2019-07-10_0000.013/Standard_SCU8OG_2019-07-10_0000.013_20190710_1245-1300.mp4</t>
        </is>
      </c>
      <c r="C4" s="2" t="inlineStr">
        <is>
          <t>Colonial North</t>
        </is>
      </c>
      <c r="D4" s="2" t="inlineStr">
        <is>
          <t>2019-07-10</t>
        </is>
      </c>
      <c r="E4" s="2" t="inlineStr">
        <is>
          <t>12:53:07</t>
        </is>
      </c>
      <c r="F4" s="2" t="inlineStr">
        <is>
          <t>12:53:13</t>
        </is>
      </c>
      <c r="G4" s="2" t="inlineStr">
        <is>
          <t>12:45 PM</t>
        </is>
      </c>
      <c r="H4" s="2" t="n">
        <v>8</v>
      </c>
      <c r="I4" s="2" t="inlineStr">
        <is>
          <t>person</t>
        </is>
      </c>
      <c r="J4" s="2" t="n">
        <v>0.569</v>
      </c>
      <c r="K4" s="2" t="n">
        <v>46.4</v>
      </c>
      <c r="L4" s="2" t="inlineStr">
        <is>
          <t>BICYCLIST</t>
        </is>
      </c>
      <c r="M4" s="2" t="n">
        <v>0.787</v>
      </c>
      <c r="N4" s="2" t="n">
        <v>0.213</v>
      </c>
      <c r="O4" s="2">
        <f>IF(I4="n/a","n/a",IF(OR(AND(I4="cyclist",L4="BICYCLIST"),AND(I4="person",L4="PEDESTRIAN")),"yes","NO"))</f>
        <v/>
      </c>
      <c r="P4" s="2" t="inlineStr">
        <is>
          <t>unassigned</t>
        </is>
      </c>
      <c r="Q4" s="2" t="n">
        <v>3.67</v>
      </c>
      <c r="R4" s="2" t="n">
        <v>355</v>
      </c>
    </row>
    <row r="5">
      <c r="A5" s="2" t="inlineStr">
        <is>
          <t>Standard_SCU8OG_2019-07-10_0000.013.mp4</t>
        </is>
      </c>
      <c r="B5" s="2" t="inlineStr">
        <is>
          <t>annotated/colonial_run5/Standard_SCU8OG_2019-07-10_0000.013/Standard_SCU8OG_2019-07-10_0000.013_20190710_1245-1300.mp4</t>
        </is>
      </c>
      <c r="C5" s="2" t="inlineStr">
        <is>
          <t>Colonial North</t>
        </is>
      </c>
      <c r="D5" s="2" t="inlineStr">
        <is>
          <t>2019-07-10</t>
        </is>
      </c>
      <c r="E5" s="2" t="inlineStr">
        <is>
          <t>12:53:45</t>
        </is>
      </c>
      <c r="F5" s="2" t="inlineStr">
        <is>
          <t>12:53:52</t>
        </is>
      </c>
      <c r="G5" s="2" t="inlineStr">
        <is>
          <t>12:45 PM</t>
        </is>
      </c>
      <c r="H5" s="2" t="n">
        <v>10</v>
      </c>
      <c r="I5" s="2" t="inlineStr">
        <is>
          <t>person</t>
        </is>
      </c>
      <c r="J5" s="2" t="n">
        <v>0.6820000000000001</v>
      </c>
      <c r="K5" s="2" t="n">
        <v>45</v>
      </c>
      <c r="L5" s="2" t="inlineStr">
        <is>
          <t>BICYCLIST</t>
        </is>
      </c>
      <c r="M5" s="2" t="n">
        <v>0.788</v>
      </c>
      <c r="N5" s="2" t="n">
        <v>0.212</v>
      </c>
      <c r="O5" s="2">
        <f>IF(I5="n/a","n/a",IF(OR(AND(I5="cyclist",L5="BICYCLIST"),AND(I5="person",L5="PEDESTRIAN")),"yes","NO"))</f>
        <v/>
      </c>
      <c r="P5" s="2" t="inlineStr">
        <is>
          <t>unassigned</t>
        </is>
      </c>
      <c r="Q5" s="2" t="n">
        <v>6.97</v>
      </c>
      <c r="R5" s="2" t="n">
        <v>469.2</v>
      </c>
    </row>
    <row r="6">
      <c r="A6" s="2" t="inlineStr">
        <is>
          <t>Standard_SCU8OG_2019-07-10_0000.013.mp4</t>
        </is>
      </c>
      <c r="B6" s="2" t="inlineStr">
        <is>
          <t>annotated/colonial_run5/Standard_SCU8OG_2019-07-10_0000.013/Standard_SCU8OG_2019-07-10_0000.013_20190710_1245-1300.mp4</t>
        </is>
      </c>
      <c r="C6" s="2" t="inlineStr">
        <is>
          <t>Colonial North</t>
        </is>
      </c>
      <c r="D6" s="2" t="inlineStr">
        <is>
          <t>2019-07-10</t>
        </is>
      </c>
      <c r="E6" s="2" t="inlineStr">
        <is>
          <t>12:54:53</t>
        </is>
      </c>
      <c r="F6" s="2" t="inlineStr">
        <is>
          <t>12:55:03</t>
        </is>
      </c>
      <c r="G6" s="2" t="inlineStr">
        <is>
          <t>12:45 PM</t>
        </is>
      </c>
      <c r="H6" s="2" t="n">
        <v>11</v>
      </c>
      <c r="I6" s="2" t="inlineStr">
        <is>
          <t>person</t>
        </is>
      </c>
      <c r="J6" s="2" t="n">
        <v>0.529</v>
      </c>
      <c r="K6" s="2" t="n">
        <v>0</v>
      </c>
      <c r="L6" s="2" t="inlineStr">
        <is>
          <t>PEDESTRIAN</t>
        </is>
      </c>
      <c r="M6" s="2" t="n">
        <v>0.182</v>
      </c>
      <c r="N6" s="2" t="n">
        <v>0.8179999999999999</v>
      </c>
      <c r="O6" s="2">
        <f>IF(I6="n/a","n/a",IF(OR(AND(I6="cyclist",L6="BICYCLIST"),AND(I6="person",L6="PEDESTRIAN")),"yes","NO"))</f>
        <v/>
      </c>
      <c r="P6" s="2" t="inlineStr">
        <is>
          <t>unassigned</t>
        </is>
      </c>
      <c r="Q6" s="2" t="n">
        <v>4.84</v>
      </c>
      <c r="R6" s="2" t="n">
        <v>29</v>
      </c>
    </row>
    <row r="7">
      <c r="A7" s="2" t="inlineStr">
        <is>
          <t>Standard_SCU8OG_2019-07-10_0000.013.mp4</t>
        </is>
      </c>
      <c r="B7" s="2" t="inlineStr">
        <is>
          <t>annotated/colonial_run5/Standard_SCU8OG_2019-07-10_0000.013/Standard_SCU8OG_2019-07-10_0000.013_20190710_1245-1300.mp4</t>
        </is>
      </c>
      <c r="C7" s="2" t="inlineStr">
        <is>
          <t>Colonial North</t>
        </is>
      </c>
      <c r="D7" s="2" t="inlineStr">
        <is>
          <t>2019-07-10</t>
        </is>
      </c>
      <c r="E7" s="2" t="inlineStr">
        <is>
          <t>12:56:16</t>
        </is>
      </c>
      <c r="F7" s="2" t="inlineStr">
        <is>
          <t>12:56:38</t>
        </is>
      </c>
      <c r="G7" s="2" t="inlineStr">
        <is>
          <t>12:45 PM</t>
        </is>
      </c>
      <c r="H7" s="2" t="n">
        <v>13</v>
      </c>
      <c r="I7" s="2" t="inlineStr">
        <is>
          <t>person</t>
        </is>
      </c>
      <c r="J7" s="2" t="n">
        <v>0.724</v>
      </c>
      <c r="K7" s="2" t="n">
        <v>6.6</v>
      </c>
      <c r="L7" s="2" t="inlineStr">
        <is>
          <t>BICYCLIST</t>
        </is>
      </c>
      <c r="M7" s="2" t="n">
        <v>0.648</v>
      </c>
      <c r="N7" s="2" t="n">
        <v>0.352</v>
      </c>
      <c r="O7" s="2">
        <f>IF(I7="n/a","n/a",IF(OR(AND(I7="cyclist",L7="BICYCLIST"),AND(I7="person",L7="PEDESTRIAN")),"yes","NO"))</f>
        <v/>
      </c>
      <c r="P7" s="2" t="inlineStr">
        <is>
          <t>unassigned</t>
        </is>
      </c>
      <c r="Q7" s="2" t="n">
        <v>18.59</v>
      </c>
      <c r="R7" s="2" t="n">
        <v>248.7</v>
      </c>
    </row>
    <row r="8">
      <c r="A8" s="2" t="inlineStr">
        <is>
          <t>Standard_SCU8OG_2019-07-10_0000.014.mp4</t>
        </is>
      </c>
      <c r="B8" s="2" t="inlineStr">
        <is>
          <t>annotated/colonial_run5/Standard_SCU8OG_2019-07-10_0000.014/Standard_SCU8OG_2019-07-10_0000.014_20190710_1300-1315.mp4</t>
        </is>
      </c>
      <c r="C8" s="2" t="inlineStr">
        <is>
          <t>Colonial North</t>
        </is>
      </c>
      <c r="D8" s="2" t="inlineStr">
        <is>
          <t>2019-07-10</t>
        </is>
      </c>
      <c r="E8" s="2" t="inlineStr">
        <is>
          <t>13:05:25</t>
        </is>
      </c>
      <c r="F8" s="2" t="inlineStr">
        <is>
          <t>13:05:48</t>
        </is>
      </c>
      <c r="G8" s="2" t="inlineStr">
        <is>
          <t>01:00 PM</t>
        </is>
      </c>
      <c r="H8" s="2" t="n">
        <v>1</v>
      </c>
      <c r="I8" s="2" t="inlineStr">
        <is>
          <t>person</t>
        </is>
      </c>
      <c r="J8" s="2" t="n">
        <v>0.63</v>
      </c>
      <c r="K8" s="2" t="n">
        <v>0</v>
      </c>
      <c r="L8" s="2" t="inlineStr">
        <is>
          <t>PEDESTRIAN</t>
        </is>
      </c>
      <c r="M8" s="2" t="n">
        <v>0.32</v>
      </c>
      <c r="N8" s="2" t="n">
        <v>0.68</v>
      </c>
      <c r="O8" s="2">
        <f>IF(I8="n/a","n/a",IF(OR(AND(I8="cyclist",L8="BICYCLIST"),AND(I8="person",L8="PEDESTRIAN")),"yes","NO"))</f>
        <v/>
      </c>
      <c r="P8" s="2" t="inlineStr">
        <is>
          <t>unassigned</t>
        </is>
      </c>
      <c r="Q8" s="2" t="n">
        <v>20.19</v>
      </c>
      <c r="R8" s="2" t="n">
        <v>364.1</v>
      </c>
    </row>
    <row r="9">
      <c r="A9" s="2" t="inlineStr">
        <is>
          <t>Standard_SCU8OG_2019-07-10_0000.014.mp4</t>
        </is>
      </c>
      <c r="B9" s="2" t="inlineStr">
        <is>
          <t>annotated/colonial_run5/Standard_SCU8OG_2019-07-10_0000.014/Standard_SCU8OG_2019-07-10_0000.014_20190710_1315-1330.mp4</t>
        </is>
      </c>
      <c r="C9" s="2" t="inlineStr">
        <is>
          <t>Colonial North</t>
        </is>
      </c>
      <c r="D9" s="2" t="inlineStr">
        <is>
          <t>2019-07-10</t>
        </is>
      </c>
      <c r="E9" s="2" t="inlineStr">
        <is>
          <t>13:17:45</t>
        </is>
      </c>
      <c r="F9" s="2" t="inlineStr">
        <is>
          <t>13:18:13</t>
        </is>
      </c>
      <c r="G9" s="2" t="inlineStr">
        <is>
          <t>01:15 PM</t>
        </is>
      </c>
      <c r="H9" s="2" t="n">
        <v>2</v>
      </c>
      <c r="I9" s="2" t="inlineStr">
        <is>
          <t>person</t>
        </is>
      </c>
      <c r="J9" s="2" t="n">
        <v>0.448</v>
      </c>
      <c r="K9" s="2" t="n">
        <v>6</v>
      </c>
      <c r="L9" s="2" t="inlineStr">
        <is>
          <t>BICYCLIST</t>
        </is>
      </c>
      <c r="M9" s="2" t="n">
        <v>0.5610000000000001</v>
      </c>
      <c r="N9" s="2" t="n">
        <v>0.439</v>
      </c>
      <c r="O9" s="2">
        <f>IF(I9="n/a","n/a",IF(OR(AND(I9="cyclist",L9="BICYCLIST"),AND(I9="person",L9="PEDESTRIAN")),"yes","NO"))</f>
        <v/>
      </c>
      <c r="P9" s="2" t="inlineStr">
        <is>
          <t>unassigned</t>
        </is>
      </c>
      <c r="Q9" s="2" t="n">
        <v>11.08</v>
      </c>
      <c r="R9" s="2" t="n">
        <v>241</v>
      </c>
    </row>
    <row r="10">
      <c r="A10" s="2" t="inlineStr">
        <is>
          <t>Standard_SCU8OG_2019-07-10_0000.014.mp4</t>
        </is>
      </c>
      <c r="B10" s="2" t="inlineStr">
        <is>
          <t>annotated/colonial_run5/Standard_SCU8OG_2019-07-10_0000.014/Standard_SCU8OG_2019-07-10_0000.014_20190710_1330-1345.mp4</t>
        </is>
      </c>
      <c r="C10" s="2" t="inlineStr">
        <is>
          <t>Colonial North</t>
        </is>
      </c>
      <c r="D10" s="2" t="inlineStr">
        <is>
          <t>2019-07-10</t>
        </is>
      </c>
      <c r="E10" s="2" t="inlineStr">
        <is>
          <t>13:37:12</t>
        </is>
      </c>
      <c r="F10" s="2" t="inlineStr">
        <is>
          <t>13:37:19</t>
        </is>
      </c>
      <c r="G10" s="2" t="inlineStr">
        <is>
          <t>01:30 PM</t>
        </is>
      </c>
      <c r="H10" s="2" t="n">
        <v>11</v>
      </c>
      <c r="I10" s="2" t="inlineStr">
        <is>
          <t>person</t>
        </is>
      </c>
      <c r="J10" s="2" t="n">
        <v>0.498</v>
      </c>
      <c r="K10" s="2" t="n">
        <v>0</v>
      </c>
      <c r="L10" s="2" t="inlineStr">
        <is>
          <t>PEDESTRIAN</t>
        </is>
      </c>
      <c r="M10" s="2" t="n">
        <v>0.205</v>
      </c>
      <c r="N10" s="2" t="n">
        <v>0.795</v>
      </c>
      <c r="O10" s="2">
        <f>IF(I10="n/a","n/a",IF(OR(AND(I10="cyclist",L10="BICYCLIST"),AND(I10="person",L10="PEDESTRIAN")),"yes","NO"))</f>
        <v/>
      </c>
      <c r="P10" s="2" t="inlineStr">
        <is>
          <t>unassigned</t>
        </is>
      </c>
      <c r="Q10" s="2" t="n">
        <v>4.14</v>
      </c>
      <c r="R10" s="2" t="n">
        <v>26.2</v>
      </c>
    </row>
    <row r="11">
      <c r="A11" s="2" t="inlineStr">
        <is>
          <t>Standard_SCU8OG_2019-07-10_0000.014.mp4</t>
        </is>
      </c>
      <c r="B11" s="2" t="inlineStr">
        <is>
          <t>annotated/colonial_run5/Standard_SCU8OG_2019-07-10_0000.014/Standard_SCU8OG_2019-07-10_0000.014_20190710_1330-1345.mp4</t>
        </is>
      </c>
      <c r="C11" s="2" t="inlineStr">
        <is>
          <t>Colonial North</t>
        </is>
      </c>
      <c r="D11" s="2" t="inlineStr">
        <is>
          <t>2019-07-10</t>
        </is>
      </c>
      <c r="E11" s="2" t="inlineStr">
        <is>
          <t>13:41:40</t>
        </is>
      </c>
      <c r="F11" s="2" t="inlineStr">
        <is>
          <t>13:41:46</t>
        </is>
      </c>
      <c r="G11" s="2" t="inlineStr">
        <is>
          <t>01:30 PM</t>
        </is>
      </c>
      <c r="H11" s="2" t="n">
        <v>13</v>
      </c>
      <c r="I11" s="2" t="inlineStr">
        <is>
          <t>person</t>
        </is>
      </c>
      <c r="J11" s="2" t="n">
        <v>0.553</v>
      </c>
      <c r="K11" s="2" t="n">
        <v>0</v>
      </c>
      <c r="L11" s="2" t="inlineStr">
        <is>
          <t>PEDESTRIAN</t>
        </is>
      </c>
      <c r="M11" s="2" t="n">
        <v>0.103</v>
      </c>
      <c r="N11" s="2" t="n">
        <v>0.897</v>
      </c>
      <c r="O11" s="2">
        <f>IF(I11="n/a","n/a",IF(OR(AND(I11="cyclist",L11="BICYCLIST"),AND(I11="person",L11="PEDESTRIAN")),"yes","NO"))</f>
        <v/>
      </c>
      <c r="P11" s="2" t="inlineStr">
        <is>
          <t>unassigned</t>
        </is>
      </c>
      <c r="Q11" s="2" t="n">
        <v>3.7</v>
      </c>
      <c r="R11" s="2" t="n">
        <v>45.7</v>
      </c>
    </row>
    <row r="12">
      <c r="A12" s="2" t="inlineStr">
        <is>
          <t>Standard_SCU8OG_2019-07-10_0000.014.mp4</t>
        </is>
      </c>
      <c r="B12" s="2" t="inlineStr">
        <is>
          <t>annotated/colonial_run5/Standard_SCU8OG_2019-07-10_0000.014/Standard_SCU8OG_2019-07-10_0000.014_20190710_1345-1400.mp4</t>
        </is>
      </c>
      <c r="C12" s="2" t="inlineStr">
        <is>
          <t>Colonial North</t>
        </is>
      </c>
      <c r="D12" s="2" t="inlineStr">
        <is>
          <t>2019-07-10</t>
        </is>
      </c>
      <c r="E12" s="2" t="inlineStr">
        <is>
          <t>13:54:18</t>
        </is>
      </c>
      <c r="F12" s="2" t="inlineStr">
        <is>
          <t>13:54:27</t>
        </is>
      </c>
      <c r="G12" s="2" t="inlineStr">
        <is>
          <t>01:45 PM</t>
        </is>
      </c>
      <c r="H12" s="2" t="n">
        <v>15</v>
      </c>
      <c r="I12" s="2" t="inlineStr">
        <is>
          <t>person</t>
        </is>
      </c>
      <c r="J12" s="2" t="n">
        <v>0.489</v>
      </c>
      <c r="K12" s="2" t="n">
        <v>10.7</v>
      </c>
      <c r="L12" s="2" t="inlineStr">
        <is>
          <t>PEDESTRIAN</t>
        </is>
      </c>
      <c r="M12" s="2" t="n">
        <v>0.494</v>
      </c>
      <c r="N12" s="2" t="n">
        <v>0.506</v>
      </c>
      <c r="O12" s="2">
        <f>IF(I12="n/a","n/a",IF(OR(AND(I12="cyclist",L12="BICYCLIST"),AND(I12="person",L12="PEDESTRIAN")),"yes","NO"))</f>
        <v/>
      </c>
      <c r="P12" s="2" t="inlineStr">
        <is>
          <t>unassigned</t>
        </is>
      </c>
      <c r="Q12" s="2" t="n">
        <v>1.87</v>
      </c>
      <c r="R12" s="2" t="n">
        <v>335.6</v>
      </c>
    </row>
    <row r="13">
      <c r="A13" s="2" t="inlineStr">
        <is>
          <t>Standard_SCU8OG_2019-07-10_0000.014.mp4</t>
        </is>
      </c>
      <c r="B13" s="2" t="inlineStr">
        <is>
          <t>annotated/colonial_run5/Standard_SCU8OG_2019-07-10_0000.014/Standard_SCU8OG_2019-07-10_0000.014_20190710_1345-1400.mp4</t>
        </is>
      </c>
      <c r="C13" s="2" t="inlineStr">
        <is>
          <t>Colonial North</t>
        </is>
      </c>
      <c r="D13" s="2" t="inlineStr">
        <is>
          <t>2019-07-10</t>
        </is>
      </c>
      <c r="E13" s="2" t="inlineStr">
        <is>
          <t>13:58:20</t>
        </is>
      </c>
      <c r="F13" s="2" t="inlineStr">
        <is>
          <t>13:58:31</t>
        </is>
      </c>
      <c r="G13" s="2" t="inlineStr">
        <is>
          <t>01:45 PM</t>
        </is>
      </c>
      <c r="H13" s="2" t="n">
        <v>21</v>
      </c>
      <c r="I13" s="2" t="inlineStr">
        <is>
          <t>person</t>
        </is>
      </c>
      <c r="J13" s="2" t="n">
        <v>0.599</v>
      </c>
      <c r="K13" s="2" t="n">
        <v>1.9</v>
      </c>
      <c r="L13" s="2" t="inlineStr">
        <is>
          <t>PEDESTRIAN</t>
        </is>
      </c>
      <c r="M13" s="2" t="n">
        <v>0.294</v>
      </c>
      <c r="N13" s="2" t="n">
        <v>0.706</v>
      </c>
      <c r="O13" s="2">
        <f>IF(I13="n/a","n/a",IF(OR(AND(I13="cyclist",L13="BICYCLIST"),AND(I13="person",L13="PEDESTRIAN")),"yes","NO"))</f>
        <v/>
      </c>
      <c r="P13" s="2" t="inlineStr">
        <is>
          <t>unassigned</t>
        </is>
      </c>
      <c r="Q13" s="2" t="n">
        <v>6.97</v>
      </c>
      <c r="R13" s="2" t="n">
        <v>74.40000000000001</v>
      </c>
    </row>
    <row r="14">
      <c r="A14" s="2" t="inlineStr">
        <is>
          <t>Standard_SCU8OG_2019-07-10_0000.022.mp4</t>
        </is>
      </c>
      <c r="B14" s="2" t="inlineStr">
        <is>
          <t>annotated/colonial_run5/Standard_SCU8OG_2019-07-10_0000.022/Standard_SCU8OG_2019-07-10_0000.022_20190710_2115-2130.mp4</t>
        </is>
      </c>
      <c r="C14" s="2" t="inlineStr">
        <is>
          <t>Colonial North</t>
        </is>
      </c>
      <c r="D14" s="2" t="inlineStr">
        <is>
          <t>2019-07-10</t>
        </is>
      </c>
      <c r="E14" s="2" t="inlineStr">
        <is>
          <t>21:29:28</t>
        </is>
      </c>
      <c r="F14" s="2" t="inlineStr">
        <is>
          <t>21:29:29</t>
        </is>
      </c>
      <c r="G14" s="2" t="inlineStr">
        <is>
          <t>09:15 PM</t>
        </is>
      </c>
      <c r="H14" s="2" t="n">
        <v>8</v>
      </c>
      <c r="I14" s="2" t="inlineStr">
        <is>
          <t>cyclist</t>
        </is>
      </c>
      <c r="J14" s="2" t="n">
        <v>0.613</v>
      </c>
      <c r="K14" s="2" t="n">
        <v>100</v>
      </c>
      <c r="L14" s="2" t="inlineStr">
        <is>
          <t>PEDESTRIAN</t>
        </is>
      </c>
      <c r="M14" s="2" t="n">
        <v>0.409</v>
      </c>
      <c r="N14" s="2" t="n">
        <v>0.591</v>
      </c>
      <c r="O14" s="2">
        <f>IF(I14="n/a","n/a",IF(OR(AND(I14="cyclist",L14="BICYCLIST"),AND(I14="person",L14="PEDESTRIAN")),"yes","NO"))</f>
        <v/>
      </c>
      <c r="P14" s="2" t="inlineStr">
        <is>
          <t>unassigned</t>
        </is>
      </c>
      <c r="Q14" s="2" t="n">
        <v>1</v>
      </c>
      <c r="R14" s="2" t="n">
        <v>269.1</v>
      </c>
    </row>
  </sheetData>
  <autoFilter ref="A1:R14"/>
  <conditionalFormatting sqref="A2:R14">
    <cfRule type="expression" priority="1" dxfId="0">
      <formula>$O2="NO"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0" t="inlineStr">
        <is>
          <t>RUN SUMMARY</t>
        </is>
      </c>
    </row>
    <row r="2">
      <c r="A2" s="2" t="inlineStr">
        <is>
          <t>Run name</t>
        </is>
      </c>
      <c r="B2" s="11" t="inlineStr">
        <is>
          <t>colonial_run5</t>
        </is>
      </c>
    </row>
    <row r="3">
      <c r="A3" s="2" t="inlineStr">
        <is>
          <t>Site / location</t>
        </is>
      </c>
      <c r="B3" s="11" t="inlineStr">
        <is>
          <t>Colonial North - Colonial - BL Colonial camera (SCU8OG)</t>
        </is>
      </c>
    </row>
    <row r="4">
      <c r="A4" s="2" t="inlineStr">
        <is>
          <t>Video session start (camera clock)</t>
        </is>
      </c>
      <c r="B4" s="11" t="inlineStr">
        <is>
          <t>2019-07-10 00:00:00 (chunk .001); verified from on-screen clock on .001 = 2019-07-10 12:00:00 AM, .008 = 7:00:01 AM, .025 = 2019-07-11 12:00:01 AM</t>
        </is>
      </c>
    </row>
    <row r="5">
      <c r="A5" s="2" t="inlineStr">
        <is>
          <t>Chunks processed</t>
        </is>
      </c>
      <c r="B5" s="11" t="inlineStr">
        <is>
          <t>3: [13, 14, 22]</t>
        </is>
      </c>
    </row>
    <row r="6">
      <c r="A6" s="2" t="inlineStr">
        <is>
          <t>Chunks expected</t>
        </is>
      </c>
      <c r="B6" s="11" t="inlineStr">
        <is>
          <t>3 (13,14,22); missing: none</t>
        </is>
      </c>
    </row>
    <row r="7">
      <c r="A7" s="2" t="inlineStr">
        <is>
          <t>Videos merged</t>
        </is>
      </c>
      <c r="B7" s="11" t="inlineStr">
        <is>
          <t>0 - each hourly mp4 is processed on its own and the results are joined by clock time; a rider crossing an hour boundary is split across two chunks (rare)</t>
        </is>
      </c>
    </row>
    <row r="8">
      <c r="A8" s="2" t="inlineStr">
        <is>
          <t>Total video duration processed</t>
        </is>
      </c>
      <c r="B8" s="11" t="inlineStr">
        <is>
          <t>3.00 h</t>
        </is>
      </c>
    </row>
    <row r="9">
      <c r="A9" s="2" t="inlineStr">
        <is>
          <t>15-min bins in workbook</t>
        </is>
      </c>
      <c r="B9" s="11" t="inlineStr">
        <is>
          <t>12 (12 evaluated, 0 partial/excluded)</t>
        </is>
      </c>
    </row>
    <row r="10">
      <c r="A10" s="2" t="inlineStr">
        <is>
          <t>Ground truth file</t>
        </is>
      </c>
      <c r="B10" s="11" t="inlineStr">
        <is>
          <t>/orange/xiangyan/rithika/vision/vision3/best/test_colonial/ground_truth/Colonial_North_676806_07-10-2019.xls</t>
        </is>
      </c>
    </row>
    <row r="11">
      <c r="A11" s="2" t="inlineStr">
        <is>
          <t>Weights</t>
        </is>
      </c>
      <c r="B11" s="11" t="inlineStr">
        <is>
          <t>/orange/xiangyan/rithika/vision/vision3/runs/detect/finetune_runs/rtdetr_v3/weights/best.pt</t>
        </is>
      </c>
    </row>
    <row r="12">
      <c r="A12" s="2" t="inlineStr">
        <is>
          <t>Total runtime (sum over chunks)</t>
        </is>
      </c>
      <c r="B12" s="11" t="inlineStr">
        <is>
          <t>356.6 min</t>
        </is>
      </c>
    </row>
    <row r="14">
      <c r="A14" s="10" t="inlineStr">
        <is>
          <t>CHECKS</t>
        </is>
      </c>
    </row>
    <row r="15">
      <c r="A15" s="2" t="inlineStr">
        <is>
          <t>check 1</t>
        </is>
      </c>
      <c r="B15" s="11" t="inlineStr">
        <is>
          <t>Bicycles channels used: ['North Bike Lane', 'North Sidewalk', 'North Bike Lane', 'North Sidewalk'] -&gt; bike-lane cols [1, 3], sidewalk cols [2, 4]</t>
        </is>
      </c>
    </row>
    <row r="16">
      <c r="A16" s="2" t="inlineStr">
        <is>
          <t>check 2</t>
        </is>
      </c>
      <c r="B16" s="11" t="inlineStr">
        <is>
          <t>Bin labels are consecutive 15-min steps starting 12:00 AM: YES</t>
        </is>
      </c>
    </row>
    <row r="17">
      <c r="A17" s="2" t="inlineStr">
        <is>
          <t>check 3</t>
        </is>
      </c>
      <c r="B17" s="11" t="inlineStr">
        <is>
          <t>GT bicyclists, all 192 bins of the .xls (48 h): 89</t>
        </is>
      </c>
    </row>
    <row r="18">
      <c r="A18" s="2" t="inlineStr">
        <is>
          <t>check 4</t>
        </is>
      </c>
      <c r="B18" s="11" t="inlineStr">
        <is>
          <t>GT CSV total for Colonial North: 89 -&gt; MATCHES .xls</t>
        </is>
      </c>
    </row>
    <row r="19">
      <c r="A19" s="2" t="inlineStr">
        <is>
          <t>check 5</t>
        </is>
      </c>
      <c r="B19" s="11" t="inlineStr">
        <is>
          <t>video_site_mapping: folder=BL Colonial, gt_cyclist_count=89, n_mp4_chunks=48 -&gt; GT is a 89-count over 48 h of bins; chunk count consistent with the 192 GT bins</t>
        </is>
      </c>
    </row>
    <row r="21">
      <c r="A21" s="10" t="inlineStr">
        <is>
          <t>WARNINGS</t>
        </is>
      </c>
    </row>
    <row r="22">
      <c r="A22" s="2" t="inlineStr">
        <is>
          <t>warning 1</t>
        </is>
      </c>
      <c r="B22" s="11" t="inlineStr">
        <is>
          <t>chunk 13: streamed clip header (provisional) differs from the final count in 2 bin(s): bin 49 header {'bic': 0, 'ped': 0, 'veh': 617} vs final {'bic': 0, 'ped': 0, 'veh': 616}; bin 50 header {'bic': 1, 'ped': 0, 'veh': 523} vs final {'bic': 1, 'ped': 0, 'veh': 522}  -&gt; the workbook uses the FINAL counts</t>
        </is>
      </c>
    </row>
    <row r="23">
      <c r="A23" s="2" t="inlineStr">
        <is>
          <t>warning 2</t>
        </is>
      </c>
      <c r="B23" s="11" t="inlineStr">
        <is>
          <t>chunk 22: starts 2019-07-10 21:00:00 but previous processed chunk ends 2019-07-10 13:59:58.500000 (non-adjacent chunks)</t>
        </is>
      </c>
    </row>
    <row r="25">
      <c r="A25" s="10" t="inlineStr">
        <is>
          <t>CHUNK 013  Standard_SCU8OG_2019-07-10_0000.013.mp4</t>
        </is>
      </c>
    </row>
    <row r="26">
      <c r="A26" s="2" t="inlineStr">
        <is>
          <t>clip start (clock)</t>
        </is>
      </c>
      <c r="B26" s="11" t="inlineStr">
        <is>
          <t>2019-07-10 12:00:00</t>
        </is>
      </c>
    </row>
    <row r="27">
      <c r="A27" s="2" t="inlineStr">
        <is>
          <t>duration container / processed (s)</t>
        </is>
      </c>
      <c r="B27" s="11" t="inlineStr">
        <is>
          <t>3599.0 / 3599.0</t>
        </is>
      </c>
    </row>
    <row r="28">
      <c r="A28" s="2" t="inlineStr">
        <is>
          <t>frames processed / header</t>
        </is>
      </c>
      <c r="B28" s="11" t="inlineStr">
        <is>
          <t>107862 / 107862  (fps 29.97, 720x480)</t>
        </is>
      </c>
    </row>
    <row r="29">
      <c r="A29" s="2" t="inlineStr">
        <is>
          <t>final counts (AI)</t>
        </is>
      </c>
      <c r="B29" s="11" t="inlineStr">
        <is>
          <t>bicyclists 5, pedestrians 1, vehicles 2351</t>
        </is>
      </c>
    </row>
    <row r="30">
      <c r="A30" s="2" t="inlineStr">
        <is>
          <t>params</t>
        </is>
      </c>
      <c r="B30" s="11" t="inlineStr">
        <is>
          <t>imgsz 1280, det_conf 0.25, track_thr 0.25, person_min_sec 3.0, stride 3, zones None</t>
        </is>
      </c>
    </row>
    <row r="31">
      <c r="A31" s="2" t="inlineStr">
        <is>
          <t>runtime / device</t>
        </is>
      </c>
      <c r="B31" s="11" t="inlineStr">
        <is>
          <t>6936.4 s / cuda</t>
        </is>
      </c>
    </row>
    <row r="32">
      <c r="A32" s="2" t="inlineStr">
        <is>
          <t>streamed clips</t>
        </is>
      </c>
      <c r="B32" s="11" t="inlineStr">
        <is>
          <t>True; bins streamed: [48, 49, 50]</t>
        </is>
      </c>
    </row>
    <row r="33">
      <c r="A33" s="2" t="inlineStr">
        <is>
          <t>annotated clips</t>
        </is>
      </c>
      <c r="B33" s="11" t="inlineStr">
        <is>
          <t>annotated/colonial_run5/Standard_SCU8OG_2019-07-10_0000.013/Standard_SCU8OG_2019-07-10_0000.013_20190710_1200-1215.mp4, annotated/colonial_run5/Standard_SCU8OG_2019-07-10_0000.013/Standard_SCU8OG_2019-07-10_0000.013_20190710_1215-1230.mp4, annotated/colonial_run5/Standard_SCU8OG_2019-07-10_0000.013/Standard_SCU8OG_2019-07-10_0000.013_20190710_1230-1245.mp4, annotated/colonial_run5/Standard_SCU8OG_2019-07-10_0000.013/Standard_SCU8OG_2019-07-10_0000.013_20190710_1245-1300.mp4</t>
        </is>
      </c>
    </row>
    <row r="34">
      <c r="A34" s="2" t="inlineStr">
        <is>
          <t>finished</t>
        </is>
      </c>
      <c r="B34" s="11" t="inlineStr">
        <is>
          <t>2026-10-05T12:47:46</t>
        </is>
      </c>
    </row>
    <row r="36">
      <c r="A36" s="10" t="inlineStr">
        <is>
          <t>CHUNK 014  Standard_SCU8OG_2019-07-10_0000.014.mp4</t>
        </is>
      </c>
    </row>
    <row r="37">
      <c r="A37" s="2" t="inlineStr">
        <is>
          <t>clip start (clock)</t>
        </is>
      </c>
      <c r="B37" s="11" t="inlineStr">
        <is>
          <t>2019-07-10 13:00:00</t>
        </is>
      </c>
    </row>
    <row r="38">
      <c r="A38" s="2" t="inlineStr">
        <is>
          <t>duration container / processed (s)</t>
        </is>
      </c>
      <c r="B38" s="11" t="inlineStr">
        <is>
          <t>3598.5 / 3598.5</t>
        </is>
      </c>
    </row>
    <row r="39">
      <c r="A39" s="2" t="inlineStr">
        <is>
          <t>frames processed / header</t>
        </is>
      </c>
      <c r="B39" s="11" t="inlineStr">
        <is>
          <t>107847 / 107847  (fps 29.97, 720x480)</t>
        </is>
      </c>
    </row>
    <row r="40">
      <c r="A40" s="2" t="inlineStr">
        <is>
          <t>final counts (AI)</t>
        </is>
      </c>
      <c r="B40" s="11" t="inlineStr">
        <is>
          <t>bicyclists 1, pedestrians 5, vehicles 2432</t>
        </is>
      </c>
    </row>
    <row r="41">
      <c r="A41" s="2" t="inlineStr">
        <is>
          <t>params</t>
        </is>
      </c>
      <c r="B41" s="11" t="inlineStr">
        <is>
          <t>imgsz 1280, det_conf 0.25, track_thr 0.25, person_min_sec 3.0, stride 3, zones None</t>
        </is>
      </c>
    </row>
    <row r="42">
      <c r="A42" s="2" t="inlineStr">
        <is>
          <t>runtime / device</t>
        </is>
      </c>
      <c r="B42" s="11" t="inlineStr">
        <is>
          <t>7456.2 s / cuda</t>
        </is>
      </c>
    </row>
    <row r="43">
      <c r="A43" s="2" t="inlineStr">
        <is>
          <t>streamed clips</t>
        </is>
      </c>
      <c r="B43" s="11" t="inlineStr">
        <is>
          <t>True; bins streamed: [52, 53, 54]</t>
        </is>
      </c>
    </row>
    <row r="44">
      <c r="A44" s="2" t="inlineStr">
        <is>
          <t>annotated clips</t>
        </is>
      </c>
      <c r="B44" s="11" t="inlineStr">
        <is>
          <t>annotated/colonial_run5/Standard_SCU8OG_2019-07-10_0000.014/Standard_SCU8OG_2019-07-10_0000.014_20190710_1300-1315.mp4, annotated/colonial_run5/Standard_SCU8OG_2019-07-10_0000.014/Standard_SCU8OG_2019-07-10_0000.014_20190710_1315-1330.mp4, annotated/colonial_run5/Standard_SCU8OG_2019-07-10_0000.014/Standard_SCU8OG_2019-07-10_0000.014_20190710_1330-1345.mp4, annotated/colonial_run5/Standard_SCU8OG_2019-07-10_0000.014/Standard_SCU8OG_2019-07-10_0000.014_20190710_1345-1400.mp4</t>
        </is>
      </c>
    </row>
    <row r="45">
      <c r="A45" s="2" t="inlineStr">
        <is>
          <t>finished</t>
        </is>
      </c>
      <c r="B45" s="11" t="inlineStr">
        <is>
          <t>2026-10-05T12:56:28</t>
        </is>
      </c>
    </row>
    <row r="47">
      <c r="A47" s="10" t="inlineStr">
        <is>
          <t>CHUNK 022  Standard_SCU8OG_2019-07-10_0000.022.mp4</t>
        </is>
      </c>
    </row>
    <row r="48">
      <c r="A48" s="2" t="inlineStr">
        <is>
          <t>clip start (clock)</t>
        </is>
      </c>
      <c r="B48" s="11" t="inlineStr">
        <is>
          <t>2019-07-10 21:00:00</t>
        </is>
      </c>
    </row>
    <row r="49">
      <c r="A49" s="2" t="inlineStr">
        <is>
          <t>duration container / processed (s)</t>
        </is>
      </c>
      <c r="B49" s="11" t="inlineStr">
        <is>
          <t>3599.47 / 3599.47</t>
        </is>
      </c>
    </row>
    <row r="50">
      <c r="A50" s="2" t="inlineStr">
        <is>
          <t>frames processed / header</t>
        </is>
      </c>
      <c r="B50" s="11" t="inlineStr">
        <is>
          <t>107876 / 107876  (fps 29.97, 720x480)</t>
        </is>
      </c>
    </row>
    <row r="51">
      <c r="A51" s="2" t="inlineStr">
        <is>
          <t>final counts (AI)</t>
        </is>
      </c>
      <c r="B51" s="11" t="inlineStr">
        <is>
          <t>bicyclists 0, pedestrians 1, vehicles 1138</t>
        </is>
      </c>
    </row>
    <row r="52">
      <c r="A52" s="2" t="inlineStr">
        <is>
          <t>params</t>
        </is>
      </c>
      <c r="B52" s="11" t="inlineStr">
        <is>
          <t>imgsz 1280, det_conf 0.25, track_thr 0.25, person_min_sec 3.0, stride 3, zones None</t>
        </is>
      </c>
    </row>
    <row r="53">
      <c r="A53" s="2" t="inlineStr">
        <is>
          <t>runtime / device</t>
        </is>
      </c>
      <c r="B53" s="11" t="inlineStr">
        <is>
          <t>7004.6 s / cuda</t>
        </is>
      </c>
    </row>
    <row r="54">
      <c r="A54" s="2" t="inlineStr">
        <is>
          <t>streamed clips</t>
        </is>
      </c>
      <c r="B54" s="11" t="inlineStr">
        <is>
          <t>True; bins streamed: [84, 85, 86]</t>
        </is>
      </c>
    </row>
    <row r="55">
      <c r="A55" s="2" t="inlineStr">
        <is>
          <t>annotated clips</t>
        </is>
      </c>
      <c r="B55" s="11" t="inlineStr">
        <is>
          <t>annotated/colonial_run5/Standard_SCU8OG_2019-07-10_0000.022/Standard_SCU8OG_2019-07-10_0000.022_20190710_2100-2115.mp4, annotated/colonial_run5/Standard_SCU8OG_2019-07-10_0000.022/Standard_SCU8OG_2019-07-10_0000.022_20190710_2115-2130.mp4, annotated/colonial_run5/Standard_SCU8OG_2019-07-10_0000.022/Standard_SCU8OG_2019-07-10_0000.022_20190710_2130-2145.mp4, annotated/colonial_run5/Standard_SCU8OG_2019-07-10_0000.022/Standard_SCU8OG_2019-07-10_0000.022_20190710_2145-2200.mp4</t>
        </is>
      </c>
    </row>
    <row r="56">
      <c r="A56" s="2" t="inlineStr">
        <is>
          <t>finished</t>
        </is>
      </c>
      <c r="B56" s="11" t="inlineStr">
        <is>
          <t>2026-10-05T14:53:19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2026-10-05T19:43:20Z</dcterms:created>
  <dcterms:modified xsi:type="dcterms:W3CDTF">2026-10-05T19:43:20Z</dcterms:modified>
</cp:coreProperties>
</file>